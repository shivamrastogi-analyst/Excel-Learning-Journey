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jjwa\OneDrive\Desktop\SHIVAM\DATA\EXCEL\PROJECTS\"/>
    </mc:Choice>
  </mc:AlternateContent>
  <xr:revisionPtr revIDLastSave="0" documentId="13_ncr:1_{94C7A54A-BCB7-4BCE-ABC2-88DF72C27883}" xr6:coauthVersionLast="47" xr6:coauthVersionMax="47" xr10:uidLastSave="{00000000-0000-0000-0000-000000000000}"/>
  <bookViews>
    <workbookView xWindow="-120" yWindow="-120" windowWidth="20730" windowHeight="11040" xr2:uid="{00D5ECDA-F78B-4290-93E9-A20360CC612F}"/>
  </bookViews>
  <sheets>
    <sheet name="BUDGET PLANNER PROJEC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1" i="1" l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U45" i="1"/>
  <c r="V45" i="1" s="1"/>
  <c r="U46" i="1"/>
  <c r="V46" i="1" s="1"/>
  <c r="U47" i="1"/>
  <c r="V47" i="1" s="1"/>
  <c r="U48" i="1"/>
  <c r="V48" i="1" s="1"/>
  <c r="U49" i="1"/>
  <c r="V49" i="1" s="1"/>
  <c r="U50" i="1"/>
  <c r="V50" i="1" s="1"/>
  <c r="U51" i="1"/>
  <c r="V51" i="1" s="1"/>
  <c r="U52" i="1"/>
  <c r="V52" i="1" s="1"/>
  <c r="U53" i="1"/>
  <c r="V53" i="1"/>
  <c r="U54" i="1"/>
  <c r="V54" i="1" s="1"/>
  <c r="T55" i="1"/>
  <c r="C48" i="1" s="1"/>
  <c r="C57" i="1"/>
  <c r="C56" i="1"/>
  <c r="B57" i="1"/>
  <c r="B56" i="1"/>
  <c r="B55" i="1"/>
  <c r="C55" i="1"/>
  <c r="K55" i="1"/>
  <c r="C47" i="1" s="1"/>
  <c r="O55" i="1"/>
  <c r="C49" i="1" s="1"/>
  <c r="G55" i="1"/>
  <c r="C46" i="1" s="1"/>
  <c r="L46" i="1"/>
  <c r="L47" i="1"/>
  <c r="L48" i="1"/>
  <c r="L49" i="1"/>
  <c r="L50" i="1"/>
  <c r="L51" i="1"/>
  <c r="L52" i="1"/>
  <c r="L53" i="1"/>
  <c r="L54" i="1"/>
  <c r="P45" i="1"/>
  <c r="P46" i="1"/>
  <c r="P47" i="1"/>
  <c r="P48" i="1"/>
  <c r="P49" i="1"/>
  <c r="P50" i="1"/>
  <c r="P51" i="1"/>
  <c r="P52" i="1"/>
  <c r="P53" i="1"/>
  <c r="P54" i="1"/>
  <c r="L45" i="1"/>
  <c r="H46" i="1"/>
  <c r="H47" i="1"/>
  <c r="H48" i="1"/>
  <c r="H52" i="1"/>
  <c r="H53" i="1"/>
  <c r="H54" i="1"/>
  <c r="H45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U55" i="1" l="1"/>
  <c r="D48" i="1" s="1"/>
  <c r="V43" i="1"/>
  <c r="V42" i="1"/>
  <c r="C54" i="1"/>
  <c r="C50" i="1"/>
  <c r="D57" i="1"/>
  <c r="D55" i="1"/>
  <c r="D56" i="1"/>
  <c r="P55" i="1"/>
  <c r="D49" i="1" s="1"/>
  <c r="L55" i="1"/>
  <c r="D47" i="1" s="1"/>
  <c r="H55" i="1"/>
  <c r="D46" i="1" s="1"/>
  <c r="D54" i="1" l="1"/>
  <c r="D50" i="1"/>
</calcChain>
</file>

<file path=xl/sharedStrings.xml><?xml version="1.0" encoding="utf-8"?>
<sst xmlns="http://schemas.openxmlformats.org/spreadsheetml/2006/main" count="102" uniqueCount="42">
  <si>
    <t>Name</t>
  </si>
  <si>
    <t>Budget</t>
  </si>
  <si>
    <t>Actual</t>
  </si>
  <si>
    <t>Start Balance</t>
  </si>
  <si>
    <t>Income</t>
  </si>
  <si>
    <t>Expenses</t>
  </si>
  <si>
    <t>Bills</t>
  </si>
  <si>
    <t>Savings</t>
  </si>
  <si>
    <t>Total</t>
  </si>
  <si>
    <t>Salary</t>
  </si>
  <si>
    <t>Food Card</t>
  </si>
  <si>
    <t>Rent</t>
  </si>
  <si>
    <t>Side Income</t>
  </si>
  <si>
    <t>Housing</t>
  </si>
  <si>
    <t>Food &amp; Groceries</t>
  </si>
  <si>
    <t>Transportation</t>
  </si>
  <si>
    <t>Personal Care</t>
  </si>
  <si>
    <t>Healthcare</t>
  </si>
  <si>
    <t>Insurance</t>
  </si>
  <si>
    <t>Entertainment</t>
  </si>
  <si>
    <t>Life</t>
  </si>
  <si>
    <t>Car</t>
  </si>
  <si>
    <t>Family</t>
  </si>
  <si>
    <t>Trip</t>
  </si>
  <si>
    <t>Date</t>
  </si>
  <si>
    <t>Status</t>
  </si>
  <si>
    <t>Electricity</t>
  </si>
  <si>
    <t>Water</t>
  </si>
  <si>
    <t>Internet</t>
  </si>
  <si>
    <t>Gas</t>
  </si>
  <si>
    <t>Category</t>
  </si>
  <si>
    <t>Amount</t>
  </si>
  <si>
    <t>Comment</t>
  </si>
  <si>
    <t>Sub-Category</t>
  </si>
  <si>
    <t>₹</t>
  </si>
  <si>
    <t>Rest</t>
  </si>
  <si>
    <t>Savings Rate</t>
  </si>
  <si>
    <t>Paid</t>
  </si>
  <si>
    <t>Not Paid</t>
  </si>
  <si>
    <t>Freelance</t>
  </si>
  <si>
    <t>Passive Income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</si>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</sst>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F800]dddd\,\ mmmm\ dd\,\ yyyy"/>
    <numFmt numFmtId="165" formatCode="[$-409]d/mmm;@"/>
    <numFmt numFmtId="166" formatCode="_ * #,##0.0_ ;_ * \-#,##0.0_ ;_ * &quot;-&quot;??_ ;_ @_ "/>
    <numFmt numFmtId="167" formatCode="_ [$₹-4009]\ * #,##0_ ;_ [$₹-4009]\ * \-#,##0_ ;_ [$₹-4009]\ * &quot;-&quot;??_ ;_ @_ "/>
    <numFmt numFmtId="168" formatCode="_ &quot;₹&quot;\ * #,##0_ ;_ &quot;₹&quot;\ * \-#,##0_ ;_ &quot;₹&quot;\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Kulin park"/>
    </font>
  </fonts>
  <fills count="5">
    <fill>
      <patternFill patternType="none"/>
    </fill>
    <fill>
      <patternFill patternType="gray125"/>
    </fill>
    <fill>
      <patternFill patternType="solid">
        <fgColor rgb="FF425C59"/>
        <bgColor indexed="64"/>
      </patternFill>
    </fill>
    <fill>
      <patternFill patternType="solid">
        <fgColor rgb="FFE2ECEB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/>
    <xf numFmtId="164" fontId="1" fillId="2" borderId="0" xfId="0" applyNumberFormat="1" applyFont="1" applyFill="1" applyAlignment="1">
      <alignment horizontal="center" vertical="center"/>
    </xf>
    <xf numFmtId="165" fontId="2" fillId="0" borderId="1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0" fontId="2" fillId="4" borderId="1" xfId="0" applyFont="1" applyFill="1" applyBorder="1"/>
    <xf numFmtId="0" fontId="2" fillId="4" borderId="2" xfId="0" applyFont="1" applyFill="1" applyBorder="1"/>
    <xf numFmtId="0" fontId="4" fillId="0" borderId="1" xfId="0" applyFont="1" applyBorder="1"/>
    <xf numFmtId="0" fontId="4" fillId="0" borderId="0" xfId="0" applyFont="1"/>
    <xf numFmtId="0" fontId="4" fillId="4" borderId="1" xfId="0" applyFont="1" applyFill="1" applyBorder="1"/>
    <xf numFmtId="166" fontId="2" fillId="0" borderId="1" xfId="0" applyNumberFormat="1" applyFont="1" applyBorder="1"/>
    <xf numFmtId="9" fontId="2" fillId="0" borderId="1" xfId="2" applyFont="1" applyBorder="1"/>
    <xf numFmtId="167" fontId="2" fillId="0" borderId="1" xfId="0" applyNumberFormat="1" applyFont="1" applyBorder="1"/>
    <xf numFmtId="167" fontId="2" fillId="4" borderId="1" xfId="0" applyNumberFormat="1" applyFont="1" applyFill="1" applyBorder="1"/>
    <xf numFmtId="167" fontId="2" fillId="4" borderId="1" xfId="1" applyNumberFormat="1" applyFont="1" applyFill="1" applyBorder="1"/>
    <xf numFmtId="168" fontId="4" fillId="3" borderId="0" xfId="3" applyNumberFormat="1" applyFont="1" applyFill="1"/>
    <xf numFmtId="168" fontId="2" fillId="3" borderId="0" xfId="3" applyNumberFormat="1" applyFont="1" applyFill="1"/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59">
    <dxf>
      <font>
        <color rgb="FF425C59"/>
      </font>
    </dxf>
    <dxf>
      <font>
        <color rgb="FFFF0000"/>
      </font>
    </dxf>
    <dxf>
      <font>
        <color rgb="FFB48900"/>
      </font>
    </dxf>
    <dxf>
      <font>
        <color theme="9" tint="-0.24994659260841701"/>
      </font>
    </dxf>
    <dxf>
      <font>
        <color theme="9" tint="-0.2499465926084170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Kulin park"/>
        <scheme val="none"/>
      </font>
      <numFmt numFmtId="168" formatCode="_ &quot;₹&quot;\ * #,##0_ ;_ &quot;₹&quot;\ * \-#,##0_ ;_ &quot;₹&quot;\ * &quot;-&quot;??_ ;_ @_ "/>
      <fill>
        <patternFill patternType="solid">
          <fgColor indexed="64"/>
          <bgColor rgb="FFE2ECE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Kulin park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_ &quot;₹&quot;\ * #,##0_ ;_ &quot;₹&quot;\ * \-#,##0_ ;_ &quot;₹&quot;\ * &quot;-&quot;??_ ;_ @_ "/>
      <fill>
        <patternFill patternType="solid">
          <fgColor indexed="64"/>
          <bgColor rgb="FFE2ECE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_ [$₹-4009]\ * #,##0_ ;_ [$₹-4009]\ * \-#,##0_ ;_ [$₹-4009]\ * &quot;-&quot;??_ ;_ @_ "/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_ &quot;₹&quot;\ * #,##0_ ;_ &quot;₹&quot;\ * \-#,##0_ ;_ &quot;₹&quot;\ * &quot;-&quot;??_ ;_ @_ "/>
      <fill>
        <patternFill patternType="solid">
          <fgColor indexed="64"/>
          <bgColor rgb="FFE2ECE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_ [$₹-4009]\ * #,##0_ ;_ [$₹-4009]\ * \-#,##0_ ;_ [$₹-4009]\ * &quot;-&quot;??_ ;_ @_ "/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_ &quot;₹&quot;\ * #,##0_ ;_ &quot;₹&quot;\ * \-#,##0_ ;_ &quot;₹&quot;\ * &quot;-&quot;??_ ;_ @_ "/>
      <fill>
        <patternFill patternType="solid">
          <fgColor indexed="64"/>
          <bgColor rgb="FFE2ECE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Kulin park"/>
        <scheme val="none"/>
      </font>
      <numFmt numFmtId="168" formatCode="_ &quot;₹&quot;\ * #,##0_ ;_ &quot;₹&quot;\ * \-#,##0_ ;_ &quot;₹&quot;\ * &quot;-&quot;??_ ;_ @_ "/>
      <fill>
        <patternFill patternType="solid">
          <fgColor indexed="64"/>
          <bgColor rgb="FFE2ECE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Kulin park"/>
        <scheme val="none"/>
      </font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border outline="0">
        <top style="thin">
          <color theme="0" tint="-0.249977111117893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_ &quot;₹&quot;\ * #,##0_ ;_ &quot;₹&quot;\ * \-#,##0_ ;_ &quot;₹&quot;\ * &quot;-&quot;??_ ;_ @_ "/>
      <fill>
        <patternFill patternType="solid">
          <fgColor indexed="64"/>
          <bgColor rgb="FFE2ECE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425C5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/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/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d/mmm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425C5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_ &quot;₹&quot;\ * #,##0_ ;_ &quot;₹&quot;\ * \-#,##0_ ;_ &quot;₹&quot;\ * &quot;-&quot;??_ ;_ @_ "/>
      <fill>
        <patternFill patternType="solid">
          <fgColor indexed="64"/>
          <bgColor rgb="FFE2ECEB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_ [$₹-4009]\ * #,##0_ ;_ [$₹-4009]\ * \-#,##0_ ;_ [$₹-4009]\ * &quot;-&quot;??_ ;_ @_ "/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_ &quot;₹&quot;\ * #,##0_ ;_ &quot;₹&quot;\ * \-#,##0_ ;_ &quot;₹&quot;\ * &quot;-&quot;??_ ;_ @_ "/>
      <fill>
        <patternFill patternType="solid">
          <fgColor indexed="64"/>
          <bgColor rgb="FFE2ECEB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_ [$₹-4009]\ * #,##0_ ;_ [$₹-4009]\ * \-#,##0_ ;_ [$₹-4009]\ * &quot;-&quot;??_ ;_ @_ "/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Kulin park"/>
        <scheme val="none"/>
      </font>
      <numFmt numFmtId="168" formatCode="_ &quot;₹&quot;\ * #,##0_ ;_ &quot;₹&quot;\ * \-#,##0_ ;_ &quot;₹&quot;\ * &quot;-&quot;??_ ;_ @_ "/>
      <fill>
        <patternFill patternType="solid">
          <fgColor indexed="64"/>
          <bgColor rgb="FFE2ECEB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Kulin park"/>
        <scheme val="none"/>
      </font>
    </dxf>
    <dxf>
      <numFmt numFmtId="168" formatCode="_ &quot;₹&quot;\ * #,##0_ ;_ &quot;₹&quot;\ * \-#,##0_ ;_ &quot;₹&quot;\ * &quot;-&quot;??_ ;_ @_ "/>
      <fill>
        <patternFill patternType="solid">
          <fgColor indexed="64"/>
          <bgColor rgb="FFE2ECEB"/>
        </patternFill>
      </fill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425C5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_ &quot;₹&quot;\ * #,##0_ ;_ &quot;₹&quot;\ * \-#,##0_ ;_ &quot;₹&quot;\ * &quot;-&quot;??_ ;_ @_ "/>
      <fill>
        <patternFill patternType="solid">
          <fgColor indexed="64"/>
          <bgColor rgb="FFE2ECEB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_ [$₹-4009]\ * #,##0_ ;_ [$₹-4009]\ * \-#,##0_ ;_ [$₹-4009]\ * &quot;-&quot;??_ ;_ @_ 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_ &quot;₹&quot;\ * #,##0_ ;_ &quot;₹&quot;\ * \-#,##0_ ;_ &quot;₹&quot;\ * &quot;-&quot;??_ ;_ @_ "/>
      <fill>
        <patternFill patternType="solid">
          <fgColor indexed="64"/>
          <bgColor rgb="FFE2ECEB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_ [$₹-4009]\ * #,##0_ ;_ [$₹-4009]\ * \-#,##0_ ;_ [$₹-4009]\ * &quot;-&quot;??_ ;_ @_ "/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Kulin park"/>
        <scheme val="none"/>
      </font>
      <numFmt numFmtId="168" formatCode="_ &quot;₹&quot;\ * #,##0_ ;_ &quot;₹&quot;\ * \-#,##0_ ;_ &quot;₹&quot;\ * &quot;-&quot;??_ ;_ @_ "/>
      <fill>
        <patternFill patternType="solid">
          <fgColor indexed="64"/>
          <bgColor rgb="FFE2ECEB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Kulin park"/>
        <scheme val="none"/>
      </font>
    </dxf>
    <dxf>
      <numFmt numFmtId="168" formatCode="_ &quot;₹&quot;\ * #,##0_ ;_ &quot;₹&quot;\ * \-#,##0_ ;_ &quot;₹&quot;\ * &quot;-&quot;??_ ;_ @_ "/>
      <fill>
        <patternFill patternType="solid">
          <fgColor indexed="64"/>
          <bgColor rgb="FFE2ECEB"/>
        </patternFill>
      </fill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425C5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_ &quot;₹&quot;\ * #,##0_ ;_ &quot;₹&quot;\ * \-#,##0_ ;_ &quot;₹&quot;\ * &quot;-&quot;??_ ;_ @_ "/>
      <fill>
        <patternFill patternType="solid">
          <fgColor indexed="64"/>
          <bgColor rgb="FFE2ECEB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_ [$₹-4009]\ * #,##0_ ;_ [$₹-4009]\ * \-#,##0_ ;_ [$₹-4009]\ * &quot;-&quot;??_ ;_ @_ "/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_ &quot;₹&quot;\ * #,##0_ ;_ &quot;₹&quot;\ * \-#,##0_ ;_ &quot;₹&quot;\ * &quot;-&quot;??_ ;_ @_ "/>
      <fill>
        <patternFill patternType="solid">
          <fgColor indexed="64"/>
          <bgColor rgb="FFE2ECE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_ [$₹-4009]\ * #,##0_ ;_ [$₹-4009]\ * \-#,##0_ ;_ [$₹-4009]\ * &quot;-&quot;??_ ;_ @_ "/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Kulin park"/>
        <scheme val="none"/>
      </font>
      <numFmt numFmtId="168" formatCode="_ &quot;₹&quot;\ * #,##0_ ;_ &quot;₹&quot;\ * \-#,##0_ ;_ &quot;₹&quot;\ * &quot;-&quot;??_ ;_ @_ "/>
      <fill>
        <patternFill patternType="solid">
          <fgColor indexed="64"/>
          <bgColor rgb="FFE2ECEB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Kulin park"/>
        <scheme val="none"/>
      </font>
    </dxf>
    <dxf>
      <numFmt numFmtId="168" formatCode="_ &quot;₹&quot;\ * #,##0_ ;_ &quot;₹&quot;\ * \-#,##0_ ;_ &quot;₹&quot;\ * &quot;-&quot;??_ ;_ @_ "/>
      <fill>
        <patternFill patternType="solid">
          <fgColor indexed="64"/>
          <bgColor rgb="FFE2ECEB"/>
        </patternFill>
      </fill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425C5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_ &quot;₹&quot;\ * #,##0_ ;_ &quot;₹&quot;\ * \-#,##0_ ;_ &quot;₹&quot;\ * &quot;-&quot;??_ ;_ @_ "/>
      <fill>
        <patternFill patternType="solid">
          <fgColor indexed="64"/>
          <bgColor rgb="FFE2ECEB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_ [$₹-4009]\ * #,##0_ ;_ [$₹-4009]\ * \-#,##0_ ;_ [$₹-4009]\ * &quot;-&quot;??_ ;_ @_ 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_ &quot;₹&quot;\ * #,##0_ ;_ &quot;₹&quot;\ * \-#,##0_ ;_ &quot;₹&quot;\ * &quot;-&quot;??_ ;_ @_ "/>
      <fill>
        <patternFill patternType="solid">
          <fgColor indexed="64"/>
          <bgColor rgb="FFE2ECEB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_ [$₹-4009]\ * #,##0_ ;_ [$₹-4009]\ * \-#,##0_ ;_ [$₹-4009]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Kulin park"/>
        <scheme val="none"/>
      </font>
      <numFmt numFmtId="168" formatCode="_ &quot;₹&quot;\ * #,##0_ ;_ &quot;₹&quot;\ * \-#,##0_ ;_ &quot;₹&quot;\ * &quot;-&quot;??_ ;_ @_ "/>
      <fill>
        <patternFill patternType="solid">
          <fgColor indexed="64"/>
          <bgColor rgb="FFE2ECEB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Kulin park"/>
        <scheme val="none"/>
      </font>
    </dxf>
    <dxf>
      <numFmt numFmtId="168" formatCode="_ &quot;₹&quot;\ * #,##0_ ;_ &quot;₹&quot;\ * \-#,##0_ ;_ &quot;₹&quot;\ * &quot;-&quot;??_ ;_ @_ "/>
      <fill>
        <patternFill patternType="solid">
          <fgColor indexed="64"/>
          <bgColor rgb="FFE2ECEB"/>
        </patternFill>
      </fill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425C59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0DF66"/>
      <color rgb="FF425C59"/>
      <color rgb="FFB48900"/>
      <color rgb="FFE2ECEB"/>
      <color rgb="FFE2EC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844185721618618"/>
          <c:y val="0"/>
          <c:w val="0.65306393020974196"/>
          <c:h val="0.99788104716423764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0DF6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63D-4460-95FF-4F9CEB635492}"/>
              </c:ext>
            </c:extLst>
          </c:dPt>
          <c:dPt>
            <c:idx val="1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563D-4460-95FF-4F9CEB635492}"/>
              </c:ext>
            </c:extLst>
          </c:dPt>
          <c:dPt>
            <c:idx val="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563D-4460-95FF-4F9CEB635492}"/>
              </c:ext>
            </c:extLst>
          </c:dPt>
          <c:dLbls>
            <c:dLbl>
              <c:idx val="0"/>
              <c:layout>
                <c:manualLayout>
                  <c:x val="0.182915876545997"/>
                  <c:y val="-0.1089884509943148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rgbClr val="425C59"/>
                        </a:solidFill>
                        <a:latin typeface="Kulim Park" pitchFamily="2" charset="0"/>
                        <a:ea typeface="+mn-ea"/>
                        <a:cs typeface="+mn-cs"/>
                      </a:defRPr>
                    </a:pPr>
                    <a:fld id="{3F255F38-8368-49F7-92F6-0DD5A65581FD}" type="CATEGORYNAME">
                      <a:rPr lang="en-US" sz="800" b="0" i="0" u="none" strike="noStrike" kern="1200" baseline="0">
                        <a:solidFill>
                          <a:srgbClr val="425C59"/>
                        </a:solidFill>
                        <a:latin typeface="Kulim Park" pitchFamily="2" charset="0"/>
                        <a:ea typeface="+mn-ea"/>
                        <a:cs typeface="+mn-cs"/>
                      </a:rPr>
                      <a:pPr>
                        <a:defRPr lang="en-US">
                          <a:solidFill>
                            <a:srgbClr val="425C59"/>
                          </a:solidFill>
                          <a:latin typeface="Kulim Park" pitchFamily="2" charset="0"/>
                        </a:defRPr>
                      </a:pPr>
                      <a:t>[CATEGORY NAME]</a:t>
                    </a:fld>
                    <a:r>
                      <a:rPr lang="en-US" sz="900" b="0" i="0" u="none" strike="noStrike" kern="1200" baseline="0">
                        <a:solidFill>
                          <a:srgbClr val="425C59"/>
                        </a:solidFill>
                        <a:latin typeface="Kulim Park" pitchFamily="2" charset="0"/>
                        <a:ea typeface="+mn-ea"/>
                        <a:cs typeface="+mn-cs"/>
                      </a:rPr>
                      <a:t>
</a:t>
                    </a:r>
                    <a:fld id="{3E29ADB2-A996-47B8-B9CB-C6F5A12DC464}" type="PERCENTAGE">
                      <a:rPr lang="en-US" sz="900" b="0" i="0" u="none" strike="noStrike" kern="1200" baseline="0">
                        <a:solidFill>
                          <a:srgbClr val="425C59"/>
                        </a:solidFill>
                        <a:latin typeface="Kulim Park" pitchFamily="2" charset="0"/>
                        <a:ea typeface="+mn-ea"/>
                        <a:cs typeface="+mn-cs"/>
                      </a:rPr>
                      <a:pPr>
                        <a:defRPr lang="en-US">
                          <a:solidFill>
                            <a:srgbClr val="425C59"/>
                          </a:solidFill>
                          <a:latin typeface="Kulim Park" pitchFamily="2" charset="0"/>
                        </a:defRPr>
                      </a:pPr>
                      <a:t>[PERCENTAGE]</a:t>
                    </a:fld>
                    <a:endParaRPr lang="en-US" sz="900" b="0" i="0" u="none" strike="noStrike" kern="1200" baseline="0">
                      <a:solidFill>
                        <a:srgbClr val="425C59"/>
                      </a:solidFill>
                      <a:latin typeface="Kulim Park" pitchFamily="2" charset="0"/>
                      <a:ea typeface="+mn-ea"/>
                      <a:cs typeface="+mn-cs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rgbClr val="425C59"/>
                      </a:solidFill>
                      <a:latin typeface="Kulim Park" pitchFamily="2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967669073868466"/>
                      <c:h val="0.2287653003164691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563D-4460-95FF-4F9CEB635492}"/>
                </c:ext>
              </c:extLst>
            </c:dLbl>
            <c:dLbl>
              <c:idx val="1"/>
              <c:layout>
                <c:manualLayout>
                  <c:x val="-0.21248938693179736"/>
                  <c:y val="8.7558015414348801E-3"/>
                </c:manualLayout>
              </c:layout>
              <c:tx>
                <c:rich>
                  <a:bodyPr/>
                  <a:lstStyle/>
                  <a:p>
                    <a:fld id="{0FDA3E68-329C-4E6A-A4E7-428FE45C5B04}" type="CATEGORYNAME">
                      <a:rPr lang="en-US" sz="900" b="0">
                        <a:latin typeface="Kulim Park" pitchFamily="2" charset="0"/>
                      </a:rPr>
                      <a:pPr/>
                      <a:t>[CATEGORY NAME]</a:t>
                    </a:fld>
                    <a:r>
                      <a:rPr lang="en-US" b="0" baseline="0">
                        <a:latin typeface="Kulim Park" pitchFamily="2" charset="0"/>
                      </a:rPr>
                      <a:t>
</a:t>
                    </a:r>
                    <a:fld id="{61D66577-96A8-4D78-90A6-B0C25EE54CDB}" type="PERCENTAGE">
                      <a:rPr lang="en-US" baseline="0">
                        <a:latin typeface="Kulim Park" pitchFamily="2" charset="0"/>
                      </a:rPr>
                      <a:pPr/>
                      <a:t>[PERCENTAGE]</a:t>
                    </a:fld>
                    <a:endParaRPr lang="en-US" b="0" baseline="0">
                      <a:latin typeface="Kulim Park" pitchFamily="2" charset="0"/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F-563D-4460-95FF-4F9CEB635492}"/>
                </c:ext>
              </c:extLst>
            </c:dLbl>
            <c:dLbl>
              <c:idx val="2"/>
              <c:layout>
                <c:manualLayout>
                  <c:x val="-0.28314590028831305"/>
                  <c:y val="-1.3977776628311051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900" b="0" i="0" u="none" strike="noStrike" kern="1200" baseline="0">
                        <a:solidFill>
                          <a:srgbClr val="425C59"/>
                        </a:solidFill>
                        <a:latin typeface="Kulim Park" pitchFamily="2" charset="0"/>
                        <a:ea typeface="+mn-ea"/>
                        <a:cs typeface="+mn-cs"/>
                      </a:defRPr>
                    </a:pPr>
                    <a:fld id="{3D23C829-C649-4FEB-B405-28A3817A9855}" type="CATEGORYNAME">
                      <a:rPr lang="en-US" sz="800" b="0" i="0" u="none" strike="noStrike" kern="1200" baseline="0">
                        <a:solidFill>
                          <a:srgbClr val="425C59"/>
                        </a:solidFill>
                        <a:latin typeface="Kulim Park" pitchFamily="2" charset="0"/>
                        <a:ea typeface="+mn-ea"/>
                        <a:cs typeface="+mn-cs"/>
                      </a:rPr>
                      <a:pPr>
                        <a:defRPr lang="en-US">
                          <a:solidFill>
                            <a:srgbClr val="425C59"/>
                          </a:solidFill>
                          <a:latin typeface="Kulim Park" pitchFamily="2" charset="0"/>
                        </a:defRPr>
                      </a:pPr>
                      <a:t>[CATEGORY NAME]</a:t>
                    </a:fld>
                    <a:r>
                      <a:rPr lang="en-US" sz="900" b="0" i="0" u="none" strike="noStrike" kern="1200" baseline="0">
                        <a:solidFill>
                          <a:srgbClr val="425C59"/>
                        </a:solidFill>
                        <a:latin typeface="Kulim Park" pitchFamily="2" charset="0"/>
                        <a:ea typeface="+mn-ea"/>
                        <a:cs typeface="+mn-cs"/>
                      </a:rPr>
                      <a:t>
</a:t>
                    </a:r>
                    <a:fld id="{51CD25D0-75A4-4BCC-BF53-BBCF98F12ACA}" type="PERCENTAGE">
                      <a:rPr lang="en-US" sz="900" b="0" i="0" u="none" strike="noStrike" kern="1200" baseline="0">
                        <a:solidFill>
                          <a:srgbClr val="425C59"/>
                        </a:solidFill>
                        <a:latin typeface="Kulim Park" pitchFamily="2" charset="0"/>
                        <a:ea typeface="+mn-ea"/>
                        <a:cs typeface="+mn-cs"/>
                      </a:rPr>
                      <a:pPr>
                        <a:defRPr lang="en-US">
                          <a:solidFill>
                            <a:srgbClr val="425C59"/>
                          </a:solidFill>
                          <a:latin typeface="Kulim Park" pitchFamily="2" charset="0"/>
                        </a:defRPr>
                      </a:pPr>
                      <a:t>[PERCENTAGE]</a:t>
                    </a:fld>
                    <a:endParaRPr lang="en-US" sz="900" b="0" i="0" u="none" strike="noStrike" kern="1200" baseline="0">
                      <a:solidFill>
                        <a:srgbClr val="425C59"/>
                      </a:solidFill>
                      <a:latin typeface="Kulim Park" pitchFamily="2" charset="0"/>
                      <a:ea typeface="+mn-ea"/>
                      <a:cs typeface="+mn-cs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rgbClr val="425C59"/>
                      </a:solidFill>
                      <a:latin typeface="Kulim Park" pitchFamily="2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E-563D-4460-95FF-4F9CEB6354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425C5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PLANNER PROJECT'!$B$47:$B$49</c:f>
              <c:strCache>
                <c:ptCount val="3"/>
                <c:pt idx="0">
                  <c:v>Expenses</c:v>
                </c:pt>
                <c:pt idx="1">
                  <c:v>Bills</c:v>
                </c:pt>
                <c:pt idx="2">
                  <c:v>Savings</c:v>
                </c:pt>
              </c:strCache>
            </c:strRef>
          </c:cat>
          <c:val>
            <c:numRef>
              <c:f>'BUDGET PLANNER PROJECT'!$D$47:$D$49</c:f>
              <c:numCache>
                <c:formatCode>_ [$₹-4009]\ * #,##0_ ;_ [$₹-4009]\ * \-#,##0_ ;_ [$₹-4009]\ * "-"??_ ;_ @_ </c:formatCode>
                <c:ptCount val="3"/>
                <c:pt idx="0">
                  <c:v>507.11</c:v>
                </c:pt>
                <c:pt idx="1">
                  <c:v>1087.6000000000001</c:v>
                </c:pt>
                <c:pt idx="2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3D-4460-95FF-4F9CEB63549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B48900"/>
            </a:solidFill>
            <a:ln>
              <a:noFill/>
            </a:ln>
            <a:effectLst/>
          </c:spPr>
          <c:invertIfNegative val="0"/>
          <c:cat>
            <c:strRef>
              <c:f>'BUDGET PLANNER PROJECT'!$B$46:$B$49</c:f>
              <c:strCache>
                <c:ptCount val="4"/>
                <c:pt idx="0">
                  <c:v>Income</c:v>
                </c:pt>
                <c:pt idx="1">
                  <c:v>Expenses</c:v>
                </c:pt>
                <c:pt idx="2">
                  <c:v>Bills</c:v>
                </c:pt>
                <c:pt idx="3">
                  <c:v>Savings</c:v>
                </c:pt>
              </c:strCache>
            </c:strRef>
          </c:cat>
          <c:val>
            <c:numRef>
              <c:f>'BUDGET PLANNER PROJECT'!$C$46:$C$49</c:f>
              <c:numCache>
                <c:formatCode>_ [$₹-4009]\ * #,##0_ ;_ [$₹-4009]\ * \-#,##0_ ;_ [$₹-4009]\ * "-"??_ ;_ @_ </c:formatCode>
                <c:ptCount val="4"/>
                <c:pt idx="0">
                  <c:v>5200</c:v>
                </c:pt>
                <c:pt idx="1">
                  <c:v>448</c:v>
                </c:pt>
                <c:pt idx="2">
                  <c:v>1300</c:v>
                </c:pt>
                <c:pt idx="3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D4-4FB1-B174-9442C2D1C4DF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'BUDGET PLANNER PROJECT'!$B$46:$B$49</c:f>
              <c:strCache>
                <c:ptCount val="4"/>
                <c:pt idx="0">
                  <c:v>Income</c:v>
                </c:pt>
                <c:pt idx="1">
                  <c:v>Expenses</c:v>
                </c:pt>
                <c:pt idx="2">
                  <c:v>Bills</c:v>
                </c:pt>
                <c:pt idx="3">
                  <c:v>Savings</c:v>
                </c:pt>
              </c:strCache>
            </c:strRef>
          </c:cat>
          <c:val>
            <c:numRef>
              <c:f>'BUDGET PLANNER PROJECT'!$D$46:$D$49</c:f>
              <c:numCache>
                <c:formatCode>_ [$₹-4009]\ * #,##0_ ;_ [$₹-4009]\ * \-#,##0_ ;_ [$₹-4009]\ * "-"??_ ;_ @_ </c:formatCode>
                <c:ptCount val="4"/>
                <c:pt idx="0">
                  <c:v>4205.7299999999996</c:v>
                </c:pt>
                <c:pt idx="1">
                  <c:v>507.11</c:v>
                </c:pt>
                <c:pt idx="2">
                  <c:v>1087.6000000000001</c:v>
                </c:pt>
                <c:pt idx="3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D4-4FB1-B174-9442C2D1C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035536"/>
        <c:axId val="173042736"/>
      </c:barChart>
      <c:catAx>
        <c:axId val="173035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Kulim Park SemiBold" pitchFamily="2" charset="0"/>
                <a:ea typeface="+mn-ea"/>
                <a:cs typeface="+mn-cs"/>
              </a:defRPr>
            </a:pPr>
            <a:endParaRPr lang="en-US"/>
          </a:p>
        </c:txPr>
        <c:crossAx val="173042736"/>
        <c:crosses val="autoZero"/>
        <c:auto val="1"/>
        <c:lblAlgn val="ctr"/>
        <c:lblOffset val="100"/>
        <c:noMultiLvlLbl val="0"/>
      </c:catAx>
      <c:valAx>
        <c:axId val="173042736"/>
        <c:scaling>
          <c:orientation val="minMax"/>
        </c:scaling>
        <c:delete val="0"/>
        <c:axPos val="b"/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Kulim Park SemiBold" pitchFamily="2" charset="0"/>
                <a:ea typeface="+mn-ea"/>
                <a:cs typeface="+mn-cs"/>
              </a:defRPr>
            </a:pPr>
            <a:endParaRPr lang="en-US"/>
          </a:p>
        </c:txPr>
        <c:crossAx val="173035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0118096285940402"/>
          <c:y val="4.8443775608787848E-2"/>
          <c:w val="0.55125988193525588"/>
          <c:h val="0.90037652965171011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7EC-456B-BEAD-3D35D7818BEF}"/>
              </c:ext>
            </c:extLst>
          </c:dPt>
          <c:dPt>
            <c:idx val="1"/>
            <c:bubble3D val="0"/>
            <c:spPr>
              <a:solidFill>
                <a:srgbClr val="F0DF6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4A6-40B8-874C-5EAA192029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7EC-456B-BEAD-3D35D7818BEF}"/>
              </c:ext>
            </c:extLst>
          </c:dPt>
          <c:dPt>
            <c:idx val="3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4A6-40B8-874C-5EAA192029F1}"/>
              </c:ext>
            </c:extLst>
          </c:dPt>
          <c:dPt>
            <c:idx val="4"/>
            <c:bubble3D val="0"/>
            <c:spPr>
              <a:solidFill>
                <a:srgbClr val="B489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4A6-40B8-874C-5EAA192029F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7EC-456B-BEAD-3D35D7818BE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7EC-456B-BEAD-3D35D7818BE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7EC-456B-BEAD-3D35D7818BE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7EC-456B-BEAD-3D35D7818BE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7EC-456B-BEAD-3D35D7818BEF}"/>
              </c:ext>
            </c:extLst>
          </c:dPt>
          <c:cat>
            <c:strRef>
              <c:f>'BUDGET PLANNER PROJECT'!$J$45:$J$54</c:f>
              <c:strCache>
                <c:ptCount val="7"/>
                <c:pt idx="0">
                  <c:v>Housing</c:v>
                </c:pt>
                <c:pt idx="1">
                  <c:v>Food &amp; Groceries</c:v>
                </c:pt>
                <c:pt idx="2">
                  <c:v>Transportation</c:v>
                </c:pt>
                <c:pt idx="3">
                  <c:v>Personal Care</c:v>
                </c:pt>
                <c:pt idx="4">
                  <c:v>Healthcare</c:v>
                </c:pt>
                <c:pt idx="5">
                  <c:v>Insurance</c:v>
                </c:pt>
                <c:pt idx="6">
                  <c:v>Entertainment</c:v>
                </c:pt>
              </c:strCache>
            </c:strRef>
          </c:cat>
          <c:val>
            <c:numRef>
              <c:f>'BUDGET PLANNER PROJECT'!$L$45:$L$54</c:f>
              <c:numCache>
                <c:formatCode>_ [$₹-4009]\ * #,##0_ ;_ [$₹-4009]\ * \-#,##0_ ;_ [$₹-4009]\ * "-"??_ ;_ @_ </c:formatCode>
                <c:ptCount val="10"/>
                <c:pt idx="0">
                  <c:v>0</c:v>
                </c:pt>
                <c:pt idx="1">
                  <c:v>97.9</c:v>
                </c:pt>
                <c:pt idx="2">
                  <c:v>0</c:v>
                </c:pt>
                <c:pt idx="3">
                  <c:v>338.23</c:v>
                </c:pt>
                <c:pt idx="4">
                  <c:v>70.97999999999999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A6-40B8-874C-5EAA19202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8220469379482641E-2"/>
          <c:y val="6.4223244829632584E-2"/>
          <c:w val="0.32735464879478271"/>
          <c:h val="0.850768175225589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ulim Park SemiBold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25C59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'BUDGET PLANNER PROJECT'!$R$45:$R$54</c15:sqref>
                  </c15:fullRef>
                </c:ext>
              </c:extLst>
              <c:f>'BUDGET PLANNER PROJECT'!$R$45:$R$49</c:f>
              <c:strCache>
                <c:ptCount val="5"/>
                <c:pt idx="0">
                  <c:v>Rent</c:v>
                </c:pt>
                <c:pt idx="1">
                  <c:v>Electricity</c:v>
                </c:pt>
                <c:pt idx="2">
                  <c:v>Water</c:v>
                </c:pt>
                <c:pt idx="3">
                  <c:v>Internet</c:v>
                </c:pt>
                <c:pt idx="4">
                  <c:v>Gas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'BUDGET PLANNER PROJECT'!$U$45:$U$54</c15:sqref>
                  </c15:fullRef>
                </c:ext>
              </c:extLst>
              <c:f>'BUDGET PLANNER PROJECT'!$U$45:$U$49</c:f>
              <c:numCache>
                <c:formatCode>_ [$₹-4009]\ * #,##0_ ;_ [$₹-4009]\ * \-#,##0_ ;_ [$₹-4009]\ * "-"??_ ;_ @_ </c:formatCode>
                <c:ptCount val="5"/>
                <c:pt idx="0">
                  <c:v>612</c:v>
                </c:pt>
                <c:pt idx="1">
                  <c:v>30</c:v>
                </c:pt>
                <c:pt idx="2">
                  <c:v>32.700000000000003</c:v>
                </c:pt>
                <c:pt idx="3">
                  <c:v>300</c:v>
                </c:pt>
                <c:pt idx="4">
                  <c:v>112.9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65-44E4-BBAD-F3397B25E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3621104"/>
        <c:axId val="1443616304"/>
      </c:barChart>
      <c:catAx>
        <c:axId val="144362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ulim Park" pitchFamily="2" charset="0"/>
                <a:ea typeface="+mn-ea"/>
                <a:cs typeface="+mn-cs"/>
              </a:defRPr>
            </a:pPr>
            <a:endParaRPr lang="en-US"/>
          </a:p>
        </c:txPr>
        <c:crossAx val="1443616304"/>
        <c:crosses val="autoZero"/>
        <c:auto val="1"/>
        <c:lblAlgn val="ctr"/>
        <c:lblOffset val="100"/>
        <c:noMultiLvlLbl val="0"/>
      </c:catAx>
      <c:valAx>
        <c:axId val="144361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dashDot"/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ulim Park" pitchFamily="2" charset="0"/>
                <a:ea typeface="+mn-ea"/>
                <a:cs typeface="+mn-cs"/>
              </a:defRPr>
            </a:pPr>
            <a:endParaRPr lang="en-US"/>
          </a:p>
        </c:txPr>
        <c:crossAx val="144362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425C59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 w="9525">
                <a:solidFill>
                  <a:schemeClr val="bg1"/>
                </a:solidFill>
              </a:ln>
              <a:effectLst/>
            </c:spPr>
          </c:marker>
          <c:cat>
            <c:strRef>
              <c:f>'BUDGET PLANNER PROJECT'!$J$45:$J$51</c:f>
              <c:strCache>
                <c:ptCount val="7"/>
                <c:pt idx="0">
                  <c:v>Housing</c:v>
                </c:pt>
                <c:pt idx="1">
                  <c:v>Food &amp; Groceries</c:v>
                </c:pt>
                <c:pt idx="2">
                  <c:v>Transportation</c:v>
                </c:pt>
                <c:pt idx="3">
                  <c:v>Personal Care</c:v>
                </c:pt>
                <c:pt idx="4">
                  <c:v>Healthcare</c:v>
                </c:pt>
                <c:pt idx="5">
                  <c:v>Insurance</c:v>
                </c:pt>
                <c:pt idx="6">
                  <c:v>Entertainment</c:v>
                </c:pt>
              </c:strCache>
            </c:strRef>
          </c:cat>
          <c:val>
            <c:numRef>
              <c:f>'BUDGET PLANNER PROJECT'!$K$45:$K$51</c:f>
              <c:numCache>
                <c:formatCode>_ [$₹-4009]\ * #,##0_ ;_ [$₹-4009]\ * \-#,##0_ ;_ [$₹-4009]\ * "-"??_ ;_ @_ </c:formatCode>
                <c:ptCount val="7"/>
                <c:pt idx="0">
                  <c:v>150</c:v>
                </c:pt>
                <c:pt idx="1">
                  <c:v>80</c:v>
                </c:pt>
                <c:pt idx="2">
                  <c:v>30</c:v>
                </c:pt>
                <c:pt idx="3">
                  <c:v>100</c:v>
                </c:pt>
                <c:pt idx="4">
                  <c:v>18</c:v>
                </c:pt>
                <c:pt idx="5">
                  <c:v>50</c:v>
                </c:pt>
                <c:pt idx="6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B4D-472D-B6AF-854FA87AC6F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bg1"/>
                </a:solidFill>
              </a:ln>
              <a:effectLst/>
            </c:spPr>
          </c:marker>
          <c:cat>
            <c:strRef>
              <c:f>'BUDGET PLANNER PROJECT'!$J$45:$J$51</c:f>
              <c:strCache>
                <c:ptCount val="7"/>
                <c:pt idx="0">
                  <c:v>Housing</c:v>
                </c:pt>
                <c:pt idx="1">
                  <c:v>Food &amp; Groceries</c:v>
                </c:pt>
                <c:pt idx="2">
                  <c:v>Transportation</c:v>
                </c:pt>
                <c:pt idx="3">
                  <c:v>Personal Care</c:v>
                </c:pt>
                <c:pt idx="4">
                  <c:v>Healthcare</c:v>
                </c:pt>
                <c:pt idx="5">
                  <c:v>Insurance</c:v>
                </c:pt>
                <c:pt idx="6">
                  <c:v>Entertainment</c:v>
                </c:pt>
              </c:strCache>
            </c:strRef>
          </c:cat>
          <c:val>
            <c:numRef>
              <c:f>'BUDGET PLANNER PROJECT'!$L$45:$L$51</c:f>
              <c:numCache>
                <c:formatCode>_ [$₹-4009]\ * #,##0_ ;_ [$₹-4009]\ * \-#,##0_ ;_ [$₹-4009]\ * "-"??_ ;_ @_ </c:formatCode>
                <c:ptCount val="7"/>
                <c:pt idx="0">
                  <c:v>0</c:v>
                </c:pt>
                <c:pt idx="1">
                  <c:v>97.9</c:v>
                </c:pt>
                <c:pt idx="2">
                  <c:v>0</c:v>
                </c:pt>
                <c:pt idx="3">
                  <c:v>338.23</c:v>
                </c:pt>
                <c:pt idx="4">
                  <c:v>70.97999999999999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B4D-472D-B6AF-854FA87AC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7222896"/>
        <c:axId val="1347219056"/>
      </c:lineChart>
      <c:catAx>
        <c:axId val="134722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219056"/>
        <c:crosses val="autoZero"/>
        <c:auto val="1"/>
        <c:lblAlgn val="ctr"/>
        <c:lblOffset val="100"/>
        <c:noMultiLvlLbl val="0"/>
      </c:catAx>
      <c:valAx>
        <c:axId val="134721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dashDot"/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ulim Park" pitchFamily="2" charset="0"/>
                <a:ea typeface="+mn-ea"/>
                <a:cs typeface="+mn-cs"/>
              </a:defRPr>
            </a:pPr>
            <a:endParaRPr lang="en-US"/>
          </a:p>
        </c:txPr>
        <c:crossAx val="134722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403831650557164"/>
          <c:y val="4.3941373678328892E-2"/>
          <c:w val="0.71098607861848184"/>
          <c:h val="0.686311355626235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'BUDGET PLANNER PROJECT'!$F$45:$F$48</c:f>
              <c:strCache>
                <c:ptCount val="4"/>
                <c:pt idx="0">
                  <c:v>Salary</c:v>
                </c:pt>
                <c:pt idx="1">
                  <c:v>Food Card</c:v>
                </c:pt>
                <c:pt idx="2">
                  <c:v>Rent</c:v>
                </c:pt>
                <c:pt idx="3">
                  <c:v>Side Income</c:v>
                </c:pt>
              </c:strCache>
            </c:strRef>
          </c:cat>
          <c:val>
            <c:numRef>
              <c:f>'BUDGET PLANNER PROJECT'!$G$45:$G$48</c:f>
              <c:numCache>
                <c:formatCode>_ [$₹-4009]\ * #,##0_ ;_ [$₹-4009]\ * \-#,##0_ ;_ [$₹-4009]\ * "-"??_ ;_ @_ </c:formatCode>
                <c:ptCount val="4"/>
                <c:pt idx="0">
                  <c:v>2000</c:v>
                </c:pt>
                <c:pt idx="1">
                  <c:v>200</c:v>
                </c:pt>
                <c:pt idx="2">
                  <c:v>600</c:v>
                </c:pt>
                <c:pt idx="3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24-4E8D-A2C5-52285808B508}"/>
            </c:ext>
          </c:extLst>
        </c:ser>
        <c:ser>
          <c:idx val="1"/>
          <c:order val="1"/>
          <c:spPr>
            <a:solidFill>
              <a:srgbClr val="425C59"/>
            </a:solidFill>
            <a:ln>
              <a:noFill/>
            </a:ln>
            <a:effectLst/>
          </c:spPr>
          <c:invertIfNegative val="0"/>
          <c:cat>
            <c:strRef>
              <c:f>'BUDGET PLANNER PROJECT'!$F$45:$F$48</c:f>
              <c:strCache>
                <c:ptCount val="4"/>
                <c:pt idx="0">
                  <c:v>Salary</c:v>
                </c:pt>
                <c:pt idx="1">
                  <c:v>Food Card</c:v>
                </c:pt>
                <c:pt idx="2">
                  <c:v>Rent</c:v>
                </c:pt>
                <c:pt idx="3">
                  <c:v>Side Income</c:v>
                </c:pt>
              </c:strCache>
            </c:strRef>
          </c:cat>
          <c:val>
            <c:numRef>
              <c:f>'BUDGET PLANNER PROJECT'!$H$45:$H$48</c:f>
              <c:numCache>
                <c:formatCode>_ [$₹-4009]\ * #,##0_ ;_ [$₹-4009]\ * \-#,##0_ ;_ [$₹-4009]\ * "-"??_ ;_ @_ </c:formatCode>
                <c:ptCount val="4"/>
                <c:pt idx="0">
                  <c:v>1960</c:v>
                </c:pt>
                <c:pt idx="1">
                  <c:v>210</c:v>
                </c:pt>
                <c:pt idx="2">
                  <c:v>612</c:v>
                </c:pt>
                <c:pt idx="3">
                  <c:v>223.73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24-4E8D-A2C5-52285808B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7220496"/>
        <c:axId val="1347220976"/>
      </c:barChart>
      <c:catAx>
        <c:axId val="134722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rgbClr val="425C59"/>
                </a:solidFill>
                <a:latin typeface="Kulim Park" pitchFamily="2" charset="0"/>
                <a:ea typeface="+mn-ea"/>
                <a:cs typeface="+mn-cs"/>
              </a:defRPr>
            </a:pPr>
            <a:endParaRPr lang="en-US"/>
          </a:p>
        </c:txPr>
        <c:crossAx val="1347220976"/>
        <c:crosses val="autoZero"/>
        <c:auto val="1"/>
        <c:lblAlgn val="ctr"/>
        <c:lblOffset val="100"/>
        <c:noMultiLvlLbl val="0"/>
      </c:catAx>
      <c:valAx>
        <c:axId val="134722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rgbClr val="425C59"/>
                </a:solidFill>
                <a:latin typeface="Kulim Park" pitchFamily="2" charset="0"/>
                <a:ea typeface="+mn-ea"/>
                <a:cs typeface="+mn-cs"/>
              </a:defRPr>
            </a:pPr>
            <a:endParaRPr lang="en-US"/>
          </a:p>
        </c:txPr>
        <c:crossAx val="1347220496"/>
        <c:crosses val="autoZero"/>
        <c:crossBetween val="between"/>
        <c:majorUnit val="3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openclipart.org/detail/204749/found-icons-in-hk-4-by-wanglizhong-204749" TargetMode="External"/><Relationship Id="rId13" Type="http://schemas.openxmlformats.org/officeDocument/2006/relationships/chart" Target="../charts/chart5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4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3.xml"/><Relationship Id="rId5" Type="http://schemas.openxmlformats.org/officeDocument/2006/relationships/image" Target="../media/image5.png"/><Relationship Id="rId10" Type="http://schemas.openxmlformats.org/officeDocument/2006/relationships/chart" Target="../charts/chart2.xml"/><Relationship Id="rId4" Type="http://schemas.openxmlformats.org/officeDocument/2006/relationships/image" Target="../media/image4.svg"/><Relationship Id="rId9" Type="http://schemas.openxmlformats.org/officeDocument/2006/relationships/chart" Target="../charts/chart1.xml"/><Relationship Id="rId1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16711</xdr:colOff>
      <xdr:row>0</xdr:row>
      <xdr:rowOff>0</xdr:rowOff>
    </xdr:from>
    <xdr:to>
      <xdr:col>15</xdr:col>
      <xdr:colOff>386221</xdr:colOff>
      <xdr:row>37</xdr:row>
      <xdr:rowOff>151221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D1EECD4-2BA4-24F8-9B87-FB65B50B0B9D}"/>
            </a:ext>
          </a:extLst>
        </xdr:cNvPr>
        <xdr:cNvSpPr/>
      </xdr:nvSpPr>
      <xdr:spPr>
        <a:xfrm>
          <a:off x="183816" y="0"/>
          <a:ext cx="11782800" cy="6952405"/>
        </a:xfrm>
        <a:prstGeom prst="roundRect">
          <a:avLst>
            <a:gd name="adj" fmla="val 3802"/>
          </a:avLst>
        </a:prstGeom>
        <a:solidFill>
          <a:srgbClr val="E2ECE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s</a:t>
          </a:r>
        </a:p>
      </xdr:txBody>
    </xdr:sp>
    <xdr:clientData/>
  </xdr:twoCellAnchor>
  <xdr:oneCellAnchor>
    <xdr:from>
      <xdr:col>1</xdr:col>
      <xdr:colOff>14123</xdr:colOff>
      <xdr:row>39</xdr:row>
      <xdr:rowOff>86990</xdr:rowOff>
    </xdr:from>
    <xdr:ext cx="1764000" cy="2664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0520970-ECDA-8CDD-ABCF-C101646FABE1}"/>
            </a:ext>
          </a:extLst>
        </xdr:cNvPr>
        <xdr:cNvSpPr txBox="1"/>
      </xdr:nvSpPr>
      <xdr:spPr>
        <a:xfrm>
          <a:off x="188137" y="7587928"/>
          <a:ext cx="1764000" cy="266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b="1" i="0">
              <a:latin typeface="Montserrat" panose="00000500000000000000" pitchFamily="2" charset="0"/>
            </a:rPr>
            <a:t>The Budget Data Entry</a:t>
          </a:r>
        </a:p>
      </xdr:txBody>
    </xdr:sp>
    <xdr:clientData/>
  </xdr:oneCellAnchor>
  <xdr:twoCellAnchor editAs="absolute">
    <xdr:from>
      <xdr:col>2</xdr:col>
      <xdr:colOff>735785</xdr:colOff>
      <xdr:row>40</xdr:row>
      <xdr:rowOff>43417</xdr:rowOff>
    </xdr:from>
    <xdr:to>
      <xdr:col>22</xdr:col>
      <xdr:colOff>73673</xdr:colOff>
      <xdr:row>40</xdr:row>
      <xdr:rowOff>43417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2816FBB-6E93-791A-6B76-8DD709866014}"/>
            </a:ext>
          </a:extLst>
        </xdr:cNvPr>
        <xdr:cNvCxnSpPr/>
      </xdr:nvCxnSpPr>
      <xdr:spPr>
        <a:xfrm>
          <a:off x="2027155" y="7736686"/>
          <a:ext cx="1529226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149186</xdr:colOff>
      <xdr:row>41</xdr:row>
      <xdr:rowOff>103281</xdr:rowOff>
    </xdr:from>
    <xdr:ext cx="1488869" cy="248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EA7470C-77B5-846F-E77A-4D2513CE8C25}"/>
            </a:ext>
          </a:extLst>
        </xdr:cNvPr>
        <xdr:cNvSpPr txBox="1"/>
      </xdr:nvSpPr>
      <xdr:spPr>
        <a:xfrm>
          <a:off x="149186" y="8023019"/>
          <a:ext cx="1488869" cy="248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000" b="1" i="0">
              <a:latin typeface="Montserrat" panose="00000500000000000000" pitchFamily="2" charset="0"/>
            </a:rPr>
            <a:t>Cash Flow Summary</a:t>
          </a:r>
          <a:endParaRPr lang="en-IN" sz="1100" b="1" i="0">
            <a:latin typeface="Montserrat" panose="00000500000000000000" pitchFamily="2" charset="0"/>
          </a:endParaRPr>
        </a:p>
      </xdr:txBody>
    </xdr:sp>
    <xdr:clientData/>
  </xdr:oneCellAnchor>
  <xdr:oneCellAnchor>
    <xdr:from>
      <xdr:col>4</xdr:col>
      <xdr:colOff>149186</xdr:colOff>
      <xdr:row>41</xdr:row>
      <xdr:rowOff>103281</xdr:rowOff>
    </xdr:from>
    <xdr:ext cx="1323567" cy="24865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381C5A9-9D62-4247-9D22-CE91EE820B4D}"/>
            </a:ext>
          </a:extLst>
        </xdr:cNvPr>
        <xdr:cNvSpPr txBox="1"/>
      </xdr:nvSpPr>
      <xdr:spPr>
        <a:xfrm>
          <a:off x="3286441" y="8023019"/>
          <a:ext cx="1323567" cy="248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000" b="1" i="0">
              <a:latin typeface="Montserrat" panose="00000500000000000000" pitchFamily="2" charset="0"/>
            </a:rPr>
            <a:t>Income Summary</a:t>
          </a:r>
          <a:endParaRPr lang="en-IN" sz="1100" b="1" i="0">
            <a:latin typeface="Montserrat" panose="00000500000000000000" pitchFamily="2" charset="0"/>
          </a:endParaRPr>
        </a:p>
      </xdr:txBody>
    </xdr:sp>
    <xdr:clientData/>
  </xdr:oneCellAnchor>
  <xdr:oneCellAnchor>
    <xdr:from>
      <xdr:col>8</xdr:col>
      <xdr:colOff>149186</xdr:colOff>
      <xdr:row>41</xdr:row>
      <xdr:rowOff>103281</xdr:rowOff>
    </xdr:from>
    <xdr:ext cx="1376787" cy="248658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1D1D5CF-8046-4B6C-AE78-D67D7498CFF3}"/>
            </a:ext>
          </a:extLst>
        </xdr:cNvPr>
        <xdr:cNvSpPr txBox="1"/>
      </xdr:nvSpPr>
      <xdr:spPr>
        <a:xfrm>
          <a:off x="6423696" y="8023019"/>
          <a:ext cx="1376787" cy="248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000" b="1" i="0">
              <a:latin typeface="Montserrat" panose="00000500000000000000" pitchFamily="2" charset="0"/>
            </a:rPr>
            <a:t>Expense Summary</a:t>
          </a:r>
          <a:endParaRPr lang="en-IN" sz="1100" b="1" i="0">
            <a:latin typeface="Montserrat" panose="00000500000000000000" pitchFamily="2" charset="0"/>
          </a:endParaRPr>
        </a:p>
      </xdr:txBody>
    </xdr:sp>
    <xdr:clientData/>
  </xdr:oneCellAnchor>
  <xdr:oneCellAnchor>
    <xdr:from>
      <xdr:col>12</xdr:col>
      <xdr:colOff>149186</xdr:colOff>
      <xdr:row>41</xdr:row>
      <xdr:rowOff>103281</xdr:rowOff>
    </xdr:from>
    <xdr:ext cx="1328056" cy="248658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C44D7B4-79D7-4019-B31A-2971FA1562E2}"/>
            </a:ext>
          </a:extLst>
        </xdr:cNvPr>
        <xdr:cNvSpPr txBox="1"/>
      </xdr:nvSpPr>
      <xdr:spPr>
        <a:xfrm>
          <a:off x="9564282" y="8114050"/>
          <a:ext cx="1328056" cy="248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000" b="1" i="0">
              <a:latin typeface="Montserrat" panose="00000500000000000000" pitchFamily="2" charset="0"/>
            </a:rPr>
            <a:t>Savings Summary</a:t>
          </a:r>
          <a:endParaRPr lang="en-IN" sz="1100" b="1" i="0">
            <a:latin typeface="Montserrat" panose="00000500000000000000" pitchFamily="2" charset="0"/>
          </a:endParaRPr>
        </a:p>
      </xdr:txBody>
    </xdr:sp>
    <xdr:clientData/>
  </xdr:oneCellAnchor>
  <xdr:oneCellAnchor>
    <xdr:from>
      <xdr:col>16</xdr:col>
      <xdr:colOff>160662</xdr:colOff>
      <xdr:row>41</xdr:row>
      <xdr:rowOff>103281</xdr:rowOff>
    </xdr:from>
    <xdr:ext cx="885371" cy="24865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EE917FE-B350-58B8-6276-D4C4384C7928}"/>
            </a:ext>
          </a:extLst>
        </xdr:cNvPr>
        <xdr:cNvSpPr txBox="1"/>
      </xdr:nvSpPr>
      <xdr:spPr>
        <a:xfrm>
          <a:off x="8159367" y="8101986"/>
          <a:ext cx="885371" cy="248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000" b="1" i="0">
              <a:latin typeface="Montserrat" panose="00000500000000000000" pitchFamily="2" charset="0"/>
            </a:rPr>
            <a:t>Bill Tracker</a:t>
          </a:r>
        </a:p>
      </xdr:txBody>
    </xdr:sp>
    <xdr:clientData/>
  </xdr:oneCellAnchor>
  <xdr:oneCellAnchor>
    <xdr:from>
      <xdr:col>1</xdr:col>
      <xdr:colOff>6087</xdr:colOff>
      <xdr:row>57</xdr:row>
      <xdr:rowOff>119672</xdr:rowOff>
    </xdr:from>
    <xdr:ext cx="1344984" cy="26430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7AF5F18-E94B-9A4E-0580-5700C2E6C925}"/>
            </a:ext>
          </a:extLst>
        </xdr:cNvPr>
        <xdr:cNvSpPr txBox="1"/>
      </xdr:nvSpPr>
      <xdr:spPr>
        <a:xfrm>
          <a:off x="179269" y="10763693"/>
          <a:ext cx="1344984" cy="264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b="1" i="0">
              <a:latin typeface="Montserrat" panose="00000500000000000000" pitchFamily="2" charset="0"/>
            </a:rPr>
            <a:t>Transactions</a:t>
          </a:r>
          <a:r>
            <a:rPr lang="en-IN" sz="1100" b="1" i="0" baseline="0">
              <a:latin typeface="Montserrat" panose="00000500000000000000" pitchFamily="2" charset="0"/>
            </a:rPr>
            <a:t> List</a:t>
          </a:r>
          <a:endParaRPr lang="en-IN" sz="1100" b="1" i="0">
            <a:latin typeface="Montserrat" panose="00000500000000000000" pitchFamily="2" charset="0"/>
          </a:endParaRPr>
        </a:p>
      </xdr:txBody>
    </xdr:sp>
    <xdr:clientData/>
  </xdr:oneCellAnchor>
  <xdr:twoCellAnchor editAs="absolute">
    <xdr:from>
      <xdr:col>2</xdr:col>
      <xdr:colOff>293284</xdr:colOff>
      <xdr:row>58</xdr:row>
      <xdr:rowOff>78530</xdr:rowOff>
    </xdr:from>
    <xdr:to>
      <xdr:col>22</xdr:col>
      <xdr:colOff>52206</xdr:colOff>
      <xdr:row>58</xdr:row>
      <xdr:rowOff>78530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2D6CAFF0-2218-4E11-043A-B953F02EF519}"/>
            </a:ext>
          </a:extLst>
        </xdr:cNvPr>
        <xdr:cNvCxnSpPr/>
      </xdr:nvCxnSpPr>
      <xdr:spPr>
        <a:xfrm flipV="1">
          <a:off x="1576737" y="10991920"/>
          <a:ext cx="1562854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6216</xdr:colOff>
      <xdr:row>0</xdr:row>
      <xdr:rowOff>54275</xdr:rowOff>
    </xdr:from>
    <xdr:to>
      <xdr:col>15</xdr:col>
      <xdr:colOff>377057</xdr:colOff>
      <xdr:row>9</xdr:row>
      <xdr:rowOff>145592</xdr:rowOff>
    </xdr:to>
    <xdr:sp macro="" textlink="">
      <xdr:nvSpPr>
        <xdr:cNvPr id="8" name="Rectangle: Top Corners Rounded 7">
          <a:extLst>
            <a:ext uri="{FF2B5EF4-FFF2-40B4-BE49-F238E27FC236}">
              <a16:creationId xmlns:a16="http://schemas.microsoft.com/office/drawing/2014/main" id="{D76AA720-935A-37EA-6AB7-D795F8FB0787}"/>
            </a:ext>
          </a:extLst>
        </xdr:cNvPr>
        <xdr:cNvSpPr/>
      </xdr:nvSpPr>
      <xdr:spPr>
        <a:xfrm>
          <a:off x="178528" y="54275"/>
          <a:ext cx="11815200" cy="1814433"/>
        </a:xfrm>
        <a:prstGeom prst="round2SameRect">
          <a:avLst>
            <a:gd name="adj1" fmla="val 17984"/>
            <a:gd name="adj2" fmla="val 0"/>
          </a:avLst>
        </a:prstGeom>
        <a:solidFill>
          <a:srgbClr val="425C5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</a:t>
          </a:r>
        </a:p>
      </xdr:txBody>
    </xdr:sp>
    <xdr:clientData/>
  </xdr:twoCellAnchor>
  <xdr:oneCellAnchor>
    <xdr:from>
      <xdr:col>3</xdr:col>
      <xdr:colOff>419683</xdr:colOff>
      <xdr:row>1</xdr:row>
      <xdr:rowOff>178197</xdr:rowOff>
    </xdr:from>
    <xdr:ext cx="5385340" cy="348813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3C663BB-4AB5-B605-385C-5E3B61A765FC}"/>
            </a:ext>
          </a:extLst>
        </xdr:cNvPr>
        <xdr:cNvSpPr txBox="1"/>
      </xdr:nvSpPr>
      <xdr:spPr>
        <a:xfrm>
          <a:off x="2628672" y="370724"/>
          <a:ext cx="5385340" cy="3488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2000" b="1">
              <a:solidFill>
                <a:srgbClr val="F0DF66"/>
              </a:solidFill>
              <a:latin typeface="Josefin Sans" pitchFamily="2" charset="0"/>
            </a:rPr>
            <a:t>BUDGET PLANNER DASHBOARD</a:t>
          </a:r>
        </a:p>
      </xdr:txBody>
    </xdr:sp>
    <xdr:clientData/>
  </xdr:oneCellAnchor>
  <xdr:oneCellAnchor>
    <xdr:from>
      <xdr:col>3</xdr:col>
      <xdr:colOff>419683</xdr:colOff>
      <xdr:row>3</xdr:row>
      <xdr:rowOff>105252</xdr:rowOff>
    </xdr:from>
    <xdr:ext cx="3907206" cy="271869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373A0F7-594F-EC95-9F94-114F0AD315E7}"/>
            </a:ext>
          </a:extLst>
        </xdr:cNvPr>
        <xdr:cNvSpPr txBox="1"/>
      </xdr:nvSpPr>
      <xdr:spPr>
        <a:xfrm>
          <a:off x="2628672" y="682832"/>
          <a:ext cx="3907206" cy="271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400">
              <a:solidFill>
                <a:schemeClr val="bg1"/>
              </a:solidFill>
              <a:latin typeface="Josefin Sans" pitchFamily="2" charset="0"/>
            </a:rPr>
            <a:t>Personal</a:t>
          </a:r>
          <a:r>
            <a:rPr lang="en-IN" sz="1400" baseline="0">
              <a:solidFill>
                <a:schemeClr val="bg1"/>
              </a:solidFill>
              <a:latin typeface="Josefin Sans" pitchFamily="2" charset="0"/>
            </a:rPr>
            <a:t> Budget Monthly Dashboard</a:t>
          </a:r>
          <a:endParaRPr lang="en-IN" sz="1400">
            <a:solidFill>
              <a:schemeClr val="bg1"/>
            </a:solidFill>
            <a:latin typeface="Josefin Sans" pitchFamily="2" charset="0"/>
          </a:endParaRPr>
        </a:p>
      </xdr:txBody>
    </xdr:sp>
    <xdr:clientData/>
  </xdr:oneCellAnchor>
  <xdr:oneCellAnchor>
    <xdr:from>
      <xdr:col>1</xdr:col>
      <xdr:colOff>192855</xdr:colOff>
      <xdr:row>1</xdr:row>
      <xdr:rowOff>94517</xdr:rowOff>
    </xdr:from>
    <xdr:ext cx="711990" cy="271869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3521D94-0B84-808F-ADB8-46396BA70FFE}"/>
            </a:ext>
          </a:extLst>
        </xdr:cNvPr>
        <xdr:cNvSpPr txBox="1"/>
      </xdr:nvSpPr>
      <xdr:spPr>
        <a:xfrm>
          <a:off x="363302" y="285017"/>
          <a:ext cx="711990" cy="271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400">
              <a:solidFill>
                <a:schemeClr val="bg1"/>
              </a:solidFill>
              <a:latin typeface="Josefin Sans" pitchFamily="2" charset="0"/>
            </a:rPr>
            <a:t>Month</a:t>
          </a:r>
        </a:p>
      </xdr:txBody>
    </xdr:sp>
    <xdr:clientData/>
  </xdr:oneCellAnchor>
  <xdr:oneCellAnchor>
    <xdr:from>
      <xdr:col>1</xdr:col>
      <xdr:colOff>182830</xdr:colOff>
      <xdr:row>2</xdr:row>
      <xdr:rowOff>75326</xdr:rowOff>
    </xdr:from>
    <xdr:ext cx="779444" cy="348813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D4FFEDA-C13E-36B8-DFE7-5C35237FDA73}"/>
            </a:ext>
          </a:extLst>
        </xdr:cNvPr>
        <xdr:cNvSpPr txBox="1"/>
      </xdr:nvSpPr>
      <xdr:spPr>
        <a:xfrm>
          <a:off x="358534" y="463724"/>
          <a:ext cx="779444" cy="3488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2000" b="0">
              <a:solidFill>
                <a:srgbClr val="F0DF66"/>
              </a:solidFill>
              <a:latin typeface="Josefin Sans" pitchFamily="2" charset="0"/>
            </a:rPr>
            <a:t>MAY</a:t>
          </a:r>
        </a:p>
      </xdr:txBody>
    </xdr:sp>
    <xdr:clientData/>
  </xdr:oneCellAnchor>
  <xdr:oneCellAnchor>
    <xdr:from>
      <xdr:col>1</xdr:col>
      <xdr:colOff>2647</xdr:colOff>
      <xdr:row>50</xdr:row>
      <xdr:rowOff>69977</xdr:rowOff>
    </xdr:from>
    <xdr:ext cx="1000659" cy="248658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62CFA6D-84F0-904B-C6C0-81CCF63F5EA1}"/>
            </a:ext>
          </a:extLst>
        </xdr:cNvPr>
        <xdr:cNvSpPr txBox="1"/>
      </xdr:nvSpPr>
      <xdr:spPr>
        <a:xfrm>
          <a:off x="175829" y="9528369"/>
          <a:ext cx="1000659" cy="248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000" b="1" i="0">
              <a:latin typeface="Montserrat" panose="00000500000000000000" pitchFamily="2" charset="0"/>
            </a:rPr>
            <a:t>Budget Data</a:t>
          </a:r>
          <a:endParaRPr lang="en-IN" sz="1100" b="1" i="0">
            <a:latin typeface="Montserrat" panose="00000500000000000000" pitchFamily="2" charset="0"/>
          </a:endParaRPr>
        </a:p>
      </xdr:txBody>
    </xdr:sp>
    <xdr:clientData/>
  </xdr:oneCellAnchor>
  <xdr:twoCellAnchor>
    <xdr:from>
      <xdr:col>3</xdr:col>
      <xdr:colOff>354774</xdr:colOff>
      <xdr:row>6</xdr:row>
      <xdr:rowOff>95539</xdr:rowOff>
    </xdr:from>
    <xdr:to>
      <xdr:col>6</xdr:col>
      <xdr:colOff>159614</xdr:colOff>
      <xdr:row>13</xdr:row>
      <xdr:rowOff>78251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BB78403B-AE55-A49A-3380-70170FE31ED0}"/>
            </a:ext>
          </a:extLst>
        </xdr:cNvPr>
        <xdr:cNvGrpSpPr/>
      </xdr:nvGrpSpPr>
      <xdr:grpSpPr>
        <a:xfrm>
          <a:off x="2562842" y="1221221"/>
          <a:ext cx="2012908" cy="1296007"/>
          <a:chOff x="2634380" y="1262954"/>
          <a:chExt cx="1984158" cy="1250295"/>
        </a:xfrm>
      </xdr:grpSpPr>
      <xdr:sp macro="" textlink="">
        <xdr:nvSpPr>
          <xdr:cNvPr id="24" name="Rectangle: Rounded Corners 23">
            <a:extLst>
              <a:ext uri="{FF2B5EF4-FFF2-40B4-BE49-F238E27FC236}">
                <a16:creationId xmlns:a16="http://schemas.microsoft.com/office/drawing/2014/main" id="{DA414C4E-7732-C49D-9766-67BDC789519C}"/>
              </a:ext>
            </a:extLst>
          </xdr:cNvPr>
          <xdr:cNvSpPr/>
        </xdr:nvSpPr>
        <xdr:spPr>
          <a:xfrm>
            <a:off x="2634380" y="1262954"/>
            <a:ext cx="1984158" cy="1250295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5400000" algn="t" rotWithShape="0">
              <a:srgbClr val="425C59">
                <a:alpha val="30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IN" sz="1100"/>
              <a:t>i</a:t>
            </a:r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382AF089-31C1-02F2-6C31-1DDF2DD3FD64}"/>
              </a:ext>
            </a:extLst>
          </xdr:cNvPr>
          <xdr:cNvSpPr txBox="1"/>
        </xdr:nvSpPr>
        <xdr:spPr>
          <a:xfrm>
            <a:off x="2999198" y="1339805"/>
            <a:ext cx="843084" cy="2669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252000" rtlCol="0" anchor="t">
            <a:spAutoFit/>
          </a:bodyPr>
          <a:lstStyle/>
          <a:p>
            <a:r>
              <a:rPr lang="en-IN" sz="1200" b="1" i="0">
                <a:solidFill>
                  <a:srgbClr val="425C59"/>
                </a:solidFill>
                <a:latin typeface="Kulim Park SemiBold" pitchFamily="2" charset="0"/>
              </a:rPr>
              <a:t>Income</a:t>
            </a:r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DB0122FA-3643-FF2B-C2D7-9CFF95F9B9A6}"/>
              </a:ext>
            </a:extLst>
          </xdr:cNvPr>
          <xdr:cNvSpPr txBox="1"/>
        </xdr:nvSpPr>
        <xdr:spPr>
          <a:xfrm>
            <a:off x="3173892" y="1538337"/>
            <a:ext cx="1166601" cy="2233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N" sz="900" b="1" i="0">
                <a:solidFill>
                  <a:schemeClr val="bg1">
                    <a:lumMod val="65000"/>
                  </a:schemeClr>
                </a:solidFill>
                <a:latin typeface="Kulim Park" pitchFamily="2" charset="0"/>
              </a:rPr>
              <a:t>The Actual Income</a:t>
            </a:r>
          </a:p>
        </xdr:txBody>
      </xdr:sp>
      <xdr:sp macro="" textlink="D46">
        <xdr:nvSpPr>
          <xdr:cNvPr id="29" name="TextBox 28">
            <a:extLst>
              <a:ext uri="{FF2B5EF4-FFF2-40B4-BE49-F238E27FC236}">
                <a16:creationId xmlns:a16="http://schemas.microsoft.com/office/drawing/2014/main" id="{0E7FF99F-B3C8-B04C-D4F8-152D2E438CD3}"/>
              </a:ext>
            </a:extLst>
          </xdr:cNvPr>
          <xdr:cNvSpPr txBox="1"/>
        </xdr:nvSpPr>
        <xdr:spPr>
          <a:xfrm>
            <a:off x="2886514" y="1880040"/>
            <a:ext cx="1475136" cy="42171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indent="0" algn="ctr"/>
            <a:fld id="{D7A88AC3-C05E-42DA-9DD1-80FE8A3E2703}" type="TxLink">
              <a:rPr lang="en-US" sz="2400" b="1" i="0" u="none" strike="noStrike">
                <a:solidFill>
                  <a:srgbClr val="000000"/>
                </a:solidFill>
                <a:latin typeface="Kulim Park" pitchFamily="2" charset="0"/>
                <a:ea typeface="Calibri"/>
                <a:cs typeface="Calibri"/>
              </a:rPr>
              <a:pPr marL="0" indent="0" algn="ctr"/>
              <a:t> ₹ 4,206 </a:t>
            </a:fld>
            <a:endParaRPr lang="en-IN" sz="2400" b="1" i="0" u="none" strike="noStrike">
              <a:solidFill>
                <a:srgbClr val="000000"/>
              </a:solidFill>
              <a:latin typeface="Kulim Park" pitchFamily="2" charset="0"/>
              <a:ea typeface="Calibri"/>
              <a:cs typeface="Calibri"/>
            </a:endParaRPr>
          </a:p>
        </xdr:txBody>
      </xdr:sp>
      <xdr:pic>
        <xdr:nvPicPr>
          <xdr:cNvPr id="33" name="Graphic 32" descr="Wallet">
            <a:extLst>
              <a:ext uri="{FF2B5EF4-FFF2-40B4-BE49-F238E27FC236}">
                <a16:creationId xmlns:a16="http://schemas.microsoft.com/office/drawing/2014/main" id="{56E45BC3-6431-CEE1-DBB6-A249910E1E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721540" y="1333976"/>
            <a:ext cx="447209" cy="43427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203406</xdr:colOff>
      <xdr:row>6</xdr:row>
      <xdr:rowOff>91336</xdr:rowOff>
    </xdr:from>
    <xdr:to>
      <xdr:col>3</xdr:col>
      <xdr:colOff>177662</xdr:colOff>
      <xdr:row>13</xdr:row>
      <xdr:rowOff>74048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61F07CA9-DAFF-8226-1CA3-AB6A9ED3053B}"/>
            </a:ext>
          </a:extLst>
        </xdr:cNvPr>
        <xdr:cNvGrpSpPr/>
      </xdr:nvGrpSpPr>
      <xdr:grpSpPr>
        <a:xfrm>
          <a:off x="376588" y="1217018"/>
          <a:ext cx="2009142" cy="1296007"/>
          <a:chOff x="377644" y="1241306"/>
          <a:chExt cx="2012838" cy="1250295"/>
        </a:xfrm>
      </xdr:grpSpPr>
      <xdr:sp macro="" textlink="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1600E556-75ED-1E17-6608-92880F62B427}"/>
              </a:ext>
            </a:extLst>
          </xdr:cNvPr>
          <xdr:cNvSpPr/>
        </xdr:nvSpPr>
        <xdr:spPr>
          <a:xfrm>
            <a:off x="377644" y="1241306"/>
            <a:ext cx="1983102" cy="1250295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5400000" algn="t" rotWithShape="0">
              <a:srgbClr val="425C59">
                <a:alpha val="30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IN" sz="1100"/>
              <a:t>i</a:t>
            </a:r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7201E926-5F9D-2B5F-3CF7-CCA8A57F1E1B}"/>
              </a:ext>
            </a:extLst>
          </xdr:cNvPr>
          <xdr:cNvSpPr txBox="1"/>
        </xdr:nvSpPr>
        <xdr:spPr>
          <a:xfrm>
            <a:off x="635899" y="1307333"/>
            <a:ext cx="1462612" cy="2669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252000" rtlCol="0" anchor="t">
            <a:spAutoFit/>
          </a:bodyPr>
          <a:lstStyle/>
          <a:p>
            <a:r>
              <a:rPr lang="en-IN" sz="1200" b="1" i="0">
                <a:solidFill>
                  <a:srgbClr val="425C59"/>
                </a:solidFill>
                <a:latin typeface="Kulim Park SemiBold" pitchFamily="2" charset="0"/>
              </a:rPr>
              <a:t>Current Balance</a:t>
            </a: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97DB6081-1950-CBC3-5B81-7018F2B9E432}"/>
              </a:ext>
            </a:extLst>
          </xdr:cNvPr>
          <xdr:cNvSpPr txBox="1"/>
        </xdr:nvSpPr>
        <xdr:spPr>
          <a:xfrm>
            <a:off x="807162" y="1509032"/>
            <a:ext cx="1583320" cy="2233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N" sz="900" b="1" i="0">
                <a:solidFill>
                  <a:schemeClr val="bg1">
                    <a:lumMod val="65000"/>
                  </a:schemeClr>
                </a:solidFill>
                <a:latin typeface="Kulim Park" pitchFamily="2" charset="0"/>
              </a:rPr>
              <a:t>Money Available To Spend</a:t>
            </a:r>
          </a:p>
        </xdr:txBody>
      </xdr:sp>
      <xdr:pic>
        <xdr:nvPicPr>
          <xdr:cNvPr id="23" name="Graphic 22" descr="Coins">
            <a:extLst>
              <a:ext uri="{FF2B5EF4-FFF2-40B4-BE49-F238E27FC236}">
                <a16:creationId xmlns:a16="http://schemas.microsoft.com/office/drawing/2014/main" id="{61A9B112-A18F-BB67-FF48-4E377D4DE20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466482" y="1333976"/>
            <a:ext cx="389660" cy="383324"/>
          </a:xfrm>
          <a:prstGeom prst="rect">
            <a:avLst/>
          </a:prstGeom>
        </xdr:spPr>
      </xdr:pic>
      <xdr:sp macro="" textlink="D50">
        <xdr:nvSpPr>
          <xdr:cNvPr id="34" name="TextBox 33">
            <a:extLst>
              <a:ext uri="{FF2B5EF4-FFF2-40B4-BE49-F238E27FC236}">
                <a16:creationId xmlns:a16="http://schemas.microsoft.com/office/drawing/2014/main" id="{7DB7E1F4-C157-AA95-830C-DDE79A569016}"/>
              </a:ext>
            </a:extLst>
          </xdr:cNvPr>
          <xdr:cNvSpPr txBox="1"/>
        </xdr:nvSpPr>
        <xdr:spPr>
          <a:xfrm>
            <a:off x="742304" y="1887312"/>
            <a:ext cx="1324110" cy="41671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fld id="{8376651C-4D5D-4D56-9FAE-D51E1094153C}" type="TxLink">
              <a:rPr lang="en-US" sz="2400" b="1" i="0" u="none" strike="noStrike">
                <a:solidFill>
                  <a:srgbClr val="000000"/>
                </a:solidFill>
                <a:latin typeface="Kulim Park" pitchFamily="2" charset="0"/>
                <a:ea typeface="Calibri"/>
                <a:cs typeface="Calibri"/>
              </a:rPr>
              <a:pPr/>
              <a:t> ₹ 2,411 </a:t>
            </a:fld>
            <a:endParaRPr lang="en-IN" sz="3200" b="1">
              <a:latin typeface="Kulim Park" pitchFamily="2" charset="0"/>
            </a:endParaRPr>
          </a:p>
        </xdr:txBody>
      </xdr:sp>
    </xdr:grpSp>
    <xdr:clientData/>
  </xdr:twoCellAnchor>
  <xdr:twoCellAnchor>
    <xdr:from>
      <xdr:col>6</xdr:col>
      <xdr:colOff>336726</xdr:colOff>
      <xdr:row>6</xdr:row>
      <xdr:rowOff>91581</xdr:rowOff>
    </xdr:from>
    <xdr:to>
      <xdr:col>9</xdr:col>
      <xdr:colOff>328663</xdr:colOff>
      <xdr:row>13</xdr:row>
      <xdr:rowOff>74293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1C3E90A0-4436-633D-F446-C9FD0A87F82E}"/>
            </a:ext>
          </a:extLst>
        </xdr:cNvPr>
        <xdr:cNvGrpSpPr/>
      </xdr:nvGrpSpPr>
      <xdr:grpSpPr>
        <a:xfrm>
          <a:off x="4752862" y="1217263"/>
          <a:ext cx="2012392" cy="1296007"/>
          <a:chOff x="4879671" y="1273778"/>
          <a:chExt cx="1987326" cy="1250295"/>
        </a:xfrm>
      </xdr:grpSpPr>
      <xdr:sp macro="" textlink="">
        <xdr:nvSpPr>
          <xdr:cNvPr id="35" name="Rectangle: Rounded Corners 34">
            <a:extLst>
              <a:ext uri="{FF2B5EF4-FFF2-40B4-BE49-F238E27FC236}">
                <a16:creationId xmlns:a16="http://schemas.microsoft.com/office/drawing/2014/main" id="{5C2E0A02-5C12-88C0-0578-B338F744161E}"/>
              </a:ext>
            </a:extLst>
          </xdr:cNvPr>
          <xdr:cNvSpPr/>
        </xdr:nvSpPr>
        <xdr:spPr>
          <a:xfrm>
            <a:off x="4879671" y="1273778"/>
            <a:ext cx="1987326" cy="1250295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5400000" algn="t" rotWithShape="0">
              <a:srgbClr val="425C59">
                <a:alpha val="30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IN" sz="1100"/>
              <a:t>i</a:t>
            </a: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FE28DA0-858E-94E4-3136-C0B3EA8DFEDA}"/>
              </a:ext>
            </a:extLst>
          </xdr:cNvPr>
          <xdr:cNvSpPr txBox="1"/>
        </xdr:nvSpPr>
        <xdr:spPr>
          <a:xfrm>
            <a:off x="5244489" y="1347460"/>
            <a:ext cx="971773" cy="2669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252000" rtlCol="0" anchor="t">
            <a:spAutoFit/>
          </a:bodyPr>
          <a:lstStyle/>
          <a:p>
            <a:r>
              <a:rPr lang="en-IN" sz="1200" b="1" i="0">
                <a:solidFill>
                  <a:srgbClr val="425C59"/>
                </a:solidFill>
                <a:latin typeface="Kulim Park SemiBold" pitchFamily="2" charset="0"/>
              </a:rPr>
              <a:t>Expenses</a:t>
            </a: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16D64F1D-7582-8D30-BA03-7011C7AC8594}"/>
              </a:ext>
            </a:extLst>
          </xdr:cNvPr>
          <xdr:cNvSpPr txBox="1"/>
        </xdr:nvSpPr>
        <xdr:spPr>
          <a:xfrm>
            <a:off x="5419184" y="1549161"/>
            <a:ext cx="1264320" cy="2233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N" sz="900" b="1" i="0">
                <a:solidFill>
                  <a:schemeClr val="bg1">
                    <a:lumMod val="65000"/>
                  </a:schemeClr>
                </a:solidFill>
                <a:latin typeface="Kulim Park" pitchFamily="2" charset="0"/>
              </a:rPr>
              <a:t>The Actual Expenses</a:t>
            </a:r>
          </a:p>
        </xdr:txBody>
      </xdr:sp>
      <xdr:sp macro="" textlink="D47">
        <xdr:nvSpPr>
          <xdr:cNvPr id="38" name="TextBox 37">
            <a:extLst>
              <a:ext uri="{FF2B5EF4-FFF2-40B4-BE49-F238E27FC236}">
                <a16:creationId xmlns:a16="http://schemas.microsoft.com/office/drawing/2014/main" id="{909C9EBF-D474-B1B7-511E-E0606A85496F}"/>
              </a:ext>
            </a:extLst>
          </xdr:cNvPr>
          <xdr:cNvSpPr txBox="1"/>
        </xdr:nvSpPr>
        <xdr:spPr>
          <a:xfrm>
            <a:off x="5275879" y="1890864"/>
            <a:ext cx="1186986" cy="42171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indent="0" algn="ctr"/>
            <a:fld id="{40630A91-7B5C-42EF-B3C1-493B1E3629C6}" type="TxLink">
              <a:rPr lang="en-US" sz="2400" b="1" i="0" u="none" strike="noStrike">
                <a:solidFill>
                  <a:srgbClr val="000000"/>
                </a:solidFill>
                <a:latin typeface="Kulim Park" pitchFamily="2" charset="0"/>
                <a:ea typeface="Calibri"/>
                <a:cs typeface="Calibri"/>
              </a:rPr>
              <a:pPr marL="0" indent="0" algn="ctr"/>
              <a:t> ₹ 507 </a:t>
            </a:fld>
            <a:endParaRPr lang="en-IN" sz="2400" b="1" i="0" u="none" strike="noStrike">
              <a:solidFill>
                <a:srgbClr val="000000"/>
              </a:solidFill>
              <a:latin typeface="Kulim Park" pitchFamily="2" charset="0"/>
              <a:ea typeface="Calibri"/>
              <a:cs typeface="Calibri"/>
            </a:endParaRPr>
          </a:p>
        </xdr:txBody>
      </xdr:sp>
      <xdr:pic>
        <xdr:nvPicPr>
          <xdr:cNvPr id="40" name="Graphic 39" descr="Money">
            <a:extLst>
              <a:ext uri="{FF2B5EF4-FFF2-40B4-BE49-F238E27FC236}">
                <a16:creationId xmlns:a16="http://schemas.microsoft.com/office/drawing/2014/main" id="{755CDD88-8E72-2830-B870-CDF854395B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4988481" y="1341631"/>
            <a:ext cx="447210" cy="437442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505775</xdr:colOff>
      <xdr:row>6</xdr:row>
      <xdr:rowOff>86731</xdr:rowOff>
    </xdr:from>
    <xdr:to>
      <xdr:col>11</xdr:col>
      <xdr:colOff>453599</xdr:colOff>
      <xdr:row>13</xdr:row>
      <xdr:rowOff>69117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DDDCA283-610D-0777-09BF-C8BCF16AAC06}"/>
            </a:ext>
          </a:extLst>
        </xdr:cNvPr>
        <xdr:cNvGrpSpPr/>
      </xdr:nvGrpSpPr>
      <xdr:grpSpPr>
        <a:xfrm>
          <a:off x="6942366" y="1212413"/>
          <a:ext cx="1982710" cy="1295681"/>
          <a:chOff x="7117307" y="1284601"/>
          <a:chExt cx="1983102" cy="1248467"/>
        </a:xfrm>
      </xdr:grpSpPr>
      <xdr:sp macro="" textlink="">
        <xdr:nvSpPr>
          <xdr:cNvPr id="41" name="Rectangle: Rounded Corners 40">
            <a:extLst>
              <a:ext uri="{FF2B5EF4-FFF2-40B4-BE49-F238E27FC236}">
                <a16:creationId xmlns:a16="http://schemas.microsoft.com/office/drawing/2014/main" id="{9ADE978E-C12D-11ED-8442-5B3C8BA3DE4B}"/>
              </a:ext>
            </a:extLst>
          </xdr:cNvPr>
          <xdr:cNvSpPr/>
        </xdr:nvSpPr>
        <xdr:spPr>
          <a:xfrm>
            <a:off x="7117307" y="1284601"/>
            <a:ext cx="1983102" cy="1248467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5400000" algn="t" rotWithShape="0">
              <a:srgbClr val="425C59">
                <a:alpha val="30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IN" sz="1100"/>
              <a:t>i</a:t>
            </a:r>
          </a:p>
        </xdr:txBody>
      </xdr:sp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AA1EF666-C464-C1F0-44BE-AC3DC3914677}"/>
              </a:ext>
            </a:extLst>
          </xdr:cNvPr>
          <xdr:cNvSpPr txBox="1"/>
        </xdr:nvSpPr>
        <xdr:spPr>
          <a:xfrm>
            <a:off x="7482125" y="1358283"/>
            <a:ext cx="599427" cy="2669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252000" rtlCol="0" anchor="t">
            <a:spAutoFit/>
          </a:bodyPr>
          <a:lstStyle/>
          <a:p>
            <a:r>
              <a:rPr lang="en-IN" sz="1200" b="1" i="0">
                <a:solidFill>
                  <a:srgbClr val="425C59"/>
                </a:solidFill>
                <a:latin typeface="Kulim Park SemiBold" pitchFamily="2" charset="0"/>
              </a:rPr>
              <a:t>Bills</a:t>
            </a:r>
          </a:p>
        </xdr:txBody>
      </xdr: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D8534861-8184-35AE-52C2-BD43F7200C68}"/>
              </a:ext>
            </a:extLst>
          </xdr:cNvPr>
          <xdr:cNvSpPr txBox="1"/>
        </xdr:nvSpPr>
        <xdr:spPr>
          <a:xfrm>
            <a:off x="7653652" y="1559984"/>
            <a:ext cx="986552" cy="2233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N" sz="900" b="1" i="0">
                <a:solidFill>
                  <a:schemeClr val="bg1">
                    <a:lumMod val="65000"/>
                  </a:schemeClr>
                </a:solidFill>
                <a:latin typeface="Kulim Park" pitchFamily="2" charset="0"/>
              </a:rPr>
              <a:t>The Actual Bills</a:t>
            </a:r>
          </a:p>
        </xdr:txBody>
      </xdr:sp>
      <xdr:sp macro="" textlink="D48">
        <xdr:nvSpPr>
          <xdr:cNvPr id="44" name="TextBox 43">
            <a:extLst>
              <a:ext uri="{FF2B5EF4-FFF2-40B4-BE49-F238E27FC236}">
                <a16:creationId xmlns:a16="http://schemas.microsoft.com/office/drawing/2014/main" id="{0D8DCE5E-70B3-4B40-D5E5-DAE7B761B1C6}"/>
              </a:ext>
            </a:extLst>
          </xdr:cNvPr>
          <xdr:cNvSpPr txBox="1"/>
        </xdr:nvSpPr>
        <xdr:spPr>
          <a:xfrm>
            <a:off x="7408457" y="1901687"/>
            <a:ext cx="1397106" cy="4212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indent="0" algn="ctr"/>
            <a:fld id="{4F16C557-0CFD-4075-BD46-EE735DE10F5A}" type="TxLink">
              <a:rPr lang="en-US" sz="2400" b="1" i="0" u="none" strike="noStrike">
                <a:solidFill>
                  <a:srgbClr val="000000"/>
                </a:solidFill>
                <a:latin typeface="Kulim Park" pitchFamily="2" charset="0"/>
                <a:ea typeface="Calibri"/>
                <a:cs typeface="Calibri"/>
              </a:rPr>
              <a:pPr marL="0" indent="0" algn="ctr"/>
              <a:t> ₹ 1,088 </a:t>
            </a:fld>
            <a:endParaRPr lang="en-IN" sz="2400" b="1" i="0" u="none" strike="noStrike">
              <a:solidFill>
                <a:srgbClr val="000000"/>
              </a:solidFill>
              <a:latin typeface="Kulim Park" pitchFamily="2" charset="0"/>
              <a:ea typeface="Calibri"/>
              <a:cs typeface="Calibri"/>
            </a:endParaRPr>
          </a:p>
        </xdr:txBody>
      </xdr:sp>
      <xdr:pic>
        <xdr:nvPicPr>
          <xdr:cNvPr id="46" name="Picture 45">
            <a:extLst>
              <a:ext uri="{FF2B5EF4-FFF2-40B4-BE49-F238E27FC236}">
                <a16:creationId xmlns:a16="http://schemas.microsoft.com/office/drawing/2014/main" id="{D501F555-6AE0-5A0E-1646-CD12959ED8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  <a:ext uri="{837473B0-CC2E-450A-ABE3-18F120FF3D39}">
                <a1611:picAttrSrcUrl xmlns:a1611="http://schemas.microsoft.com/office/drawing/2016/11/main" r:id="rId8"/>
              </a:ext>
            </a:extLst>
          </a:blip>
          <a:stretch>
            <a:fillRect/>
          </a:stretch>
        </xdr:blipFill>
        <xdr:spPr>
          <a:xfrm>
            <a:off x="7271733" y="1418171"/>
            <a:ext cx="315700" cy="343890"/>
          </a:xfrm>
          <a:prstGeom prst="rect">
            <a:avLst/>
          </a:prstGeom>
          <a:solidFill>
            <a:srgbClr val="FFC000">
              <a:alpha val="79000"/>
            </a:srgbClr>
          </a:solidFill>
        </xdr:spPr>
      </xdr:pic>
    </xdr:grpSp>
    <xdr:clientData/>
  </xdr:twoCellAnchor>
  <xdr:twoCellAnchor>
    <xdr:from>
      <xdr:col>11</xdr:col>
      <xdr:colOff>630710</xdr:colOff>
      <xdr:row>1</xdr:row>
      <xdr:rowOff>51487</xdr:rowOff>
    </xdr:from>
    <xdr:to>
      <xdr:col>15</xdr:col>
      <xdr:colOff>133038</xdr:colOff>
      <xdr:row>13</xdr:row>
      <xdr:rowOff>81987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F4F956F1-CF4A-C6EB-0C9E-B6A42EC82D66}"/>
            </a:ext>
          </a:extLst>
        </xdr:cNvPr>
        <xdr:cNvSpPr/>
      </xdr:nvSpPr>
      <xdr:spPr>
        <a:xfrm>
          <a:off x="9056672" y="234660"/>
          <a:ext cx="2616270" cy="2228577"/>
        </a:xfrm>
        <a:prstGeom prst="roundRect">
          <a:avLst>
            <a:gd name="adj" fmla="val 14024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425C59">
              <a:alpha val="3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i</a:t>
          </a:r>
        </a:p>
      </xdr:txBody>
    </xdr:sp>
    <xdr:clientData/>
  </xdr:twoCellAnchor>
  <xdr:twoCellAnchor>
    <xdr:from>
      <xdr:col>11</xdr:col>
      <xdr:colOff>870855</xdr:colOff>
      <xdr:row>1</xdr:row>
      <xdr:rowOff>119523</xdr:rowOff>
    </xdr:from>
    <xdr:to>
      <xdr:col>14</xdr:col>
      <xdr:colOff>421820</xdr:colOff>
      <xdr:row>3</xdr:row>
      <xdr:rowOff>19595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952909EA-6115-4E7D-B3A9-04991D6D5B85}"/>
            </a:ext>
          </a:extLst>
        </xdr:cNvPr>
        <xdr:cNvSpPr txBox="1"/>
      </xdr:nvSpPr>
      <xdr:spPr>
        <a:xfrm>
          <a:off x="9354909" y="310023"/>
          <a:ext cx="1762125" cy="2810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90000" rtlCol="0" anchor="t">
          <a:noAutofit/>
        </a:bodyPr>
        <a:lstStyle/>
        <a:p>
          <a:pPr algn="ctr"/>
          <a:r>
            <a:rPr lang="en-IN" sz="1200" b="1" i="0">
              <a:solidFill>
                <a:srgbClr val="FFC000"/>
              </a:solidFill>
              <a:latin typeface="Kulim Park SemiBold" pitchFamily="2" charset="0"/>
            </a:rPr>
            <a:t>Allocation</a:t>
          </a:r>
          <a:r>
            <a:rPr lang="en-IN" sz="1200" b="1" i="0">
              <a:solidFill>
                <a:srgbClr val="425C59"/>
              </a:solidFill>
              <a:latin typeface="Kulim Park SemiBold" pitchFamily="2" charset="0"/>
            </a:rPr>
            <a:t> Summary</a:t>
          </a:r>
        </a:p>
      </xdr:txBody>
    </xdr:sp>
    <xdr:clientData/>
  </xdr:twoCellAnchor>
  <xdr:twoCellAnchor>
    <xdr:from>
      <xdr:col>12</xdr:col>
      <xdr:colOff>66037</xdr:colOff>
      <xdr:row>2</xdr:row>
      <xdr:rowOff>141358</xdr:rowOff>
    </xdr:from>
    <xdr:to>
      <xdr:col>14</xdr:col>
      <xdr:colOff>632731</xdr:colOff>
      <xdr:row>3</xdr:row>
      <xdr:rowOff>185963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7FF6E869-7B06-4766-BC5B-ECBE3BC871FF}"/>
            </a:ext>
          </a:extLst>
        </xdr:cNvPr>
        <xdr:cNvSpPr txBox="1"/>
      </xdr:nvSpPr>
      <xdr:spPr>
        <a:xfrm>
          <a:off x="9475376" y="522358"/>
          <a:ext cx="1852569" cy="2351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IN" sz="900" b="1" i="0">
              <a:solidFill>
                <a:schemeClr val="bg1">
                  <a:lumMod val="65000"/>
                </a:schemeClr>
              </a:solidFill>
              <a:latin typeface="Kulim Park" pitchFamily="2" charset="0"/>
            </a:rPr>
            <a:t>Actual</a:t>
          </a:r>
          <a:r>
            <a:rPr lang="en-IN" sz="900" b="1" i="0" baseline="0">
              <a:solidFill>
                <a:schemeClr val="bg1">
                  <a:lumMod val="65000"/>
                </a:schemeClr>
              </a:solidFill>
              <a:latin typeface="Kulim Park" pitchFamily="2" charset="0"/>
            </a:rPr>
            <a:t> Allocation Of The Income</a:t>
          </a:r>
          <a:endParaRPr lang="en-IN" sz="900" b="1" i="0">
            <a:solidFill>
              <a:schemeClr val="bg1">
                <a:lumMod val="65000"/>
              </a:schemeClr>
            </a:solidFill>
            <a:latin typeface="Kulim Park" pitchFamily="2" charset="0"/>
          </a:endParaRPr>
        </a:p>
      </xdr:txBody>
    </xdr:sp>
    <xdr:clientData/>
  </xdr:twoCellAnchor>
  <xdr:twoCellAnchor>
    <xdr:from>
      <xdr:col>11</xdr:col>
      <xdr:colOff>625929</xdr:colOff>
      <xdr:row>4</xdr:row>
      <xdr:rowOff>13228</xdr:rowOff>
    </xdr:from>
    <xdr:to>
      <xdr:col>15</xdr:col>
      <xdr:colOff>136072</xdr:colOff>
      <xdr:row>13</xdr:row>
      <xdr:rowOff>0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6D758062-E1A5-8F91-9765-7E810E78B5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181255</xdr:colOff>
      <xdr:row>14</xdr:row>
      <xdr:rowOff>94763</xdr:rowOff>
    </xdr:from>
    <xdr:to>
      <xdr:col>3</xdr:col>
      <xdr:colOff>123348</xdr:colOff>
      <xdr:row>29</xdr:row>
      <xdr:rowOff>71760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4A4353EE-ED84-F19E-1075-ED438D8433FC}"/>
            </a:ext>
          </a:extLst>
        </xdr:cNvPr>
        <xdr:cNvSpPr/>
      </xdr:nvSpPr>
      <xdr:spPr>
        <a:xfrm>
          <a:off x="351852" y="2682151"/>
          <a:ext cx="1975041" cy="2749199"/>
        </a:xfrm>
        <a:prstGeom prst="roundRect">
          <a:avLst>
            <a:gd name="adj" fmla="val 13870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425C59">
              <a:alpha val="3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i8</a:t>
          </a:r>
        </a:p>
      </xdr:txBody>
    </xdr:sp>
    <xdr:clientData/>
  </xdr:twoCellAnchor>
  <xdr:twoCellAnchor>
    <xdr:from>
      <xdr:col>1</xdr:col>
      <xdr:colOff>270517</xdr:colOff>
      <xdr:row>14</xdr:row>
      <xdr:rowOff>171102</xdr:rowOff>
    </xdr:from>
    <xdr:to>
      <xdr:col>2</xdr:col>
      <xdr:colOff>614006</xdr:colOff>
      <xdr:row>16</xdr:row>
      <xdr:rowOff>72293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6D7EB941-0D05-709C-E2C4-54A736B50D0E}"/>
            </a:ext>
          </a:extLst>
        </xdr:cNvPr>
        <xdr:cNvSpPr txBox="1"/>
      </xdr:nvSpPr>
      <xdr:spPr>
        <a:xfrm>
          <a:off x="437205" y="2838102"/>
          <a:ext cx="1462676" cy="2821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252000" rtlCol="0" anchor="t">
          <a:noAutofit/>
        </a:bodyPr>
        <a:lstStyle/>
        <a:p>
          <a:r>
            <a:rPr lang="en-IN" sz="1200" b="1" i="0">
              <a:solidFill>
                <a:srgbClr val="425C59"/>
              </a:solidFill>
              <a:latin typeface="Kulim Park" pitchFamily="2" charset="0"/>
            </a:rPr>
            <a:t>Budget Vs. Actual</a:t>
          </a:r>
        </a:p>
      </xdr:txBody>
    </xdr:sp>
    <xdr:clientData/>
  </xdr:twoCellAnchor>
  <xdr:twoCellAnchor>
    <xdr:from>
      <xdr:col>1</xdr:col>
      <xdr:colOff>441723</xdr:colOff>
      <xdr:row>16</xdr:row>
      <xdr:rowOff>4363</xdr:rowOff>
    </xdr:from>
    <xdr:to>
      <xdr:col>2</xdr:col>
      <xdr:colOff>905879</xdr:colOff>
      <xdr:row>18</xdr:row>
      <xdr:rowOff>1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8717F22-C4C8-8CE5-8FA0-EE123774486E}"/>
            </a:ext>
          </a:extLst>
        </xdr:cNvPr>
        <xdr:cNvSpPr txBox="1"/>
      </xdr:nvSpPr>
      <xdr:spPr>
        <a:xfrm>
          <a:off x="608411" y="3052363"/>
          <a:ext cx="1583343" cy="3766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900" b="1" i="0">
              <a:solidFill>
                <a:schemeClr val="bg1">
                  <a:lumMod val="65000"/>
                </a:schemeClr>
              </a:solidFill>
              <a:latin typeface="Kulim Park" pitchFamily="2" charset="0"/>
            </a:rPr>
            <a:t>Comparision Between</a:t>
          </a:r>
        </a:p>
        <a:p>
          <a:r>
            <a:rPr lang="en-IN" sz="900" b="1" i="0">
              <a:solidFill>
                <a:schemeClr val="bg1">
                  <a:lumMod val="65000"/>
                </a:schemeClr>
              </a:solidFill>
              <a:latin typeface="Kulim Park" pitchFamily="2" charset="0"/>
            </a:rPr>
            <a:t>Budget</a:t>
          </a:r>
          <a:r>
            <a:rPr lang="en-IN" sz="900" b="1" i="0" baseline="0">
              <a:solidFill>
                <a:schemeClr val="bg1">
                  <a:lumMod val="65000"/>
                </a:schemeClr>
              </a:solidFill>
              <a:latin typeface="Kulim Park" pitchFamily="2" charset="0"/>
            </a:rPr>
            <a:t> &amp; Actual Elements</a:t>
          </a:r>
          <a:endParaRPr lang="en-IN" sz="900" b="1" i="0">
            <a:solidFill>
              <a:schemeClr val="bg1">
                <a:lumMod val="65000"/>
              </a:schemeClr>
            </a:solidFill>
            <a:latin typeface="Kulim Park" pitchFamily="2" charset="0"/>
          </a:endParaRPr>
        </a:p>
      </xdr:txBody>
    </xdr:sp>
    <xdr:clientData/>
  </xdr:twoCellAnchor>
  <xdr:twoCellAnchor>
    <xdr:from>
      <xdr:col>1</xdr:col>
      <xdr:colOff>164496</xdr:colOff>
      <xdr:row>18</xdr:row>
      <xdr:rowOff>13547</xdr:rowOff>
    </xdr:from>
    <xdr:to>
      <xdr:col>2</xdr:col>
      <xdr:colOff>507985</xdr:colOff>
      <xdr:row>19</xdr:row>
      <xdr:rowOff>104522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20E2F523-CA0E-0CD6-4F21-BB2352740B5F}"/>
            </a:ext>
          </a:extLst>
        </xdr:cNvPr>
        <xdr:cNvSpPr txBox="1"/>
      </xdr:nvSpPr>
      <xdr:spPr>
        <a:xfrm>
          <a:off x="333293" y="3485952"/>
          <a:ext cx="1452730" cy="2838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252000" rtlCol="0" anchor="t">
          <a:noAutofit/>
        </a:bodyPr>
        <a:lstStyle/>
        <a:p>
          <a:r>
            <a:rPr lang="en-IN" sz="1200" b="1" i="0">
              <a:solidFill>
                <a:schemeClr val="accent5">
                  <a:lumMod val="75000"/>
                </a:schemeClr>
              </a:solidFill>
              <a:latin typeface="Kulim Park SemiBold" pitchFamily="2" charset="0"/>
            </a:rPr>
            <a:t>Savings Rate</a:t>
          </a:r>
        </a:p>
      </xdr:txBody>
    </xdr:sp>
    <xdr:clientData/>
  </xdr:twoCellAnchor>
  <xdr:twoCellAnchor>
    <xdr:from>
      <xdr:col>1</xdr:col>
      <xdr:colOff>622608</xdr:colOff>
      <xdr:row>19</xdr:row>
      <xdr:rowOff>156841</xdr:rowOff>
    </xdr:from>
    <xdr:to>
      <xdr:col>2</xdr:col>
      <xdr:colOff>22502</xdr:colOff>
      <xdr:row>20</xdr:row>
      <xdr:rowOff>177868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CFDA4194-FB79-9736-BC68-6AF9C2B1A2DB}"/>
            </a:ext>
          </a:extLst>
        </xdr:cNvPr>
        <xdr:cNvSpPr txBox="1"/>
      </xdr:nvSpPr>
      <xdr:spPr>
        <a:xfrm>
          <a:off x="789296" y="3776341"/>
          <a:ext cx="519081" cy="2115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IN" sz="1050" b="0" i="0">
              <a:solidFill>
                <a:srgbClr val="425C59"/>
              </a:solidFill>
              <a:latin typeface="Kulim Park" pitchFamily="2" charset="0"/>
            </a:rPr>
            <a:t>Budget</a:t>
          </a:r>
        </a:p>
      </xdr:txBody>
    </xdr:sp>
    <xdr:clientData/>
  </xdr:twoCellAnchor>
  <xdr:twoCellAnchor>
    <xdr:from>
      <xdr:col>1</xdr:col>
      <xdr:colOff>622608</xdr:colOff>
      <xdr:row>21</xdr:row>
      <xdr:rowOff>78007</xdr:rowOff>
    </xdr:from>
    <xdr:to>
      <xdr:col>2</xdr:col>
      <xdr:colOff>22502</xdr:colOff>
      <xdr:row>22</xdr:row>
      <xdr:rowOff>95796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642CF0DE-DE22-603F-E988-37736D5B27F0}"/>
            </a:ext>
          </a:extLst>
        </xdr:cNvPr>
        <xdr:cNvSpPr txBox="1"/>
      </xdr:nvSpPr>
      <xdr:spPr>
        <a:xfrm>
          <a:off x="789296" y="4078507"/>
          <a:ext cx="519081" cy="2082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IN" sz="1050" b="0" i="0">
              <a:solidFill>
                <a:srgbClr val="425C59"/>
              </a:solidFill>
              <a:latin typeface="Kulim Park" pitchFamily="2" charset="0"/>
            </a:rPr>
            <a:t>Actual</a:t>
          </a:r>
        </a:p>
      </xdr:txBody>
    </xdr:sp>
    <xdr:clientData/>
  </xdr:twoCellAnchor>
  <xdr:twoCellAnchor>
    <xdr:from>
      <xdr:col>2</xdr:col>
      <xdr:colOff>26789</xdr:colOff>
      <xdr:row>19</xdr:row>
      <xdr:rowOff>121508</xdr:rowOff>
    </xdr:from>
    <xdr:to>
      <xdr:col>2</xdr:col>
      <xdr:colOff>857834</xdr:colOff>
      <xdr:row>21</xdr:row>
      <xdr:rowOff>23416</xdr:rowOff>
    </xdr:to>
    <xdr:sp macro="" textlink="$C$54">
      <xdr:nvSpPr>
        <xdr:cNvPr id="57" name="Rectangle: Rounded Corners 56">
          <a:extLst>
            <a:ext uri="{FF2B5EF4-FFF2-40B4-BE49-F238E27FC236}">
              <a16:creationId xmlns:a16="http://schemas.microsoft.com/office/drawing/2014/main" id="{4DD84110-69C5-C245-3583-439533F87287}"/>
            </a:ext>
          </a:extLst>
        </xdr:cNvPr>
        <xdr:cNvSpPr/>
      </xdr:nvSpPr>
      <xdr:spPr>
        <a:xfrm>
          <a:off x="1312664" y="3741008"/>
          <a:ext cx="831045" cy="282908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F5DD47-EC83-4F99-A081-32CEAE6350CA}" type="TxLink">
            <a:rPr lang="en-US" sz="1600" b="0" i="0" u="none" strike="noStrike">
              <a:solidFill>
                <a:schemeClr val="tx2">
                  <a:lumMod val="75000"/>
                </a:schemeClr>
              </a:solidFill>
              <a:latin typeface="Kulim Park SemiBold" pitchFamily="2" charset="0"/>
              <a:ea typeface="Calibri"/>
              <a:cs typeface="Calibri"/>
            </a:rPr>
            <a:pPr algn="ctr"/>
            <a:t>17%</a:t>
          </a:fld>
          <a:endParaRPr lang="en-IN" sz="2000">
            <a:solidFill>
              <a:schemeClr val="tx2">
                <a:lumMod val="75000"/>
              </a:schemeClr>
            </a:solidFill>
            <a:latin typeface="Kulim Park SemiBold" pitchFamily="2" charset="0"/>
          </a:endParaRPr>
        </a:p>
      </xdr:txBody>
    </xdr:sp>
    <xdr:clientData/>
  </xdr:twoCellAnchor>
  <xdr:twoCellAnchor>
    <xdr:from>
      <xdr:col>2</xdr:col>
      <xdr:colOff>26789</xdr:colOff>
      <xdr:row>21</xdr:row>
      <xdr:rowOff>41177</xdr:rowOff>
    </xdr:from>
    <xdr:to>
      <xdr:col>2</xdr:col>
      <xdr:colOff>857834</xdr:colOff>
      <xdr:row>22</xdr:row>
      <xdr:rowOff>132625</xdr:rowOff>
    </xdr:to>
    <xdr:sp macro="" textlink="$D$54">
      <xdr:nvSpPr>
        <xdr:cNvPr id="58" name="Rectangle: Rounded Corners 57">
          <a:extLst>
            <a:ext uri="{FF2B5EF4-FFF2-40B4-BE49-F238E27FC236}">
              <a16:creationId xmlns:a16="http://schemas.microsoft.com/office/drawing/2014/main" id="{0E0F84A7-F6A7-D820-E8A5-9A0039889020}"/>
            </a:ext>
          </a:extLst>
        </xdr:cNvPr>
        <xdr:cNvSpPr/>
      </xdr:nvSpPr>
      <xdr:spPr>
        <a:xfrm>
          <a:off x="1312664" y="4041677"/>
          <a:ext cx="831045" cy="281948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30CCF9AA-F024-429A-920D-8BC008967F47}" type="TxLink">
            <a:rPr lang="en-US" sz="1600" b="0" i="0" u="none" strike="noStrike">
              <a:solidFill>
                <a:schemeClr val="tx2">
                  <a:lumMod val="75000"/>
                </a:schemeClr>
              </a:solidFill>
              <a:latin typeface="Kulim Park SemiBold" pitchFamily="2" charset="0"/>
              <a:ea typeface="Calibri"/>
              <a:cs typeface="Calibri"/>
            </a:rPr>
            <a:pPr marL="0" indent="0" algn="ctr"/>
            <a:t>5%</a:t>
          </a:fld>
          <a:endParaRPr lang="en-IN" sz="1600" b="0" i="0" u="none" strike="noStrike">
            <a:solidFill>
              <a:schemeClr val="tx2">
                <a:lumMod val="75000"/>
              </a:schemeClr>
            </a:solidFill>
            <a:latin typeface="Kulim Park SemiBold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170641</xdr:colOff>
      <xdr:row>23</xdr:row>
      <xdr:rowOff>165353</xdr:rowOff>
    </xdr:from>
    <xdr:to>
      <xdr:col>2</xdr:col>
      <xdr:colOff>514130</xdr:colOff>
      <xdr:row>25</xdr:row>
      <xdr:rowOff>67260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43F7485F-2041-8EF4-17F8-E4B30CC84DD3}"/>
            </a:ext>
          </a:extLst>
        </xdr:cNvPr>
        <xdr:cNvSpPr txBox="1"/>
      </xdr:nvSpPr>
      <xdr:spPr>
        <a:xfrm>
          <a:off x="339438" y="4602315"/>
          <a:ext cx="1452730" cy="287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252000" rtlCol="0" anchor="t">
          <a:noAutofit/>
        </a:bodyPr>
        <a:lstStyle/>
        <a:p>
          <a:r>
            <a:rPr lang="en-IN" sz="1200" b="1" i="0">
              <a:solidFill>
                <a:schemeClr val="accent5">
                  <a:lumMod val="75000"/>
                </a:schemeClr>
              </a:solidFill>
              <a:latin typeface="Kulim Park SemiBold" pitchFamily="2" charset="0"/>
            </a:rPr>
            <a:t>Bills</a:t>
          </a:r>
        </a:p>
      </xdr:txBody>
    </xdr:sp>
    <xdr:clientData/>
  </xdr:twoCellAnchor>
  <xdr:twoCellAnchor>
    <xdr:from>
      <xdr:col>1</xdr:col>
      <xdr:colOff>822141</xdr:colOff>
      <xdr:row>25</xdr:row>
      <xdr:rowOff>118863</xdr:rowOff>
    </xdr:from>
    <xdr:to>
      <xdr:col>2</xdr:col>
      <xdr:colOff>22502</xdr:colOff>
      <xdr:row>26</xdr:row>
      <xdr:rowOff>139890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A3D881DA-0575-BAC8-6E16-9F64421CA910}"/>
            </a:ext>
          </a:extLst>
        </xdr:cNvPr>
        <xdr:cNvSpPr txBox="1"/>
      </xdr:nvSpPr>
      <xdr:spPr>
        <a:xfrm>
          <a:off x="988829" y="4881363"/>
          <a:ext cx="319548" cy="2115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IN" sz="1050" b="0" i="0">
              <a:solidFill>
                <a:srgbClr val="425C59"/>
              </a:solidFill>
              <a:latin typeface="Kulim Park" pitchFamily="2" charset="0"/>
              <a:ea typeface="+mn-ea"/>
              <a:cs typeface="+mn-cs"/>
            </a:rPr>
            <a:t>Paid</a:t>
          </a:r>
        </a:p>
      </xdr:txBody>
    </xdr:sp>
    <xdr:clientData/>
  </xdr:twoCellAnchor>
  <xdr:twoCellAnchor>
    <xdr:from>
      <xdr:col>1</xdr:col>
      <xdr:colOff>529633</xdr:colOff>
      <xdr:row>27</xdr:row>
      <xdr:rowOff>40745</xdr:rowOff>
    </xdr:from>
    <xdr:to>
      <xdr:col>2</xdr:col>
      <xdr:colOff>22502</xdr:colOff>
      <xdr:row>28</xdr:row>
      <xdr:rowOff>58535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A27E68F1-8B98-5A59-35C5-8A8152C3DE46}"/>
            </a:ext>
          </a:extLst>
        </xdr:cNvPr>
        <xdr:cNvSpPr txBox="1"/>
      </xdr:nvSpPr>
      <xdr:spPr>
        <a:xfrm>
          <a:off x="696321" y="5184245"/>
          <a:ext cx="612056" cy="2082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IN" sz="1050" b="0" i="0">
              <a:solidFill>
                <a:srgbClr val="425C59"/>
              </a:solidFill>
              <a:latin typeface="Kulim Park" pitchFamily="2" charset="0"/>
            </a:rPr>
            <a:t>Not Paid</a:t>
          </a:r>
        </a:p>
      </xdr:txBody>
    </xdr:sp>
    <xdr:clientData/>
  </xdr:twoCellAnchor>
  <xdr:twoCellAnchor>
    <xdr:from>
      <xdr:col>2</xdr:col>
      <xdr:colOff>32934</xdr:colOff>
      <xdr:row>25</xdr:row>
      <xdr:rowOff>84246</xdr:rowOff>
    </xdr:from>
    <xdr:to>
      <xdr:col>2</xdr:col>
      <xdr:colOff>863979</xdr:colOff>
      <xdr:row>26</xdr:row>
      <xdr:rowOff>175222</xdr:rowOff>
    </xdr:to>
    <xdr:sp macro="" textlink="$V$42">
      <xdr:nvSpPr>
        <xdr:cNvPr id="62" name="Rectangle: Rounded Corners 61">
          <a:extLst>
            <a:ext uri="{FF2B5EF4-FFF2-40B4-BE49-F238E27FC236}">
              <a16:creationId xmlns:a16="http://schemas.microsoft.com/office/drawing/2014/main" id="{A44A76BB-16FF-1866-FA9C-0CCF7841A34F}"/>
            </a:ext>
          </a:extLst>
        </xdr:cNvPr>
        <xdr:cNvSpPr/>
      </xdr:nvSpPr>
      <xdr:spPr>
        <a:xfrm>
          <a:off x="1318809" y="4846746"/>
          <a:ext cx="831045" cy="281476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1DE3F8D3-61DB-4A07-AF88-79189C68F7A9}" type="TxLink">
            <a:rPr lang="en-US" sz="1600" b="0" i="0" u="none" strike="noStrike">
              <a:solidFill>
                <a:schemeClr val="tx2">
                  <a:lumMod val="75000"/>
                </a:schemeClr>
              </a:solidFill>
              <a:latin typeface="Kulim Park SemiBold" pitchFamily="2" charset="0"/>
              <a:ea typeface="Calibri"/>
              <a:cs typeface="Calibri"/>
            </a:rPr>
            <a:pPr marL="0" indent="0" algn="ctr"/>
            <a:t>5</a:t>
          </a:fld>
          <a:endParaRPr lang="en-IN" sz="1600" b="0" i="0" u="none" strike="noStrike">
            <a:solidFill>
              <a:schemeClr val="tx2">
                <a:lumMod val="75000"/>
              </a:schemeClr>
            </a:solidFill>
            <a:latin typeface="Kulim Park SemiBold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32934</xdr:colOff>
      <xdr:row>27</xdr:row>
      <xdr:rowOff>3915</xdr:rowOff>
    </xdr:from>
    <xdr:to>
      <xdr:col>2</xdr:col>
      <xdr:colOff>863979</xdr:colOff>
      <xdr:row>28</xdr:row>
      <xdr:rowOff>95364</xdr:rowOff>
    </xdr:to>
    <xdr:sp macro="" textlink="$V$43">
      <xdr:nvSpPr>
        <xdr:cNvPr id="63" name="Rectangle: Rounded Corners 62">
          <a:extLst>
            <a:ext uri="{FF2B5EF4-FFF2-40B4-BE49-F238E27FC236}">
              <a16:creationId xmlns:a16="http://schemas.microsoft.com/office/drawing/2014/main" id="{510F4971-D627-6B63-4061-979CE978B728}"/>
            </a:ext>
          </a:extLst>
        </xdr:cNvPr>
        <xdr:cNvSpPr/>
      </xdr:nvSpPr>
      <xdr:spPr>
        <a:xfrm>
          <a:off x="1318809" y="5147415"/>
          <a:ext cx="831045" cy="28194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78B5E603-56EF-49AB-8E39-F330415E202E}" type="TxLink">
            <a:rPr lang="en-US" sz="1600" b="0" i="0" u="none" strike="noStrike">
              <a:solidFill>
                <a:schemeClr val="tx2">
                  <a:lumMod val="75000"/>
                </a:schemeClr>
              </a:solidFill>
              <a:latin typeface="Kulim Park SemiBold" pitchFamily="2" charset="0"/>
              <a:ea typeface="Calibri"/>
              <a:cs typeface="Calibri"/>
            </a:rPr>
            <a:pPr marL="0" indent="0" algn="ctr"/>
            <a:t>0</a:t>
          </a:fld>
          <a:endParaRPr lang="en-IN" sz="1600" b="0" i="0" u="none" strike="noStrike">
            <a:solidFill>
              <a:schemeClr val="tx2">
                <a:lumMod val="75000"/>
              </a:schemeClr>
            </a:solidFill>
            <a:latin typeface="Kulim Park SemiBold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195472</xdr:colOff>
      <xdr:row>30</xdr:row>
      <xdr:rowOff>37510</xdr:rowOff>
    </xdr:from>
    <xdr:to>
      <xdr:col>3</xdr:col>
      <xdr:colOff>137565</xdr:colOff>
      <xdr:row>36</xdr:row>
      <xdr:rowOff>183739</xdr:rowOff>
    </xdr:to>
    <xdr:sp macro="" textlink="">
      <xdr:nvSpPr>
        <xdr:cNvPr id="65" name="Rectangle: Rounded Corners 64">
          <a:extLst>
            <a:ext uri="{FF2B5EF4-FFF2-40B4-BE49-F238E27FC236}">
              <a16:creationId xmlns:a16="http://schemas.microsoft.com/office/drawing/2014/main" id="{0F4A2ADF-4008-5BE8-B2D2-C2DF634ADBB9}"/>
            </a:ext>
          </a:extLst>
        </xdr:cNvPr>
        <xdr:cNvSpPr/>
      </xdr:nvSpPr>
      <xdr:spPr>
        <a:xfrm>
          <a:off x="367907" y="5703243"/>
          <a:ext cx="1978473" cy="1279375"/>
        </a:xfrm>
        <a:prstGeom prst="roundRect">
          <a:avLst>
            <a:gd name="adj" fmla="val 1819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425C59">
              <a:alpha val="3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i8</a:t>
          </a:r>
        </a:p>
      </xdr:txBody>
    </xdr:sp>
    <xdr:clientData/>
  </xdr:twoCellAnchor>
  <xdr:twoCellAnchor>
    <xdr:from>
      <xdr:col>1</xdr:col>
      <xdr:colOff>294626</xdr:colOff>
      <xdr:row>30</xdr:row>
      <xdr:rowOff>134407</xdr:rowOff>
    </xdr:from>
    <xdr:to>
      <xdr:col>2</xdr:col>
      <xdr:colOff>638115</xdr:colOff>
      <xdr:row>32</xdr:row>
      <xdr:rowOff>35598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B3FC2ED-EE9B-3DFF-FE77-E0B603322286}"/>
            </a:ext>
          </a:extLst>
        </xdr:cNvPr>
        <xdr:cNvSpPr txBox="1"/>
      </xdr:nvSpPr>
      <xdr:spPr>
        <a:xfrm>
          <a:off x="467061" y="5800140"/>
          <a:ext cx="1456108" cy="2789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252000" rtlCol="0" anchor="t">
          <a:noAutofit/>
        </a:bodyPr>
        <a:lstStyle/>
        <a:p>
          <a:r>
            <a:rPr lang="en-IN" sz="1200" b="1" i="0">
              <a:solidFill>
                <a:schemeClr val="tx2">
                  <a:lumMod val="75000"/>
                </a:schemeClr>
              </a:solidFill>
              <a:latin typeface="Kulim Park" pitchFamily="2" charset="0"/>
            </a:rPr>
            <a:t>Highest Expenses</a:t>
          </a:r>
        </a:p>
      </xdr:txBody>
    </xdr:sp>
    <xdr:clientData/>
  </xdr:twoCellAnchor>
  <xdr:twoCellAnchor>
    <xdr:from>
      <xdr:col>1</xdr:col>
      <xdr:colOff>596782</xdr:colOff>
      <xdr:row>33</xdr:row>
      <xdr:rowOff>58056</xdr:rowOff>
    </xdr:from>
    <xdr:to>
      <xdr:col>2</xdr:col>
      <xdr:colOff>22502</xdr:colOff>
      <xdr:row>34</xdr:row>
      <xdr:rowOff>79083</xdr:rowOff>
    </xdr:to>
    <xdr:sp macro="" textlink="$B$55">
      <xdr:nvSpPr>
        <xdr:cNvPr id="67" name="TextBox 66">
          <a:extLst>
            <a:ext uri="{FF2B5EF4-FFF2-40B4-BE49-F238E27FC236}">
              <a16:creationId xmlns:a16="http://schemas.microsoft.com/office/drawing/2014/main" id="{7CDB489D-F802-D6B5-3AE8-B40FDF16B2D0}"/>
            </a:ext>
          </a:extLst>
        </xdr:cNvPr>
        <xdr:cNvSpPr txBox="1"/>
      </xdr:nvSpPr>
      <xdr:spPr>
        <a:xfrm>
          <a:off x="769217" y="6290362"/>
          <a:ext cx="538339" cy="209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fld id="{5FB93BF8-7117-4856-80E3-F6799DF90373}" type="TxLink">
            <a:rPr lang="en-US" sz="1050" b="0" i="0" u="none" strike="noStrike">
              <a:solidFill>
                <a:srgbClr val="425C59"/>
              </a:solidFill>
              <a:latin typeface="Kulim Park" pitchFamily="2" charset="0"/>
              <a:ea typeface="+mn-ea"/>
              <a:cs typeface="+mn-cs"/>
            </a:rPr>
            <a:pPr algn="ctr"/>
            <a:t>Housing</a:t>
          </a:fld>
          <a:endParaRPr lang="en-IN" sz="1400" b="0" i="0">
            <a:solidFill>
              <a:srgbClr val="425C59"/>
            </a:solidFill>
            <a:latin typeface="Kulim Park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182575</xdr:colOff>
      <xdr:row>34</xdr:row>
      <xdr:rowOff>168796</xdr:rowOff>
    </xdr:from>
    <xdr:to>
      <xdr:col>2</xdr:col>
      <xdr:colOff>22502</xdr:colOff>
      <xdr:row>35</xdr:row>
      <xdr:rowOff>186585</xdr:rowOff>
    </xdr:to>
    <xdr:sp macro="" textlink="$B$56">
      <xdr:nvSpPr>
        <xdr:cNvPr id="68" name="TextBox 67">
          <a:extLst>
            <a:ext uri="{FF2B5EF4-FFF2-40B4-BE49-F238E27FC236}">
              <a16:creationId xmlns:a16="http://schemas.microsoft.com/office/drawing/2014/main" id="{C15A5FF3-2FFE-D6DE-6DC7-783C7280DBDE}"/>
            </a:ext>
          </a:extLst>
        </xdr:cNvPr>
        <xdr:cNvSpPr txBox="1"/>
      </xdr:nvSpPr>
      <xdr:spPr>
        <a:xfrm>
          <a:off x="355010" y="6589960"/>
          <a:ext cx="952546" cy="206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indent="0" algn="ctr"/>
          <a:fld id="{13D1077C-ACBD-40D1-8030-E8AF4180DD2C}" type="TxLink">
            <a:rPr lang="en-US" sz="1050" b="0" i="0" u="none" strike="noStrike">
              <a:solidFill>
                <a:srgbClr val="425C59"/>
              </a:solidFill>
              <a:latin typeface="Kulim Park" pitchFamily="2" charset="0"/>
              <a:ea typeface="+mn-ea"/>
              <a:cs typeface="+mn-cs"/>
            </a:rPr>
            <a:pPr marL="0" indent="0" algn="ctr"/>
            <a:t>Personal Care</a:t>
          </a:fld>
          <a:endParaRPr lang="en-IN" sz="1050" b="0" i="0" u="none" strike="noStrike">
            <a:solidFill>
              <a:srgbClr val="425C59"/>
            </a:solidFill>
            <a:latin typeface="Kulim Park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20878</xdr:colOff>
      <xdr:row>33</xdr:row>
      <xdr:rowOff>23439</xdr:rowOff>
    </xdr:from>
    <xdr:to>
      <xdr:col>2</xdr:col>
      <xdr:colOff>851923</xdr:colOff>
      <xdr:row>34</xdr:row>
      <xdr:rowOff>114415</xdr:rowOff>
    </xdr:to>
    <xdr:sp macro="" textlink="$D$55">
      <xdr:nvSpPr>
        <xdr:cNvPr id="69" name="Rectangle: Rounded Corners 68">
          <a:extLst>
            <a:ext uri="{FF2B5EF4-FFF2-40B4-BE49-F238E27FC236}">
              <a16:creationId xmlns:a16="http://schemas.microsoft.com/office/drawing/2014/main" id="{B3ECDA26-E891-4E9E-6EAD-AA017CE7F221}"/>
            </a:ext>
          </a:extLst>
        </xdr:cNvPr>
        <xdr:cNvSpPr/>
      </xdr:nvSpPr>
      <xdr:spPr>
        <a:xfrm>
          <a:off x="1305932" y="6255745"/>
          <a:ext cx="831045" cy="27983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E021F89C-2AB2-4F3B-A823-725E27B1C3BD}" type="TxLink">
            <a:rPr lang="en-US" sz="1600" b="0" i="0" u="none" strike="noStrike">
              <a:solidFill>
                <a:schemeClr val="tx2">
                  <a:lumMod val="75000"/>
                </a:schemeClr>
              </a:solidFill>
              <a:latin typeface="Kulim Park SemiBold" pitchFamily="2" charset="0"/>
              <a:ea typeface="Calibri"/>
              <a:cs typeface="Calibri"/>
            </a:rPr>
            <a:pPr marL="0" indent="0" algn="ctr"/>
            <a:t> 338.2 </a:t>
          </a:fld>
          <a:endParaRPr lang="en-IN" sz="1600" b="0" i="0" u="none" strike="noStrike">
            <a:solidFill>
              <a:schemeClr val="tx2">
                <a:lumMod val="75000"/>
              </a:schemeClr>
            </a:solidFill>
            <a:latin typeface="Kulim Park SemiBold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20878</xdr:colOff>
      <xdr:row>34</xdr:row>
      <xdr:rowOff>136020</xdr:rowOff>
    </xdr:from>
    <xdr:to>
      <xdr:col>2</xdr:col>
      <xdr:colOff>851923</xdr:colOff>
      <xdr:row>36</xdr:row>
      <xdr:rowOff>34557</xdr:rowOff>
    </xdr:to>
    <xdr:sp macro="" textlink="$D$56">
      <xdr:nvSpPr>
        <xdr:cNvPr id="70" name="Rectangle: Rounded Corners 69">
          <a:extLst>
            <a:ext uri="{FF2B5EF4-FFF2-40B4-BE49-F238E27FC236}">
              <a16:creationId xmlns:a16="http://schemas.microsoft.com/office/drawing/2014/main" id="{352B1ACB-34AE-3786-EA05-14E048C3D8D2}"/>
            </a:ext>
          </a:extLst>
        </xdr:cNvPr>
        <xdr:cNvSpPr/>
      </xdr:nvSpPr>
      <xdr:spPr>
        <a:xfrm>
          <a:off x="1305932" y="6557184"/>
          <a:ext cx="831045" cy="276252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E2A8E12F-61E4-4DF2-A888-A47AD23A367D}" type="TxLink">
            <a:rPr lang="en-US" sz="1600" b="0" i="0" u="none" strike="noStrike">
              <a:solidFill>
                <a:schemeClr val="tx2">
                  <a:lumMod val="75000"/>
                </a:schemeClr>
              </a:solidFill>
              <a:latin typeface="Kulim Park SemiBold" pitchFamily="2" charset="0"/>
              <a:ea typeface="Calibri"/>
              <a:cs typeface="Calibri"/>
            </a:rPr>
            <a:pPr marL="0" indent="0" algn="ctr"/>
            <a:t> 97.9 </a:t>
          </a:fld>
          <a:endParaRPr lang="en-IN" sz="1600" b="0" i="0" u="none" strike="noStrike">
            <a:solidFill>
              <a:schemeClr val="tx2">
                <a:lumMod val="75000"/>
              </a:schemeClr>
            </a:solidFill>
            <a:latin typeface="Kulim Park SemiBold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304798</xdr:colOff>
      <xdr:row>15</xdr:row>
      <xdr:rowOff>45242</xdr:rowOff>
    </xdr:from>
    <xdr:to>
      <xdr:col>1</xdr:col>
      <xdr:colOff>450055</xdr:colOff>
      <xdr:row>16</xdr:row>
      <xdr:rowOff>2669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DF8D15D9-3265-F605-96D7-5A17EC53B6E4}"/>
            </a:ext>
          </a:extLst>
        </xdr:cNvPr>
        <xdr:cNvSpPr/>
      </xdr:nvSpPr>
      <xdr:spPr>
        <a:xfrm>
          <a:off x="471731" y="2843824"/>
          <a:ext cx="145257" cy="144000"/>
        </a:xfrm>
        <a:prstGeom prst="ellipse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330307</xdr:colOff>
      <xdr:row>31</xdr:row>
      <xdr:rowOff>12101</xdr:rowOff>
    </xdr:from>
    <xdr:to>
      <xdr:col>1</xdr:col>
      <xdr:colOff>475564</xdr:colOff>
      <xdr:row>31</xdr:row>
      <xdr:rowOff>156101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DBAD6E65-46D2-D985-6C10-A28677428A47}"/>
            </a:ext>
          </a:extLst>
        </xdr:cNvPr>
        <xdr:cNvSpPr/>
      </xdr:nvSpPr>
      <xdr:spPr>
        <a:xfrm>
          <a:off x="502742" y="5866692"/>
          <a:ext cx="145257" cy="144000"/>
        </a:xfrm>
        <a:prstGeom prst="ellipse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415438</xdr:colOff>
      <xdr:row>14</xdr:row>
      <xdr:rowOff>100307</xdr:rowOff>
    </xdr:from>
    <xdr:to>
      <xdr:col>15</xdr:col>
      <xdr:colOff>170569</xdr:colOff>
      <xdr:row>27</xdr:row>
      <xdr:rowOff>50702</xdr:rowOff>
    </xdr:to>
    <xdr:sp macro="" textlink="">
      <xdr:nvSpPr>
        <xdr:cNvPr id="73" name="Rectangle: Rounded Corners 72">
          <a:extLst>
            <a:ext uri="{FF2B5EF4-FFF2-40B4-BE49-F238E27FC236}">
              <a16:creationId xmlns:a16="http://schemas.microsoft.com/office/drawing/2014/main" id="{96284881-8080-41DA-BCC8-CD5ABE83C82B}"/>
            </a:ext>
          </a:extLst>
        </xdr:cNvPr>
        <xdr:cNvSpPr/>
      </xdr:nvSpPr>
      <xdr:spPr>
        <a:xfrm>
          <a:off x="8910708" y="2803348"/>
          <a:ext cx="2895807" cy="2460361"/>
        </a:xfrm>
        <a:prstGeom prst="roundRect">
          <a:avLst>
            <a:gd name="adj" fmla="val 14024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425C59">
              <a:alpha val="3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i</a:t>
          </a:r>
        </a:p>
      </xdr:txBody>
    </xdr:sp>
    <xdr:clientData/>
  </xdr:twoCellAnchor>
  <xdr:twoCellAnchor>
    <xdr:from>
      <xdr:col>7</xdr:col>
      <xdr:colOff>399697</xdr:colOff>
      <xdr:row>14</xdr:row>
      <xdr:rowOff>94764</xdr:rowOff>
    </xdr:from>
    <xdr:to>
      <xdr:col>11</xdr:col>
      <xdr:colOff>154829</xdr:colOff>
      <xdr:row>27</xdr:row>
      <xdr:rowOff>45802</xdr:rowOff>
    </xdr:to>
    <xdr:sp macro="" textlink="">
      <xdr:nvSpPr>
        <xdr:cNvPr id="74" name="Rectangle: Rounded Corners 73">
          <a:extLst>
            <a:ext uri="{FF2B5EF4-FFF2-40B4-BE49-F238E27FC236}">
              <a16:creationId xmlns:a16="http://schemas.microsoft.com/office/drawing/2014/main" id="{25216E4D-E9DA-8EEF-ED26-2E6C749649F8}"/>
            </a:ext>
          </a:extLst>
        </xdr:cNvPr>
        <xdr:cNvSpPr/>
      </xdr:nvSpPr>
      <xdr:spPr>
        <a:xfrm>
          <a:off x="5711716" y="2659187"/>
          <a:ext cx="2869075" cy="2332288"/>
        </a:xfrm>
        <a:prstGeom prst="roundRect">
          <a:avLst>
            <a:gd name="adj" fmla="val 14024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425C59">
              <a:alpha val="3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i</a:t>
          </a:r>
        </a:p>
      </xdr:txBody>
    </xdr:sp>
    <xdr:clientData/>
  </xdr:twoCellAnchor>
  <xdr:twoCellAnchor>
    <xdr:from>
      <xdr:col>3</xdr:col>
      <xdr:colOff>383957</xdr:colOff>
      <xdr:row>14</xdr:row>
      <xdr:rowOff>94764</xdr:rowOff>
    </xdr:from>
    <xdr:to>
      <xdr:col>7</xdr:col>
      <xdr:colOff>139088</xdr:colOff>
      <xdr:row>27</xdr:row>
      <xdr:rowOff>45802</xdr:rowOff>
    </xdr:to>
    <xdr:sp macro="" textlink="">
      <xdr:nvSpPr>
        <xdr:cNvPr id="75" name="Rectangle: Rounded Corners 74">
          <a:extLst>
            <a:ext uri="{FF2B5EF4-FFF2-40B4-BE49-F238E27FC236}">
              <a16:creationId xmlns:a16="http://schemas.microsoft.com/office/drawing/2014/main" id="{9A7E68B7-5F77-8727-A16B-597C0EB9D6BE}"/>
            </a:ext>
          </a:extLst>
        </xdr:cNvPr>
        <xdr:cNvSpPr/>
      </xdr:nvSpPr>
      <xdr:spPr>
        <a:xfrm>
          <a:off x="2583545" y="2706774"/>
          <a:ext cx="2877759" cy="2376476"/>
        </a:xfrm>
        <a:prstGeom prst="roundRect">
          <a:avLst>
            <a:gd name="adj" fmla="val 14024"/>
          </a:avLst>
        </a:prstGeom>
        <a:solidFill>
          <a:srgbClr val="425C59"/>
        </a:solidFill>
        <a:ln>
          <a:noFill/>
        </a:ln>
        <a:effectLst>
          <a:outerShdw blurRad="50800" dist="38100" dir="5400000" algn="t" rotWithShape="0">
            <a:srgbClr val="425C59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457088</xdr:colOff>
      <xdr:row>14</xdr:row>
      <xdr:rowOff>180922</xdr:rowOff>
    </xdr:from>
    <xdr:to>
      <xdr:col>6</xdr:col>
      <xdr:colOff>39279</xdr:colOff>
      <xdr:row>16</xdr:row>
      <xdr:rowOff>82113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D83CB930-1507-329A-F523-317A2E4CE90F}"/>
            </a:ext>
          </a:extLst>
        </xdr:cNvPr>
        <xdr:cNvSpPr txBox="1"/>
      </xdr:nvSpPr>
      <xdr:spPr>
        <a:xfrm>
          <a:off x="2656676" y="2792932"/>
          <a:ext cx="1781778" cy="274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252000" rtlCol="0" anchor="t">
          <a:noAutofit/>
        </a:bodyPr>
        <a:lstStyle/>
        <a:p>
          <a:r>
            <a:rPr lang="en-IN" sz="1200" b="1" i="0">
              <a:solidFill>
                <a:schemeClr val="bg1"/>
              </a:solidFill>
              <a:latin typeface="Kulim Park" pitchFamily="2" charset="0"/>
            </a:rPr>
            <a:t>Cash Flow Summary</a:t>
          </a:r>
        </a:p>
      </xdr:txBody>
    </xdr:sp>
    <xdr:clientData/>
  </xdr:twoCellAnchor>
  <xdr:twoCellAnchor>
    <xdr:from>
      <xdr:col>3</xdr:col>
      <xdr:colOff>628295</xdr:colOff>
      <xdr:row>16</xdr:row>
      <xdr:rowOff>14183</xdr:rowOff>
    </xdr:from>
    <xdr:to>
      <xdr:col>5</xdr:col>
      <xdr:colOff>608815</xdr:colOff>
      <xdr:row>17</xdr:row>
      <xdr:rowOff>39278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F0A03684-A859-5E39-A3D8-24110026AA21}"/>
            </a:ext>
          </a:extLst>
        </xdr:cNvPr>
        <xdr:cNvSpPr txBox="1"/>
      </xdr:nvSpPr>
      <xdr:spPr>
        <a:xfrm>
          <a:off x="2827883" y="2999338"/>
          <a:ext cx="1070494" cy="2116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900" b="1" i="0">
              <a:solidFill>
                <a:schemeClr val="bg1"/>
              </a:solidFill>
              <a:latin typeface="Kulim Park" pitchFamily="2" charset="0"/>
            </a:rPr>
            <a:t>Actual Vs. Budget</a:t>
          </a:r>
        </a:p>
      </xdr:txBody>
    </xdr:sp>
    <xdr:clientData/>
  </xdr:twoCellAnchor>
  <xdr:twoCellAnchor>
    <xdr:from>
      <xdr:col>3</xdr:col>
      <xdr:colOff>511009</xdr:colOff>
      <xdr:row>15</xdr:row>
      <xdr:rowOff>55062</xdr:rowOff>
    </xdr:from>
    <xdr:to>
      <xdr:col>3</xdr:col>
      <xdr:colOff>656266</xdr:colOff>
      <xdr:row>16</xdr:row>
      <xdr:rowOff>12489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F934C599-35F9-289B-2D84-4786039EB585}"/>
            </a:ext>
          </a:extLst>
        </xdr:cNvPr>
        <xdr:cNvSpPr/>
      </xdr:nvSpPr>
      <xdr:spPr>
        <a:xfrm>
          <a:off x="2710597" y="2853644"/>
          <a:ext cx="145257" cy="144000"/>
        </a:xfrm>
        <a:prstGeom prst="ellipse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404566</xdr:colOff>
      <xdr:row>17</xdr:row>
      <xdr:rowOff>12960</xdr:rowOff>
    </xdr:from>
    <xdr:to>
      <xdr:col>6</xdr:col>
      <xdr:colOff>922979</xdr:colOff>
      <xdr:row>26</xdr:row>
      <xdr:rowOff>148211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7CDF1B32-59DA-5658-C5FC-EADEDEAC73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323888</xdr:colOff>
      <xdr:row>17</xdr:row>
      <xdr:rowOff>43641</xdr:rowOff>
    </xdr:from>
    <xdr:to>
      <xdr:col>6</xdr:col>
      <xdr:colOff>834665</xdr:colOff>
      <xdr:row>18</xdr:row>
      <xdr:rowOff>68737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DA6B1419-8289-9E62-92F2-40287BA8F065}"/>
            </a:ext>
          </a:extLst>
        </xdr:cNvPr>
        <xdr:cNvSpPr txBox="1"/>
      </xdr:nvSpPr>
      <xdr:spPr>
        <a:xfrm>
          <a:off x="4723063" y="3215368"/>
          <a:ext cx="510777" cy="2116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900" b="0" i="0">
              <a:solidFill>
                <a:schemeClr val="bg1"/>
              </a:solidFill>
              <a:latin typeface="Kulim Park" pitchFamily="2" charset="0"/>
            </a:rPr>
            <a:t>Actual</a:t>
          </a:r>
        </a:p>
      </xdr:txBody>
    </xdr:sp>
    <xdr:clientData/>
  </xdr:twoCellAnchor>
  <xdr:twoCellAnchor>
    <xdr:from>
      <xdr:col>6</xdr:col>
      <xdr:colOff>323888</xdr:colOff>
      <xdr:row>18</xdr:row>
      <xdr:rowOff>112378</xdr:rowOff>
    </xdr:from>
    <xdr:to>
      <xdr:col>6</xdr:col>
      <xdr:colOff>834665</xdr:colOff>
      <xdr:row>19</xdr:row>
      <xdr:rowOff>137474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708DED47-7EA4-4640-0EC7-E0D5A1B63F66}"/>
            </a:ext>
          </a:extLst>
        </xdr:cNvPr>
        <xdr:cNvSpPr txBox="1"/>
      </xdr:nvSpPr>
      <xdr:spPr>
        <a:xfrm>
          <a:off x="4723063" y="3470677"/>
          <a:ext cx="510777" cy="2116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900" b="0" i="0">
              <a:solidFill>
                <a:schemeClr val="bg1"/>
              </a:solidFill>
              <a:latin typeface="Kulim Park" pitchFamily="2" charset="0"/>
            </a:rPr>
            <a:t>Budget</a:t>
          </a:r>
        </a:p>
      </xdr:txBody>
    </xdr:sp>
    <xdr:clientData/>
  </xdr:twoCellAnchor>
  <xdr:twoCellAnchor>
    <xdr:from>
      <xdr:col>6</xdr:col>
      <xdr:colOff>209573</xdr:colOff>
      <xdr:row>17</xdr:row>
      <xdr:rowOff>91662</xdr:rowOff>
    </xdr:from>
    <xdr:to>
      <xdr:col>6</xdr:col>
      <xdr:colOff>353573</xdr:colOff>
      <xdr:row>18</xdr:row>
      <xdr:rowOff>45162</xdr:rowOff>
    </xdr:to>
    <xdr:sp macro="" textlink="">
      <xdr:nvSpPr>
        <xdr:cNvPr id="79" name="Oval 78">
          <a:extLst>
            <a:ext uri="{FF2B5EF4-FFF2-40B4-BE49-F238E27FC236}">
              <a16:creationId xmlns:a16="http://schemas.microsoft.com/office/drawing/2014/main" id="{98081579-B032-5A41-30E1-DF56323DB2CB}"/>
            </a:ext>
          </a:extLst>
        </xdr:cNvPr>
        <xdr:cNvSpPr/>
      </xdr:nvSpPr>
      <xdr:spPr>
        <a:xfrm>
          <a:off x="4629173" y="3330162"/>
          <a:ext cx="144000" cy="144000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211954</xdr:colOff>
      <xdr:row>18</xdr:row>
      <xdr:rowOff>160718</xdr:rowOff>
    </xdr:from>
    <xdr:to>
      <xdr:col>6</xdr:col>
      <xdr:colOff>355954</xdr:colOff>
      <xdr:row>19</xdr:row>
      <xdr:rowOff>114218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4D7EAD96-F57A-A81C-625A-4C46089FFE15}"/>
            </a:ext>
          </a:extLst>
        </xdr:cNvPr>
        <xdr:cNvSpPr/>
      </xdr:nvSpPr>
      <xdr:spPr>
        <a:xfrm>
          <a:off x="4610772" y="3589718"/>
          <a:ext cx="144000" cy="144000"/>
        </a:xfrm>
        <a:prstGeom prst="ellipse">
          <a:avLst/>
        </a:prstGeom>
        <a:solidFill>
          <a:srgbClr val="B489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563004</xdr:colOff>
      <xdr:row>15</xdr:row>
      <xdr:rowOff>41833</xdr:rowOff>
    </xdr:from>
    <xdr:to>
      <xdr:col>7</xdr:col>
      <xdr:colOff>708261</xdr:colOff>
      <xdr:row>15</xdr:row>
      <xdr:rowOff>191083</xdr:rowOff>
    </xdr:to>
    <xdr:sp macro="" textlink="">
      <xdr:nvSpPr>
        <xdr:cNvPr id="83" name="Oval 82">
          <a:extLst>
            <a:ext uri="{FF2B5EF4-FFF2-40B4-BE49-F238E27FC236}">
              <a16:creationId xmlns:a16="http://schemas.microsoft.com/office/drawing/2014/main" id="{3D85CF80-DB1D-EEB2-CBF5-5C2EB85A746E}"/>
            </a:ext>
          </a:extLst>
        </xdr:cNvPr>
        <xdr:cNvSpPr/>
      </xdr:nvSpPr>
      <xdr:spPr>
        <a:xfrm>
          <a:off x="5907587" y="2919177"/>
          <a:ext cx="145257" cy="149250"/>
        </a:xfrm>
        <a:prstGeom prst="ellipse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804625</xdr:colOff>
      <xdr:row>1</xdr:row>
      <xdr:rowOff>184672</xdr:rowOff>
    </xdr:from>
    <xdr:to>
      <xdr:col>12</xdr:col>
      <xdr:colOff>28922</xdr:colOff>
      <xdr:row>2</xdr:row>
      <xdr:rowOff>142099</xdr:rowOff>
    </xdr:to>
    <xdr:sp macro="" textlink="">
      <xdr:nvSpPr>
        <xdr:cNvPr id="84" name="Oval 83">
          <a:extLst>
            <a:ext uri="{FF2B5EF4-FFF2-40B4-BE49-F238E27FC236}">
              <a16:creationId xmlns:a16="http://schemas.microsoft.com/office/drawing/2014/main" id="{092240C8-0543-C6A2-B35B-84B6ADACA88F}"/>
            </a:ext>
          </a:extLst>
        </xdr:cNvPr>
        <xdr:cNvSpPr/>
      </xdr:nvSpPr>
      <xdr:spPr>
        <a:xfrm>
          <a:off x="9290848" y="374482"/>
          <a:ext cx="149188" cy="147237"/>
        </a:xfrm>
        <a:prstGeom prst="ellipse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600855</xdr:colOff>
      <xdr:row>14</xdr:row>
      <xdr:rowOff>172023</xdr:rowOff>
    </xdr:from>
    <xdr:to>
      <xdr:col>10</xdr:col>
      <xdr:colOff>151820</xdr:colOff>
      <xdr:row>16</xdr:row>
      <xdr:rowOff>72095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B6D5B8A0-EB2E-F7B8-8CE9-E9647F1DBDB2}"/>
            </a:ext>
          </a:extLst>
        </xdr:cNvPr>
        <xdr:cNvSpPr txBox="1"/>
      </xdr:nvSpPr>
      <xdr:spPr>
        <a:xfrm>
          <a:off x="5948355" y="2797023"/>
          <a:ext cx="1763465" cy="2750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90000" rtlCol="0" anchor="t">
          <a:noAutofit/>
        </a:bodyPr>
        <a:lstStyle/>
        <a:p>
          <a:pPr algn="ctr"/>
          <a:r>
            <a:rPr lang="en-IN" sz="1200" b="1" i="0">
              <a:solidFill>
                <a:srgbClr val="FFC000"/>
              </a:solidFill>
              <a:latin typeface="Kulim Park SemiBold" pitchFamily="2" charset="0"/>
            </a:rPr>
            <a:t>Expenses</a:t>
          </a:r>
          <a:r>
            <a:rPr lang="en-IN" sz="1200" b="1" i="0">
              <a:solidFill>
                <a:srgbClr val="425C59"/>
              </a:solidFill>
              <a:latin typeface="Kulim Park SemiBold" pitchFamily="2" charset="0"/>
            </a:rPr>
            <a:t> Summary</a:t>
          </a:r>
        </a:p>
      </xdr:txBody>
    </xdr:sp>
    <xdr:clientData/>
  </xdr:twoCellAnchor>
  <xdr:twoCellAnchor>
    <xdr:from>
      <xdr:col>7</xdr:col>
      <xdr:colOff>718537</xdr:colOff>
      <xdr:row>16</xdr:row>
      <xdr:rowOff>6358</xdr:rowOff>
    </xdr:from>
    <xdr:to>
      <xdr:col>10</xdr:col>
      <xdr:colOff>362731</xdr:colOff>
      <xdr:row>17</xdr:row>
      <xdr:rowOff>50963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36BF31AA-579D-5A56-BB68-52544E27F069}"/>
            </a:ext>
          </a:extLst>
        </xdr:cNvPr>
        <xdr:cNvSpPr txBox="1"/>
      </xdr:nvSpPr>
      <xdr:spPr>
        <a:xfrm>
          <a:off x="6066037" y="3006358"/>
          <a:ext cx="1856694" cy="2321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en-IN" sz="900" b="1" i="0">
              <a:solidFill>
                <a:schemeClr val="bg1">
                  <a:lumMod val="65000"/>
                </a:schemeClr>
              </a:solidFill>
              <a:latin typeface="Kulim Park" pitchFamily="2" charset="0"/>
            </a:rPr>
            <a:t>Actual</a:t>
          </a:r>
          <a:r>
            <a:rPr lang="en-IN" sz="900" b="1" i="0" baseline="0">
              <a:solidFill>
                <a:schemeClr val="bg1">
                  <a:lumMod val="65000"/>
                </a:schemeClr>
              </a:solidFill>
              <a:latin typeface="Kulim Park" pitchFamily="2" charset="0"/>
            </a:rPr>
            <a:t> Expenses Payments</a:t>
          </a:r>
          <a:endParaRPr lang="en-IN" sz="900" b="1" i="0">
            <a:solidFill>
              <a:schemeClr val="bg1">
                <a:lumMod val="65000"/>
              </a:schemeClr>
            </a:solidFill>
            <a:latin typeface="Kulim Park" pitchFamily="2" charset="0"/>
          </a:endParaRPr>
        </a:p>
      </xdr:txBody>
    </xdr:sp>
    <xdr:clientData/>
  </xdr:twoCellAnchor>
  <xdr:twoCellAnchor>
    <xdr:from>
      <xdr:col>7</xdr:col>
      <xdr:colOff>393234</xdr:colOff>
      <xdr:row>17</xdr:row>
      <xdr:rowOff>17477</xdr:rowOff>
    </xdr:from>
    <xdr:to>
      <xdr:col>11</xdr:col>
      <xdr:colOff>148555</xdr:colOff>
      <xdr:row>27</xdr:row>
      <xdr:rowOff>69908</xdr:rowOff>
    </xdr:to>
    <xdr:graphicFrame macro="">
      <xdr:nvGraphicFramePr>
        <xdr:cNvPr id="87" name="Chart 86">
          <a:extLst>
            <a:ext uri="{FF2B5EF4-FFF2-40B4-BE49-F238E27FC236}">
              <a16:creationId xmlns:a16="http://schemas.microsoft.com/office/drawing/2014/main" id="{2CA99E30-43C7-EF62-7F6F-E15BDBDFAF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596076</xdr:colOff>
      <xdr:row>15</xdr:row>
      <xdr:rowOff>35218</xdr:rowOff>
    </xdr:from>
    <xdr:to>
      <xdr:col>11</xdr:col>
      <xdr:colOff>741333</xdr:colOff>
      <xdr:row>15</xdr:row>
      <xdr:rowOff>184468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EDF21AF-8FF9-39D9-657E-39F8CCDAB178}"/>
            </a:ext>
          </a:extLst>
        </xdr:cNvPr>
        <xdr:cNvSpPr/>
      </xdr:nvSpPr>
      <xdr:spPr>
        <a:xfrm>
          <a:off x="9091346" y="2931333"/>
          <a:ext cx="145257" cy="149250"/>
        </a:xfrm>
        <a:prstGeom prst="ellipse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776305</xdr:colOff>
      <xdr:row>14</xdr:row>
      <xdr:rowOff>158793</xdr:rowOff>
    </xdr:from>
    <xdr:to>
      <xdr:col>13</xdr:col>
      <xdr:colOff>709843</xdr:colOff>
      <xdr:row>16</xdr:row>
      <xdr:rowOff>58865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2646696F-5781-57DA-97BA-FF205FEA4B02}"/>
            </a:ext>
          </a:extLst>
        </xdr:cNvPr>
        <xdr:cNvSpPr txBox="1"/>
      </xdr:nvSpPr>
      <xdr:spPr>
        <a:xfrm>
          <a:off x="9267453" y="2816302"/>
          <a:ext cx="1031794" cy="2797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90000" rtlCol="0" anchor="t">
          <a:noAutofit/>
        </a:bodyPr>
        <a:lstStyle/>
        <a:p>
          <a:pPr algn="ctr"/>
          <a:r>
            <a:rPr lang="en-IN" sz="1200" b="1" i="0">
              <a:solidFill>
                <a:srgbClr val="FFC000"/>
              </a:solidFill>
              <a:latin typeface="Kulim Park SemiBold" pitchFamily="2" charset="0"/>
            </a:rPr>
            <a:t>Bill</a:t>
          </a:r>
          <a:r>
            <a:rPr lang="en-IN" sz="1200" b="1" i="0">
              <a:solidFill>
                <a:srgbClr val="425C59"/>
              </a:solidFill>
              <a:latin typeface="Kulim Park SemiBold" pitchFamily="2" charset="0"/>
            </a:rPr>
            <a:t> Summary</a:t>
          </a:r>
        </a:p>
      </xdr:txBody>
    </xdr:sp>
    <xdr:clientData/>
  </xdr:twoCellAnchor>
  <xdr:twoCellAnchor>
    <xdr:from>
      <xdr:col>11</xdr:col>
      <xdr:colOff>751609</xdr:colOff>
      <xdr:row>15</xdr:row>
      <xdr:rowOff>191566</xdr:rowOff>
    </xdr:from>
    <xdr:to>
      <xdr:col>14</xdr:col>
      <xdr:colOff>395803</xdr:colOff>
      <xdr:row>17</xdr:row>
      <xdr:rowOff>44348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B9F2D8C8-BE82-CC19-E522-7B250B65BF37}"/>
            </a:ext>
          </a:extLst>
        </xdr:cNvPr>
        <xdr:cNvSpPr txBox="1"/>
      </xdr:nvSpPr>
      <xdr:spPr>
        <a:xfrm>
          <a:off x="9246879" y="3087681"/>
          <a:ext cx="1858113" cy="2389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en-IN" sz="900" b="1" i="0">
              <a:solidFill>
                <a:schemeClr val="bg1">
                  <a:lumMod val="65000"/>
                </a:schemeClr>
              </a:solidFill>
              <a:latin typeface="Kulim Park" pitchFamily="2" charset="0"/>
            </a:rPr>
            <a:t>Actual</a:t>
          </a:r>
          <a:r>
            <a:rPr lang="en-IN" sz="900" b="1" i="0" baseline="0">
              <a:solidFill>
                <a:schemeClr val="bg1">
                  <a:lumMod val="65000"/>
                </a:schemeClr>
              </a:solidFill>
              <a:latin typeface="Kulim Park" pitchFamily="2" charset="0"/>
            </a:rPr>
            <a:t> Bills Payments</a:t>
          </a:r>
          <a:endParaRPr lang="en-IN" sz="900" b="1" i="0">
            <a:solidFill>
              <a:schemeClr val="bg1">
                <a:lumMod val="65000"/>
              </a:schemeClr>
            </a:solidFill>
            <a:latin typeface="Kulim Park" pitchFamily="2" charset="0"/>
          </a:endParaRPr>
        </a:p>
      </xdr:txBody>
    </xdr:sp>
    <xdr:clientData/>
  </xdr:twoCellAnchor>
  <xdr:twoCellAnchor>
    <xdr:from>
      <xdr:col>11</xdr:col>
      <xdr:colOff>407628</xdr:colOff>
      <xdr:row>17</xdr:row>
      <xdr:rowOff>0</xdr:rowOff>
    </xdr:from>
    <xdr:to>
      <xdr:col>15</xdr:col>
      <xdr:colOff>163870</xdr:colOff>
      <xdr:row>27</xdr:row>
      <xdr:rowOff>30726</xdr:rowOff>
    </xdr:to>
    <xdr:graphicFrame macro="">
      <xdr:nvGraphicFramePr>
        <xdr:cNvPr id="89" name="Chart 88">
          <a:extLst>
            <a:ext uri="{FF2B5EF4-FFF2-40B4-BE49-F238E27FC236}">
              <a16:creationId xmlns:a16="http://schemas.microsoft.com/office/drawing/2014/main" id="{1FA01F92-4115-B02A-B2BC-93FECEE67F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411893</xdr:colOff>
      <xdr:row>28</xdr:row>
      <xdr:rowOff>69022</xdr:rowOff>
    </xdr:from>
    <xdr:to>
      <xdr:col>15</xdr:col>
      <xdr:colOff>183441</xdr:colOff>
      <xdr:row>36</xdr:row>
      <xdr:rowOff>180203</xdr:rowOff>
    </xdr:to>
    <xdr:sp macro="" textlink="">
      <xdr:nvSpPr>
        <xdr:cNvPr id="90" name="Rectangle: Rounded Corners 89">
          <a:extLst>
            <a:ext uri="{FF2B5EF4-FFF2-40B4-BE49-F238E27FC236}">
              <a16:creationId xmlns:a16="http://schemas.microsoft.com/office/drawing/2014/main" id="{C134FDC5-7EBA-9DE6-DED0-9ED0724F9CB4}"/>
            </a:ext>
          </a:extLst>
        </xdr:cNvPr>
        <xdr:cNvSpPr/>
      </xdr:nvSpPr>
      <xdr:spPr>
        <a:xfrm>
          <a:off x="4839731" y="5475103"/>
          <a:ext cx="6979656" cy="1655776"/>
        </a:xfrm>
        <a:prstGeom prst="roundRect">
          <a:avLst>
            <a:gd name="adj" fmla="val 17134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425C59">
              <a:alpha val="3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i</a:t>
          </a:r>
        </a:p>
      </xdr:txBody>
    </xdr:sp>
    <xdr:clientData/>
  </xdr:twoCellAnchor>
  <xdr:twoCellAnchor>
    <xdr:from>
      <xdr:col>6</xdr:col>
      <xdr:colOff>609910</xdr:colOff>
      <xdr:row>28</xdr:row>
      <xdr:rowOff>144958</xdr:rowOff>
    </xdr:from>
    <xdr:to>
      <xdr:col>6</xdr:col>
      <xdr:colOff>755167</xdr:colOff>
      <xdr:row>29</xdr:row>
      <xdr:rowOff>101134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E3132578-6162-9550-9867-76E8FC4B9230}"/>
            </a:ext>
          </a:extLst>
        </xdr:cNvPr>
        <xdr:cNvSpPr/>
      </xdr:nvSpPr>
      <xdr:spPr>
        <a:xfrm>
          <a:off x="5025237" y="5379257"/>
          <a:ext cx="145257" cy="143115"/>
        </a:xfrm>
        <a:prstGeom prst="ellipse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800720</xdr:colOff>
      <xdr:row>28</xdr:row>
      <xdr:rowOff>75459</xdr:rowOff>
    </xdr:from>
    <xdr:to>
      <xdr:col>9</xdr:col>
      <xdr:colOff>89858</xdr:colOff>
      <xdr:row>29</xdr:row>
      <xdr:rowOff>167819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9944399A-5743-04DD-89AB-913ED400B680}"/>
            </a:ext>
          </a:extLst>
        </xdr:cNvPr>
        <xdr:cNvSpPr txBox="1"/>
      </xdr:nvSpPr>
      <xdr:spPr>
        <a:xfrm>
          <a:off x="5218889" y="5459544"/>
          <a:ext cx="1310406" cy="2846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90000" rtlCol="0" anchor="t">
          <a:noAutofit/>
        </a:bodyPr>
        <a:lstStyle/>
        <a:p>
          <a:pPr algn="ctr"/>
          <a:r>
            <a:rPr lang="en-IN" sz="1200" b="0" i="0">
              <a:solidFill>
                <a:srgbClr val="425C59"/>
              </a:solidFill>
              <a:latin typeface="Kulim Park SemiBold" pitchFamily="2" charset="0"/>
            </a:rPr>
            <a:t>Actual</a:t>
          </a:r>
          <a:r>
            <a:rPr lang="en-IN" sz="1200" b="0" i="0" baseline="0">
              <a:solidFill>
                <a:srgbClr val="425C59"/>
              </a:solidFill>
              <a:latin typeface="Kulim Park SemiBold" pitchFamily="2" charset="0"/>
            </a:rPr>
            <a:t> Vs. Budget </a:t>
          </a:r>
          <a:endParaRPr lang="en-IN" sz="1200" b="0" i="0">
            <a:solidFill>
              <a:srgbClr val="425C59"/>
            </a:solidFill>
            <a:latin typeface="Kulim Park SemiBold" pitchFamily="2" charset="0"/>
          </a:endParaRPr>
        </a:p>
      </xdr:txBody>
    </xdr:sp>
    <xdr:clientData/>
  </xdr:twoCellAnchor>
  <xdr:twoCellAnchor>
    <xdr:from>
      <xdr:col>6</xdr:col>
      <xdr:colOff>743209</xdr:colOff>
      <xdr:row>29</xdr:row>
      <xdr:rowOff>76929</xdr:rowOff>
    </xdr:from>
    <xdr:to>
      <xdr:col>9</xdr:col>
      <xdr:colOff>580478</xdr:colOff>
      <xdr:row>30</xdr:row>
      <xdr:rowOff>122000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52AE790D-7A9F-717D-621D-D9DC1955E24E}"/>
            </a:ext>
          </a:extLst>
        </xdr:cNvPr>
        <xdr:cNvSpPr txBox="1"/>
      </xdr:nvSpPr>
      <xdr:spPr>
        <a:xfrm>
          <a:off x="5161378" y="5653302"/>
          <a:ext cx="1858537" cy="237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en-IN" sz="900" b="1" i="0">
              <a:solidFill>
                <a:schemeClr val="bg1">
                  <a:lumMod val="65000"/>
                </a:schemeClr>
              </a:solidFill>
              <a:latin typeface="Kulim Park" pitchFamily="2" charset="0"/>
            </a:rPr>
            <a:t>Actual</a:t>
          </a:r>
          <a:r>
            <a:rPr lang="en-IN" sz="900" b="1" i="0" baseline="0">
              <a:solidFill>
                <a:schemeClr val="bg1">
                  <a:lumMod val="65000"/>
                </a:schemeClr>
              </a:solidFill>
              <a:latin typeface="Kulim Park" pitchFamily="2" charset="0"/>
            </a:rPr>
            <a:t> And Budget Expenses</a:t>
          </a:r>
          <a:endParaRPr lang="en-IN" sz="900" b="1" i="0">
            <a:solidFill>
              <a:schemeClr val="bg1">
                <a:lumMod val="65000"/>
              </a:schemeClr>
            </a:solidFill>
            <a:latin typeface="Kulim Park" pitchFamily="2" charset="0"/>
          </a:endParaRPr>
        </a:p>
      </xdr:txBody>
    </xdr:sp>
    <xdr:clientData/>
  </xdr:twoCellAnchor>
  <xdr:twoCellAnchor>
    <xdr:from>
      <xdr:col>6</xdr:col>
      <xdr:colOff>602052</xdr:colOff>
      <xdr:row>30</xdr:row>
      <xdr:rowOff>125801</xdr:rowOff>
    </xdr:from>
    <xdr:to>
      <xdr:col>15</xdr:col>
      <xdr:colOff>17972</xdr:colOff>
      <xdr:row>36</xdr:row>
      <xdr:rowOff>161745</xdr:rowOff>
    </xdr:to>
    <xdr:graphicFrame macro="">
      <xdr:nvGraphicFramePr>
        <xdr:cNvPr id="94" name="Chart 93">
          <a:extLst>
            <a:ext uri="{FF2B5EF4-FFF2-40B4-BE49-F238E27FC236}">
              <a16:creationId xmlns:a16="http://schemas.microsoft.com/office/drawing/2014/main" id="{FEA84C3C-F26A-3842-142E-AC1C3D636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297485</xdr:colOff>
      <xdr:row>28</xdr:row>
      <xdr:rowOff>81893</xdr:rowOff>
    </xdr:from>
    <xdr:to>
      <xdr:col>6</xdr:col>
      <xdr:colOff>237756</xdr:colOff>
      <xdr:row>36</xdr:row>
      <xdr:rowOff>191159</xdr:rowOff>
    </xdr:to>
    <xdr:sp macro="" textlink="">
      <xdr:nvSpPr>
        <xdr:cNvPr id="95" name="Rectangle: Rounded Corners 94">
          <a:extLst>
            <a:ext uri="{FF2B5EF4-FFF2-40B4-BE49-F238E27FC236}">
              <a16:creationId xmlns:a16="http://schemas.microsoft.com/office/drawing/2014/main" id="{C01553BF-9D53-D27D-09A4-880CC5DFC3F4}"/>
            </a:ext>
          </a:extLst>
        </xdr:cNvPr>
        <xdr:cNvSpPr/>
      </xdr:nvSpPr>
      <xdr:spPr>
        <a:xfrm>
          <a:off x="2507499" y="5475826"/>
          <a:ext cx="2150285" cy="1650389"/>
        </a:xfrm>
        <a:prstGeom prst="roundRect">
          <a:avLst>
            <a:gd name="adj" fmla="val 13715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425C59">
              <a:alpha val="3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i</a:t>
          </a:r>
        </a:p>
      </xdr:txBody>
    </xdr:sp>
    <xdr:clientData/>
  </xdr:twoCellAnchor>
  <xdr:twoCellAnchor>
    <xdr:from>
      <xdr:col>3</xdr:col>
      <xdr:colOff>418831</xdr:colOff>
      <xdr:row>28</xdr:row>
      <xdr:rowOff>171664</xdr:rowOff>
    </xdr:from>
    <xdr:to>
      <xdr:col>3</xdr:col>
      <xdr:colOff>564088</xdr:colOff>
      <xdr:row>29</xdr:row>
      <xdr:rowOff>127840</xdr:rowOff>
    </xdr:to>
    <xdr:sp macro="" textlink="">
      <xdr:nvSpPr>
        <xdr:cNvPr id="96" name="Oval 95">
          <a:extLst>
            <a:ext uri="{FF2B5EF4-FFF2-40B4-BE49-F238E27FC236}">
              <a16:creationId xmlns:a16="http://schemas.microsoft.com/office/drawing/2014/main" id="{BEBD0557-1F5A-4528-3FD1-6565CD66CBF5}"/>
            </a:ext>
          </a:extLst>
        </xdr:cNvPr>
        <xdr:cNvSpPr/>
      </xdr:nvSpPr>
      <xdr:spPr>
        <a:xfrm>
          <a:off x="2626564" y="5547013"/>
          <a:ext cx="145257" cy="148153"/>
        </a:xfrm>
        <a:prstGeom prst="ellipse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584687</xdr:colOff>
      <xdr:row>28</xdr:row>
      <xdr:rowOff>102165</xdr:rowOff>
    </xdr:from>
    <xdr:to>
      <xdr:col>5</xdr:col>
      <xdr:colOff>799620</xdr:colOff>
      <xdr:row>30</xdr:row>
      <xdr:rowOff>7585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66FAFD6C-F5B6-B0A6-7B91-543D4F1302F8}"/>
            </a:ext>
          </a:extLst>
        </xdr:cNvPr>
        <xdr:cNvSpPr txBox="1"/>
      </xdr:nvSpPr>
      <xdr:spPr>
        <a:xfrm>
          <a:off x="2792420" y="5477514"/>
          <a:ext cx="1307723" cy="2893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90000" rtlCol="0" anchor="t">
          <a:noAutofit/>
        </a:bodyPr>
        <a:lstStyle/>
        <a:p>
          <a:pPr algn="l"/>
          <a:r>
            <a:rPr lang="en-IN" sz="1200" b="0" i="0">
              <a:solidFill>
                <a:srgbClr val="425C59"/>
              </a:solidFill>
              <a:latin typeface="Kulim Park SemiBold" pitchFamily="2" charset="0"/>
            </a:rPr>
            <a:t>Income Sources</a:t>
          </a:r>
        </a:p>
      </xdr:txBody>
    </xdr:sp>
    <xdr:clientData/>
  </xdr:twoCellAnchor>
  <xdr:twoCellAnchor>
    <xdr:from>
      <xdr:col>3</xdr:col>
      <xdr:colOff>577089</xdr:colOff>
      <xdr:row>29</xdr:row>
      <xdr:rowOff>95317</xdr:rowOff>
    </xdr:from>
    <xdr:to>
      <xdr:col>6</xdr:col>
      <xdr:colOff>227419</xdr:colOff>
      <xdr:row>30</xdr:row>
      <xdr:rowOff>140388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FE5F3075-6188-8EFA-2E49-CAEF4D152B96}"/>
            </a:ext>
          </a:extLst>
        </xdr:cNvPr>
        <xdr:cNvSpPr txBox="1"/>
      </xdr:nvSpPr>
      <xdr:spPr>
        <a:xfrm>
          <a:off x="2784822" y="5662643"/>
          <a:ext cx="1858062" cy="2370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en-IN" sz="900" b="1" i="0">
              <a:solidFill>
                <a:schemeClr val="bg1">
                  <a:lumMod val="65000"/>
                </a:schemeClr>
              </a:solidFill>
              <a:latin typeface="Kulim Park" pitchFamily="2" charset="0"/>
            </a:rPr>
            <a:t>Actual</a:t>
          </a:r>
          <a:r>
            <a:rPr lang="en-IN" sz="900" b="1" i="0" baseline="0">
              <a:solidFill>
                <a:schemeClr val="bg1">
                  <a:lumMod val="65000"/>
                </a:schemeClr>
              </a:solidFill>
              <a:latin typeface="Kulim Park" pitchFamily="2" charset="0"/>
            </a:rPr>
            <a:t> Vs. Budget</a:t>
          </a:r>
          <a:endParaRPr lang="en-IN" sz="900" b="1" i="0">
            <a:solidFill>
              <a:schemeClr val="bg1">
                <a:lumMod val="65000"/>
              </a:schemeClr>
            </a:solidFill>
            <a:latin typeface="Kulim Park" pitchFamily="2" charset="0"/>
          </a:endParaRPr>
        </a:p>
      </xdr:txBody>
    </xdr:sp>
    <xdr:clientData/>
  </xdr:twoCellAnchor>
  <xdr:twoCellAnchor>
    <xdr:from>
      <xdr:col>3</xdr:col>
      <xdr:colOff>289073</xdr:colOff>
      <xdr:row>30</xdr:row>
      <xdr:rowOff>170492</xdr:rowOff>
    </xdr:from>
    <xdr:to>
      <xdr:col>6</xdr:col>
      <xdr:colOff>158690</xdr:colOff>
      <xdr:row>37</xdr:row>
      <xdr:rowOff>22152</xdr:rowOff>
    </xdr:to>
    <xdr:graphicFrame macro="">
      <xdr:nvGraphicFramePr>
        <xdr:cNvPr id="99" name="Chart 98">
          <a:extLst>
            <a:ext uri="{FF2B5EF4-FFF2-40B4-BE49-F238E27FC236}">
              <a16:creationId xmlns:a16="http://schemas.microsoft.com/office/drawing/2014/main" id="{AAF8A350-398D-1A8D-A950-03C51BA522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840189</xdr:colOff>
      <xdr:row>28</xdr:row>
      <xdr:rowOff>167289</xdr:rowOff>
    </xdr:from>
    <xdr:to>
      <xdr:col>6</xdr:col>
      <xdr:colOff>236024</xdr:colOff>
      <xdr:row>30</xdr:row>
      <xdr:rowOff>1227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B4054160-EC4C-5087-60C1-E3C9572F2210}"/>
            </a:ext>
          </a:extLst>
        </xdr:cNvPr>
        <xdr:cNvSpPr txBox="1"/>
      </xdr:nvSpPr>
      <xdr:spPr>
        <a:xfrm>
          <a:off x="4160831" y="5550225"/>
          <a:ext cx="514367" cy="2184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900" b="0" i="0">
              <a:solidFill>
                <a:srgbClr val="425C59"/>
              </a:solidFill>
              <a:latin typeface="Kulim Park" pitchFamily="2" charset="0"/>
            </a:rPr>
            <a:t>Budget</a:t>
          </a:r>
        </a:p>
      </xdr:txBody>
    </xdr:sp>
    <xdr:clientData/>
  </xdr:twoCellAnchor>
  <xdr:twoCellAnchor>
    <xdr:from>
      <xdr:col>5</xdr:col>
      <xdr:colOff>840189</xdr:colOff>
      <xdr:row>29</xdr:row>
      <xdr:rowOff>186458</xdr:rowOff>
    </xdr:from>
    <xdr:to>
      <xdr:col>6</xdr:col>
      <xdr:colOff>236024</xdr:colOff>
      <xdr:row>31</xdr:row>
      <xdr:rowOff>20396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290050C1-7EAE-7CDC-3C0E-00743C0E00AF}"/>
            </a:ext>
          </a:extLst>
        </xdr:cNvPr>
        <xdr:cNvSpPr txBox="1"/>
      </xdr:nvSpPr>
      <xdr:spPr>
        <a:xfrm>
          <a:off x="4160831" y="5761641"/>
          <a:ext cx="514367" cy="2184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900" b="0" i="0">
              <a:solidFill>
                <a:srgbClr val="425C59"/>
              </a:solidFill>
              <a:latin typeface="Kulim Park" pitchFamily="2" charset="0"/>
            </a:rPr>
            <a:t>Actual</a:t>
          </a:r>
        </a:p>
      </xdr:txBody>
    </xdr:sp>
    <xdr:clientData/>
  </xdr:twoCellAnchor>
  <xdr:twoCellAnchor>
    <xdr:from>
      <xdr:col>5</xdr:col>
      <xdr:colOff>796227</xdr:colOff>
      <xdr:row>29</xdr:row>
      <xdr:rowOff>35109</xdr:rowOff>
    </xdr:from>
    <xdr:to>
      <xdr:col>5</xdr:col>
      <xdr:colOff>904227</xdr:colOff>
      <xdr:row>29</xdr:row>
      <xdr:rowOff>143109</xdr:rowOff>
    </xdr:to>
    <xdr:sp macro="" textlink="">
      <xdr:nvSpPr>
        <xdr:cNvPr id="102" name="Oval 101">
          <a:extLst>
            <a:ext uri="{FF2B5EF4-FFF2-40B4-BE49-F238E27FC236}">
              <a16:creationId xmlns:a16="http://schemas.microsoft.com/office/drawing/2014/main" id="{B84F5BE0-8F6A-28B6-297B-CC20806CBE53}"/>
            </a:ext>
          </a:extLst>
        </xdr:cNvPr>
        <xdr:cNvSpPr/>
      </xdr:nvSpPr>
      <xdr:spPr>
        <a:xfrm>
          <a:off x="4098666" y="5578725"/>
          <a:ext cx="108000" cy="108000"/>
        </a:xfrm>
        <a:prstGeom prst="ellipse">
          <a:avLst/>
        </a:prstGeom>
        <a:solidFill>
          <a:srgbClr val="425C5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798608</xdr:colOff>
      <xdr:row>30</xdr:row>
      <xdr:rowOff>52477</xdr:rowOff>
    </xdr:from>
    <xdr:to>
      <xdr:col>5</xdr:col>
      <xdr:colOff>906608</xdr:colOff>
      <xdr:row>30</xdr:row>
      <xdr:rowOff>161954</xdr:rowOff>
    </xdr:to>
    <xdr:sp macro="" textlink="">
      <xdr:nvSpPr>
        <xdr:cNvPr id="103" name="Oval 102">
          <a:extLst>
            <a:ext uri="{FF2B5EF4-FFF2-40B4-BE49-F238E27FC236}">
              <a16:creationId xmlns:a16="http://schemas.microsoft.com/office/drawing/2014/main" id="{68EE9022-D099-8CD3-933C-70D4F6C0F366}"/>
            </a:ext>
          </a:extLst>
        </xdr:cNvPr>
        <xdr:cNvSpPr/>
      </xdr:nvSpPr>
      <xdr:spPr>
        <a:xfrm>
          <a:off x="4100608" y="5767477"/>
          <a:ext cx="108000" cy="109477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313274</xdr:colOff>
      <xdr:row>28</xdr:row>
      <xdr:rowOff>187555</xdr:rowOff>
    </xdr:from>
    <xdr:to>
      <xdr:col>14</xdr:col>
      <xdr:colOff>823737</xdr:colOff>
      <xdr:row>30</xdr:row>
      <xdr:rowOff>21493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1CB770ED-FBF3-7CEE-9B6B-115A7478F5AF}"/>
            </a:ext>
          </a:extLst>
        </xdr:cNvPr>
        <xdr:cNvSpPr txBox="1"/>
      </xdr:nvSpPr>
      <xdr:spPr>
        <a:xfrm>
          <a:off x="10993434" y="5578300"/>
          <a:ext cx="510463" cy="2189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900" b="0" i="0">
              <a:solidFill>
                <a:srgbClr val="425C59"/>
              </a:solidFill>
              <a:latin typeface="Kulim Park" pitchFamily="2" charset="0"/>
            </a:rPr>
            <a:t>Budget</a:t>
          </a:r>
        </a:p>
      </xdr:txBody>
    </xdr:sp>
    <xdr:clientData/>
  </xdr:twoCellAnchor>
  <xdr:twoCellAnchor>
    <xdr:from>
      <xdr:col>14</xdr:col>
      <xdr:colOff>313274</xdr:colOff>
      <xdr:row>30</xdr:row>
      <xdr:rowOff>14197</xdr:rowOff>
    </xdr:from>
    <xdr:to>
      <xdr:col>14</xdr:col>
      <xdr:colOff>823737</xdr:colOff>
      <xdr:row>31</xdr:row>
      <xdr:rowOff>40662</xdr:rowOff>
    </xdr:to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2B27192E-1566-8779-CB8D-BD02318EBC3E}"/>
            </a:ext>
          </a:extLst>
        </xdr:cNvPr>
        <xdr:cNvSpPr txBox="1"/>
      </xdr:nvSpPr>
      <xdr:spPr>
        <a:xfrm>
          <a:off x="10993434" y="5789995"/>
          <a:ext cx="510463" cy="2189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900" b="0" i="0">
              <a:solidFill>
                <a:srgbClr val="425C59"/>
              </a:solidFill>
              <a:latin typeface="Kulim Park" pitchFamily="2" charset="0"/>
            </a:rPr>
            <a:t>Actual</a:t>
          </a:r>
        </a:p>
      </xdr:txBody>
    </xdr:sp>
    <xdr:clientData/>
  </xdr:twoCellAnchor>
  <xdr:twoCellAnchor>
    <xdr:from>
      <xdr:col>14</xdr:col>
      <xdr:colOff>269312</xdr:colOff>
      <xdr:row>29</xdr:row>
      <xdr:rowOff>55375</xdr:rowOff>
    </xdr:from>
    <xdr:to>
      <xdr:col>14</xdr:col>
      <xdr:colOff>377312</xdr:colOff>
      <xdr:row>29</xdr:row>
      <xdr:rowOff>163375</xdr:rowOff>
    </xdr:to>
    <xdr:sp macro="" textlink="">
      <xdr:nvSpPr>
        <xdr:cNvPr id="106" name="Oval 105">
          <a:extLst>
            <a:ext uri="{FF2B5EF4-FFF2-40B4-BE49-F238E27FC236}">
              <a16:creationId xmlns:a16="http://schemas.microsoft.com/office/drawing/2014/main" id="{9A3448CC-4D1F-83AC-47C9-3A54DFEB029C}"/>
            </a:ext>
          </a:extLst>
        </xdr:cNvPr>
        <xdr:cNvSpPr/>
      </xdr:nvSpPr>
      <xdr:spPr>
        <a:xfrm>
          <a:off x="10949472" y="5638646"/>
          <a:ext cx="108000" cy="108000"/>
        </a:xfrm>
        <a:prstGeom prst="ellipse">
          <a:avLst/>
        </a:prstGeom>
        <a:solidFill>
          <a:srgbClr val="425C5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271693</xdr:colOff>
      <xdr:row>30</xdr:row>
      <xdr:rowOff>72743</xdr:rowOff>
    </xdr:from>
    <xdr:to>
      <xdr:col>14</xdr:col>
      <xdr:colOff>379693</xdr:colOff>
      <xdr:row>30</xdr:row>
      <xdr:rowOff>182220</xdr:rowOff>
    </xdr:to>
    <xdr:sp macro="" textlink="">
      <xdr:nvSpPr>
        <xdr:cNvPr id="107" name="Oval 106">
          <a:extLst>
            <a:ext uri="{FF2B5EF4-FFF2-40B4-BE49-F238E27FC236}">
              <a16:creationId xmlns:a16="http://schemas.microsoft.com/office/drawing/2014/main" id="{4FC3E5FE-9437-8E34-AD78-46056EEE2917}"/>
            </a:ext>
          </a:extLst>
        </xdr:cNvPr>
        <xdr:cNvSpPr/>
      </xdr:nvSpPr>
      <xdr:spPr>
        <a:xfrm>
          <a:off x="10951853" y="5848541"/>
          <a:ext cx="108000" cy="109477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369184</xdr:colOff>
      <xdr:row>2</xdr:row>
      <xdr:rowOff>40585</xdr:rowOff>
    </xdr:from>
    <xdr:to>
      <xdr:col>3</xdr:col>
      <xdr:colOff>372936</xdr:colOff>
      <xdr:row>4</xdr:row>
      <xdr:rowOff>95754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1EC09422-BBF4-232F-11C4-B92D6AB6D59A}"/>
            </a:ext>
          </a:extLst>
        </xdr:cNvPr>
        <xdr:cNvCxnSpPr/>
      </xdr:nvCxnSpPr>
      <xdr:spPr>
        <a:xfrm>
          <a:off x="2576565" y="423601"/>
          <a:ext cx="3752" cy="438185"/>
        </a:xfrm>
        <a:prstGeom prst="line">
          <a:avLst/>
        </a:prstGeom>
        <a:ln w="31750" cap="rnd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ABC6FB-47F8-44AF-B1D0-0CF5CB990952}" name="Table2" displayName="Table2" ref="B44:D50" totalsRowCount="1" headerRowDxfId="58" totalsRowDxfId="57" totalsRowCellStyle="Currency">
  <autoFilter ref="B44:D49" xr:uid="{80ABC6FB-47F8-44AF-B1D0-0CF5CB990952}">
    <filterColumn colId="0" hiddenButton="1"/>
    <filterColumn colId="1" hiddenButton="1"/>
    <filterColumn colId="2" hiddenButton="1"/>
  </autoFilter>
  <tableColumns count="3">
    <tableColumn id="1" xr3:uid="{013AEB2D-EF54-4BA7-9332-8CCFF900E21C}" name="Name" totalsRowLabel="Rest" dataDxfId="56" totalsRowDxfId="55" totalsRowCellStyle="Currency"/>
    <tableColumn id="2" xr3:uid="{33A9B7CF-20C5-4A88-AD4F-5938CC537C03}" name="Budget" totalsRowFunction="custom" dataDxfId="54" totalsRowDxfId="53" totalsRowCellStyle="Currency">
      <calculatedColumnFormula>Table22[[#Totals],[Budget]]</calculatedColumnFormula>
      <totalsRowFormula>C45+C46-C47-C48-C49</totalsRowFormula>
    </tableColumn>
    <tableColumn id="3" xr3:uid="{DF066430-8855-4A23-81A9-BFE00105CA68}" name="Actual" totalsRowFunction="custom" dataDxfId="52" totalsRowDxfId="51" totalsRowCellStyle="Currency">
      <calculatedColumnFormula>Table22[[#Totals],[Actual]]</calculatedColumnFormula>
      <totalsRowFormula>D45+D46-D47-D48-D49</totalsRow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E86657-7667-4339-9036-C438339216E1}" name="Table22" displayName="Table22" ref="F44:H55" totalsRowCount="1" headerRowDxfId="50" totalsRowDxfId="49" totalsRowCellStyle="Currency">
  <autoFilter ref="F44:H54" xr:uid="{B9E86657-7667-4339-9036-C438339216E1}">
    <filterColumn colId="0" hiddenButton="1"/>
    <filterColumn colId="1" hiddenButton="1"/>
    <filterColumn colId="2" hiddenButton="1"/>
  </autoFilter>
  <tableColumns count="3">
    <tableColumn id="1" xr3:uid="{6B5C7D53-3666-409E-A559-5E4F3584E497}" name="Name" totalsRowLabel="Total" dataDxfId="48" totalsRowDxfId="47" totalsRowCellStyle="Currency"/>
    <tableColumn id="2" xr3:uid="{FB9C5EFF-CCE8-46BD-AF4F-9EBE4B12B780}" name="Budget" totalsRowFunction="sum" dataDxfId="46" totalsRowDxfId="45" dataCellStyle="Comma" totalsRowCellStyle="Currency"/>
    <tableColumn id="3" xr3:uid="{B3EFEEDC-AD14-4D04-B30A-C97F945FEBF7}" name="Actual" totalsRowFunction="sum" dataDxfId="44" totalsRowDxfId="43" dataCellStyle="Comma" totalsRowCellStyle="Currency">
      <calculatedColumnFormula>SUMIF(Table7[Sub-Category],Table22[[#This Row],[Name]],Table7[Amount])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FEFA7D-EBD3-436C-B1CD-C5B44109A977}" name="Table226" displayName="Table226" ref="J44:L55" totalsRowCount="1" headerRowDxfId="42" totalsRowDxfId="41" totalsRowCellStyle="Currency">
  <autoFilter ref="J44:L54" xr:uid="{C6FEFA7D-EBD3-436C-B1CD-C5B44109A977}">
    <filterColumn colId="0" hiddenButton="1"/>
    <filterColumn colId="1" hiddenButton="1"/>
    <filterColumn colId="2" hiddenButton="1"/>
  </autoFilter>
  <tableColumns count="3">
    <tableColumn id="1" xr3:uid="{B3B2691F-CF6D-4B61-A8A9-BCD85376CBE7}" name="Name" totalsRowLabel="Total" dataDxfId="40" totalsRowDxfId="39" totalsRowCellStyle="Currency"/>
    <tableColumn id="2" xr3:uid="{39AEF8F7-5A71-4C34-BCF5-9AF36760D4B8}" name="Budget" totalsRowFunction="sum" dataDxfId="38" totalsRowDxfId="37" dataCellStyle="Comma" totalsRowCellStyle="Currency"/>
    <tableColumn id="3" xr3:uid="{EA5A279E-186F-475E-B9BB-937410994409}" name="Actual" totalsRowFunction="sum" dataDxfId="36" totalsRowDxfId="35" totalsRowCellStyle="Currency">
      <calculatedColumnFormula>SUMIF(Table7[Sub-Category],Table226[[#This Row],[Name]],Table7[Amount])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1FEBC36-9965-4064-9DAA-875E03044A2C}" name="Table2267" displayName="Table2267" ref="N44:P55" totalsRowCount="1" headerRowDxfId="34" totalsRowDxfId="33" totalsRowCellStyle="Currency">
  <autoFilter ref="N44:P54" xr:uid="{01FEBC36-9965-4064-9DAA-875E03044A2C}">
    <filterColumn colId="0" hiddenButton="1"/>
    <filterColumn colId="1" hiddenButton="1"/>
    <filterColumn colId="2" hiddenButton="1"/>
  </autoFilter>
  <tableColumns count="3">
    <tableColumn id="1" xr3:uid="{35437BA5-75ED-4581-8CED-01E93939EF22}" name="Name" totalsRowLabel="Total" dataDxfId="32" totalsRowDxfId="31" totalsRowCellStyle="Currency"/>
    <tableColumn id="2" xr3:uid="{E0358806-CE41-4398-8B6E-0DF0357C8E78}" name="Budget" totalsRowFunction="sum" dataDxfId="30" totalsRowDxfId="29" dataCellStyle="Comma" totalsRowCellStyle="Currency"/>
    <tableColumn id="3" xr3:uid="{81B52EC6-8946-4538-A25F-4ACDB85C0F4C}" name="Actual" totalsRowFunction="sum" dataDxfId="28" totalsRowDxfId="27" dataCellStyle="Comma" totalsRowCellStyle="Currency">
      <calculatedColumnFormula>SUMIF(Table7[Sub-Category],Table2267[[#This Row],[Name]],Table7[Amount])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9A2B135-BF06-4B23-9E10-947A7F02B981}" name="Table7" displayName="Table7" ref="B60:G95" totalsRowShown="0" headerRowDxfId="26" dataDxfId="25">
  <autoFilter ref="B60:G95" xr:uid="{19A2B135-BF06-4B23-9E10-947A7F02B98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951CCF6-3F73-4F62-B4F5-4C3480B9303B}" name="Date" dataDxfId="24"/>
    <tableColumn id="2" xr3:uid="{B4A878AC-BBF9-4C33-B7CE-99AA5E387A0B}" name="Category" dataDxfId="23"/>
    <tableColumn id="3" xr3:uid="{870088D8-FD42-4099-8A2C-69B5B25BD3A8}" name="Sub-Category" dataDxfId="22"/>
    <tableColumn id="6" xr3:uid="{E173B201-544F-4DCE-979F-CBC9E9DF3C1E}" name="₹" dataDxfId="21">
      <calculatedColumnFormula>IF(Table7[[#This Row],[Amount]]=0,"","₹")</calculatedColumnFormula>
    </tableColumn>
    <tableColumn id="4" xr3:uid="{D47567FC-27E0-40DD-9C13-281F984EC974}" name="Amount" dataDxfId="20"/>
    <tableColumn id="5" xr3:uid="{ADC2FE91-F4EF-4CEB-B423-4224B1E0AFB7}" name="Comment" dataDxfId="19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A1B24F-5BC9-471D-A494-2E221A1D15CD}" name="Table4" displayName="Table4" ref="R44:V55" totalsRowCount="1" headerRowDxfId="18" dataDxfId="17" totalsRowDxfId="16" totalsRowBorderDxfId="15" totalsRowCellStyle="Currency">
  <autoFilter ref="R44:V54" xr:uid="{F3A1B24F-5BC9-471D-A494-2E221A1D15CD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973CC66-03D2-42B2-A63D-FD7C6964CE60}" name="Name" totalsRowLabel="Total" dataDxfId="14" totalsRowDxfId="13" totalsRowCellStyle="Currency"/>
    <tableColumn id="2" xr3:uid="{9E03E154-0554-4D86-AD3B-5778537AAB16}" name="Date" dataDxfId="12" totalsRowDxfId="11" totalsRowCellStyle="Currency"/>
    <tableColumn id="3" xr3:uid="{1B1C1856-2E06-4D72-A501-D9AE145E82DC}" name="Budget" totalsRowFunction="sum" dataDxfId="10" totalsRowDxfId="9" dataCellStyle="Comma" totalsRowCellStyle="Currency"/>
    <tableColumn id="4" xr3:uid="{3751CC91-05C1-4310-97E9-94CB0C1DF4DC}" name="Actual" totalsRowFunction="sum" dataDxfId="8" totalsRowDxfId="7" dataCellStyle="Comma" totalsRowCellStyle="Currency">
      <calculatedColumnFormula>SUMIF(Table7[Sub-Category],Table4[[#This Row],[Name]],Table7[Amount])</calculatedColumnFormula>
    </tableColumn>
    <tableColumn id="5" xr3:uid="{9762C5B2-FFFB-448C-AFD1-CC577E47E69E}" name="Status" dataDxfId="6" totalsRowDxfId="5" totalsRowCellStyle="Currency">
      <calculatedColumnFormula>_xlfn.IFS(AND(Table4[[#This Row],[Actual]]=0,Table4[[#This Row],[Budget]]=0),"",AND(Table4[[#This Row],[Budget]]&gt;0,Table4[[#This Row],[Actual]]=0),"Not Paid",Table4[[#This Row],[Actual]]&gt;0,"Paid")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D0D5F-58F1-431B-88CB-0870DE5FFA4A}">
  <dimension ref="B42:V95"/>
  <sheetViews>
    <sheetView showGridLines="0" tabSelected="1" zoomScale="66" zoomScaleNormal="104" workbookViewId="0">
      <selection activeCell="H74" sqref="H74"/>
    </sheetView>
  </sheetViews>
  <sheetFormatPr defaultRowHeight="15" x14ac:dyDescent="0.25"/>
  <cols>
    <col min="1" max="1" width="2.5703125" customWidth="1"/>
    <col min="2" max="2" width="16.7109375" customWidth="1"/>
    <col min="3" max="4" width="13.85546875" customWidth="1"/>
    <col min="5" max="5" width="2.5703125" customWidth="1"/>
    <col min="6" max="6" width="16.7109375" customWidth="1"/>
    <col min="7" max="8" width="13.85546875" customWidth="1"/>
    <col min="9" max="9" width="2.5703125" customWidth="1"/>
    <col min="10" max="10" width="16.7109375" customWidth="1"/>
    <col min="11" max="12" width="13.85546875" customWidth="1"/>
    <col min="13" max="13" width="2.5703125" customWidth="1"/>
    <col min="14" max="14" width="16.7109375" customWidth="1"/>
    <col min="15" max="16" width="13.85546875" customWidth="1"/>
    <col min="17" max="17" width="2.5703125" customWidth="1"/>
    <col min="18" max="18" width="16.7109375" customWidth="1"/>
    <col min="20" max="22" width="13.85546875" customWidth="1"/>
    <col min="27" max="27" width="11.140625" customWidth="1"/>
    <col min="28" max="28" width="14.85546875" customWidth="1"/>
    <col min="29" max="29" width="10.140625" customWidth="1"/>
    <col min="30" max="30" width="11.85546875" customWidth="1"/>
  </cols>
  <sheetData>
    <row r="42" spans="2:22" x14ac:dyDescent="0.25">
      <c r="U42" t="s">
        <v>37</v>
      </c>
      <c r="V42">
        <f>COUNTIF(Table4[Status],U42)</f>
        <v>5</v>
      </c>
    </row>
    <row r="43" spans="2:22" x14ac:dyDescent="0.25">
      <c r="U43" t="s">
        <v>38</v>
      </c>
      <c r="V43">
        <f>COUNTIF(Table4[Status],U43)</f>
        <v>0</v>
      </c>
    </row>
    <row r="44" spans="2:22" x14ac:dyDescent="0.25">
      <c r="B44" s="1" t="s">
        <v>0</v>
      </c>
      <c r="C44" s="1" t="s">
        <v>1</v>
      </c>
      <c r="D44" s="1" t="s">
        <v>2</v>
      </c>
      <c r="F44" s="1" t="s">
        <v>0</v>
      </c>
      <c r="G44" s="1" t="s">
        <v>1</v>
      </c>
      <c r="H44" s="1" t="s">
        <v>2</v>
      </c>
      <c r="J44" s="1" t="s">
        <v>0</v>
      </c>
      <c r="K44" s="1" t="s">
        <v>1</v>
      </c>
      <c r="L44" s="1" t="s">
        <v>2</v>
      </c>
      <c r="N44" s="1" t="s">
        <v>0</v>
      </c>
      <c r="O44" s="1" t="s">
        <v>1</v>
      </c>
      <c r="P44" s="1" t="s">
        <v>2</v>
      </c>
      <c r="R44" s="1" t="s">
        <v>0</v>
      </c>
      <c r="S44" s="1" t="s">
        <v>24</v>
      </c>
      <c r="T44" s="1" t="s">
        <v>1</v>
      </c>
      <c r="U44" s="1" t="s">
        <v>2</v>
      </c>
      <c r="V44" s="1" t="s">
        <v>25</v>
      </c>
    </row>
    <row r="45" spans="2:22" s="10" customFormat="1" ht="12.75" x14ac:dyDescent="0.2">
      <c r="B45" s="9" t="s">
        <v>3</v>
      </c>
      <c r="C45" s="14"/>
      <c r="D45" s="15"/>
      <c r="F45" s="9" t="s">
        <v>9</v>
      </c>
      <c r="G45" s="16">
        <v>2000</v>
      </c>
      <c r="H45" s="16">
        <f>SUMIF(Table7[Sub-Category],Table22[[#This Row],[Name]],Table7[Amount])</f>
        <v>1960</v>
      </c>
      <c r="J45" s="9" t="s">
        <v>13</v>
      </c>
      <c r="K45" s="16">
        <v>150</v>
      </c>
      <c r="L45" s="16">
        <f>SUMIF(Table7[Sub-Category],Table226[[#This Row],[Name]],Table7[Amount])</f>
        <v>0</v>
      </c>
      <c r="N45" s="9" t="s">
        <v>20</v>
      </c>
      <c r="O45" s="16">
        <v>300</v>
      </c>
      <c r="P45" s="16">
        <f>SUMIF(Table7[Sub-Category],Table2267[[#This Row],[Name]],Table7[Amount])</f>
        <v>100</v>
      </c>
      <c r="R45" s="9" t="s">
        <v>11</v>
      </c>
      <c r="S45" s="2">
        <v>6</v>
      </c>
      <c r="T45" s="16">
        <v>500</v>
      </c>
      <c r="U45" s="16">
        <f>SUMIF(Table7[Sub-Category],Table4[[#This Row],[Name]],Table7[Amount])</f>
        <v>612</v>
      </c>
      <c r="V45" s="11" t="str">
        <f>_xlfn.IFS(AND(Table4[[#This Row],[Actual]]=0,Table4[[#This Row],[Budget]]=0),"",AND(Table4[[#This Row],[Budget]]&gt;0,Table4[[#This Row],[Actual]]=0),"Not Paid",Table4[[#This Row],[Actual]]&gt;0,"Paid")</f>
        <v>Paid</v>
      </c>
    </row>
    <row r="46" spans="2:22" s="10" customFormat="1" ht="12.75" x14ac:dyDescent="0.2">
      <c r="B46" s="9" t="s">
        <v>4</v>
      </c>
      <c r="C46" s="14">
        <f>Table22[[#Totals],[Budget]]</f>
        <v>5200</v>
      </c>
      <c r="D46" s="15">
        <f>Table22[[#Totals],[Actual]]</f>
        <v>4205.7299999999996</v>
      </c>
      <c r="F46" s="9" t="s">
        <v>10</v>
      </c>
      <c r="G46" s="16">
        <v>200</v>
      </c>
      <c r="H46" s="16">
        <f>SUMIF(Table7[Sub-Category],Table22[[#This Row],[Name]],Table7[Amount])</f>
        <v>210</v>
      </c>
      <c r="J46" s="9" t="s">
        <v>14</v>
      </c>
      <c r="K46" s="16">
        <v>80</v>
      </c>
      <c r="L46" s="16">
        <f>SUMIF(Table7[Sub-Category],Table226[[#This Row],[Name]],Table7[Amount])</f>
        <v>97.9</v>
      </c>
      <c r="N46" s="9" t="s">
        <v>21</v>
      </c>
      <c r="O46" s="16">
        <v>200</v>
      </c>
      <c r="P46" s="16">
        <f>SUMIF(Table7[Sub-Category],Table2267[[#This Row],[Name]],Table7[Amount])</f>
        <v>100</v>
      </c>
      <c r="R46" s="9" t="s">
        <v>26</v>
      </c>
      <c r="S46" s="2">
        <v>5</v>
      </c>
      <c r="T46" s="16">
        <v>200</v>
      </c>
      <c r="U46" s="16">
        <f>SUMIF(Table7[Sub-Category],Table4[[#This Row],[Name]],Table7[Amount])</f>
        <v>30</v>
      </c>
      <c r="V46" s="11" t="str">
        <f>_xlfn.IFS(AND(Table4[[#This Row],[Actual]]=0,Table4[[#This Row],[Budget]]=0),"",AND(Table4[[#This Row],[Budget]]&gt;0,Table4[[#This Row],[Actual]]=0),"Not Paid",Table4[[#This Row],[Actual]]&gt;0,"Paid")</f>
        <v>Paid</v>
      </c>
    </row>
    <row r="47" spans="2:22" s="10" customFormat="1" ht="12.75" x14ac:dyDescent="0.2">
      <c r="B47" s="9" t="s">
        <v>5</v>
      </c>
      <c r="C47" s="14">
        <f>Table226[[#Totals],[Budget]]</f>
        <v>448</v>
      </c>
      <c r="D47" s="15">
        <f>Table226[[#Totals],[Actual]]</f>
        <v>507.11</v>
      </c>
      <c r="F47" s="9" t="s">
        <v>11</v>
      </c>
      <c r="G47" s="16">
        <v>600</v>
      </c>
      <c r="H47" s="16">
        <f>SUMIF(Table7[Sub-Category],Table22[[#This Row],[Name]],Table7[Amount])</f>
        <v>612</v>
      </c>
      <c r="J47" s="9" t="s">
        <v>15</v>
      </c>
      <c r="K47" s="16">
        <v>30</v>
      </c>
      <c r="L47" s="16">
        <f>SUMIF(Table7[Sub-Category],Table226[[#This Row],[Name]],Table7[Amount])</f>
        <v>0</v>
      </c>
      <c r="N47" s="9" t="s">
        <v>22</v>
      </c>
      <c r="O47" s="16">
        <v>200</v>
      </c>
      <c r="P47" s="16">
        <f>SUMIF(Table7[Sub-Category],Table2267[[#This Row],[Name]],Table7[Amount])</f>
        <v>0</v>
      </c>
      <c r="R47" s="9" t="s">
        <v>27</v>
      </c>
      <c r="S47" s="2">
        <v>5</v>
      </c>
      <c r="T47" s="16">
        <v>200</v>
      </c>
      <c r="U47" s="16">
        <f>SUMIF(Table7[Sub-Category],Table4[[#This Row],[Name]],Table7[Amount])</f>
        <v>32.700000000000003</v>
      </c>
      <c r="V47" s="11" t="str">
        <f>_xlfn.IFS(AND(Table4[[#This Row],[Actual]]=0,Table4[[#This Row],[Budget]]=0),"",AND(Table4[[#This Row],[Budget]]&gt;0,Table4[[#This Row],[Actual]]=0),"Not Paid",Table4[[#This Row],[Actual]]&gt;0,"Paid")</f>
        <v>Paid</v>
      </c>
    </row>
    <row r="48" spans="2:22" s="10" customFormat="1" ht="12.75" x14ac:dyDescent="0.2">
      <c r="B48" s="9" t="s">
        <v>6</v>
      </c>
      <c r="C48" s="14">
        <f>Table4[[#Totals],[Budget]]</f>
        <v>1300</v>
      </c>
      <c r="D48" s="15">
        <f>Table4[[#Totals],[Actual]]</f>
        <v>1087.6000000000001</v>
      </c>
      <c r="F48" s="9" t="s">
        <v>12</v>
      </c>
      <c r="G48" s="16">
        <v>200</v>
      </c>
      <c r="H48" s="16">
        <f>SUMIF(Table7[Sub-Category],Table22[[#This Row],[Name]],Table7[Amount])</f>
        <v>223.73</v>
      </c>
      <c r="J48" s="9" t="s">
        <v>16</v>
      </c>
      <c r="K48" s="16">
        <v>100</v>
      </c>
      <c r="L48" s="16">
        <f>SUMIF(Table7[Sub-Category],Table226[[#This Row],[Name]],Table7[Amount])</f>
        <v>338.23</v>
      </c>
      <c r="N48" s="9" t="s">
        <v>23</v>
      </c>
      <c r="O48" s="16">
        <v>200</v>
      </c>
      <c r="P48" s="16">
        <f>SUMIF(Table7[Sub-Category],Table2267[[#This Row],[Name]],Table7[Amount])</f>
        <v>0</v>
      </c>
      <c r="R48" s="9" t="s">
        <v>28</v>
      </c>
      <c r="S48" s="2">
        <v>5</v>
      </c>
      <c r="T48" s="16">
        <v>200</v>
      </c>
      <c r="U48" s="16">
        <f>SUMIF(Table7[Sub-Category],Table4[[#This Row],[Name]],Table7[Amount])</f>
        <v>300</v>
      </c>
      <c r="V48" s="11" t="str">
        <f>_xlfn.IFS(AND(Table4[[#This Row],[Actual]]=0,Table4[[#This Row],[Budget]]=0),"",AND(Table4[[#This Row],[Budget]]&gt;0,Table4[[#This Row],[Actual]]=0),"Not Paid",Table4[[#This Row],[Actual]]&gt;0,"Paid")</f>
        <v>Paid</v>
      </c>
    </row>
    <row r="49" spans="2:22" s="10" customFormat="1" ht="12.75" x14ac:dyDescent="0.2">
      <c r="B49" s="9" t="s">
        <v>7</v>
      </c>
      <c r="C49" s="14">
        <f>Table2267[[#Totals],[Budget]]</f>
        <v>900</v>
      </c>
      <c r="D49" s="15">
        <f>Table2267[[#Totals],[Actual]]</f>
        <v>200</v>
      </c>
      <c r="F49" s="9" t="s">
        <v>39</v>
      </c>
      <c r="G49" s="16">
        <v>1200</v>
      </c>
      <c r="H49" s="16">
        <v>500</v>
      </c>
      <c r="J49" s="9" t="s">
        <v>17</v>
      </c>
      <c r="K49" s="16">
        <v>18</v>
      </c>
      <c r="L49" s="16">
        <f>SUMIF(Table7[Sub-Category],Table226[[#This Row],[Name]],Table7[Amount])</f>
        <v>70.97999999999999</v>
      </c>
      <c r="N49" s="9"/>
      <c r="O49" s="16"/>
      <c r="P49" s="16">
        <f>SUMIF(Table7[Sub-Category],Table2267[[#This Row],[Name]],Table7[Amount])</f>
        <v>0</v>
      </c>
      <c r="R49" s="9" t="s">
        <v>29</v>
      </c>
      <c r="S49" s="2">
        <v>15</v>
      </c>
      <c r="T49" s="16">
        <v>200</v>
      </c>
      <c r="U49" s="16">
        <f>SUMIF(Table7[Sub-Category],Table4[[#This Row],[Name]],Table7[Amount])</f>
        <v>112.9</v>
      </c>
      <c r="V49" s="11" t="str">
        <f>_xlfn.IFS(AND(Table4[[#This Row],[Actual]]=0,Table4[[#This Row],[Budget]]=0),"",AND(Table4[[#This Row],[Budget]]&gt;0,Table4[[#This Row],[Actual]]=0),"Not Paid",Table4[[#This Row],[Actual]]&gt;0,"Paid")</f>
        <v>Paid</v>
      </c>
    </row>
    <row r="50" spans="2:22" s="10" customFormat="1" ht="12.75" x14ac:dyDescent="0.2">
      <c r="B50" s="17" t="s">
        <v>35</v>
      </c>
      <c r="C50" s="18">
        <f>C45+C46-C47-C48-C49</f>
        <v>2552</v>
      </c>
      <c r="D50" s="18">
        <f>D45+D46-D47-D48-D49</f>
        <v>2411.0199999999995</v>
      </c>
      <c r="F50" s="9" t="s">
        <v>40</v>
      </c>
      <c r="G50" s="16">
        <v>500</v>
      </c>
      <c r="H50" s="16">
        <v>500</v>
      </c>
      <c r="J50" s="9" t="s">
        <v>18</v>
      </c>
      <c r="K50" s="16">
        <v>50</v>
      </c>
      <c r="L50" s="16">
        <f>SUMIF(Table7[Sub-Category],Table226[[#This Row],[Name]],Table7[Amount])</f>
        <v>0</v>
      </c>
      <c r="N50" s="9"/>
      <c r="O50" s="16"/>
      <c r="P50" s="16">
        <f>SUMIF(Table7[Sub-Category],Table2267[[#This Row],[Name]],Table7[Amount])</f>
        <v>0</v>
      </c>
      <c r="R50" s="9"/>
      <c r="S50" s="2"/>
      <c r="T50" s="16"/>
      <c r="U50" s="16">
        <f>SUMIF(Table7[Sub-Category],Table4[[#This Row],[Name]],Table7[Amount])</f>
        <v>0</v>
      </c>
      <c r="V50" s="11" t="str">
        <f>_xlfn.IFS(AND(Table4[[#This Row],[Actual]]=0,Table4[[#This Row],[Budget]]=0),"",AND(Table4[[#This Row],[Budget]]&gt;0,Table4[[#This Row],[Actual]]=0),"Not Paid",Table4[[#This Row],[Actual]]&gt;0,"Paid")</f>
        <v/>
      </c>
    </row>
    <row r="51" spans="2:22" s="10" customFormat="1" ht="12.75" x14ac:dyDescent="0.2">
      <c r="F51" s="9" t="s">
        <v>41</v>
      </c>
      <c r="G51" s="16">
        <v>500</v>
      </c>
      <c r="H51" s="16">
        <v>200</v>
      </c>
      <c r="J51" s="9" t="s">
        <v>19</v>
      </c>
      <c r="K51" s="16">
        <v>20</v>
      </c>
      <c r="L51" s="16">
        <f>SUMIF(Table7[Sub-Category],Table226[[#This Row],[Name]],Table7[Amount])</f>
        <v>0</v>
      </c>
      <c r="N51" s="9"/>
      <c r="O51" s="16"/>
      <c r="P51" s="16">
        <f>SUMIF(Table7[Sub-Category],Table2267[[#This Row],[Name]],Table7[Amount])</f>
        <v>0</v>
      </c>
      <c r="R51" s="9"/>
      <c r="S51" s="2"/>
      <c r="T51" s="16"/>
      <c r="U51" s="16">
        <f>SUMIF(Table7[Sub-Category],Table4[[#This Row],[Name]],Table7[Amount])</f>
        <v>0</v>
      </c>
      <c r="V51" s="11" t="str">
        <f>_xlfn.IFS(AND(Table4[[#This Row],[Actual]]=0,Table4[[#This Row],[Budget]]=0),"",AND(Table4[[#This Row],[Budget]]&gt;0,Table4[[#This Row],[Actual]]=0),"Not Paid",Table4[[#This Row],[Actual]]&gt;0,"Paid")</f>
        <v/>
      </c>
    </row>
    <row r="52" spans="2:22" s="10" customFormat="1" ht="12.75" x14ac:dyDescent="0.2">
      <c r="F52" s="9"/>
      <c r="G52" s="16"/>
      <c r="H52" s="16">
        <f>SUMIF(Table7[Sub-Category],Table22[[#This Row],[Name]],Table7[Amount])</f>
        <v>0</v>
      </c>
      <c r="J52" s="9"/>
      <c r="K52" s="16"/>
      <c r="L52" s="16">
        <f>SUMIF(Table7[Sub-Category],Table226[[#This Row],[Name]],Table7[Amount])</f>
        <v>0</v>
      </c>
      <c r="N52" s="9"/>
      <c r="O52" s="16"/>
      <c r="P52" s="16">
        <f>SUMIF(Table7[Sub-Category],Table2267[[#This Row],[Name]],Table7[Amount])</f>
        <v>0</v>
      </c>
      <c r="R52" s="9"/>
      <c r="S52" s="2"/>
      <c r="T52" s="16"/>
      <c r="U52" s="16">
        <f>SUMIF(Table7[Sub-Category],Table4[[#This Row],[Name]],Table7[Amount])</f>
        <v>0</v>
      </c>
      <c r="V52" s="11" t="str">
        <f>_xlfn.IFS(AND(Table4[[#This Row],[Actual]]=0,Table4[[#This Row],[Budget]]=0),"",AND(Table4[[#This Row],[Budget]]&gt;0,Table4[[#This Row],[Actual]]=0),"Not Paid",Table4[[#This Row],[Actual]]&gt;0,"Paid")</f>
        <v/>
      </c>
    </row>
    <row r="53" spans="2:22" s="10" customFormat="1" x14ac:dyDescent="0.2">
      <c r="B53" s="1" t="s">
        <v>0</v>
      </c>
      <c r="C53" s="1" t="s">
        <v>1</v>
      </c>
      <c r="D53" s="1" t="s">
        <v>2</v>
      </c>
      <c r="F53" s="9"/>
      <c r="G53" s="16"/>
      <c r="H53" s="16">
        <f>SUMIF(Table7[Sub-Category],Table22[[#This Row],[Name]],Table7[Amount])</f>
        <v>0</v>
      </c>
      <c r="J53" s="9"/>
      <c r="K53" s="16"/>
      <c r="L53" s="16">
        <f>SUMIF(Table7[Sub-Category],Table226[[#This Row],[Name]],Table7[Amount])</f>
        <v>0</v>
      </c>
      <c r="N53" s="9"/>
      <c r="O53" s="16"/>
      <c r="P53" s="16">
        <f>SUMIF(Table7[Sub-Category],Table2267[[#This Row],[Name]],Table7[Amount])</f>
        <v>0</v>
      </c>
      <c r="R53" s="9"/>
      <c r="S53" s="2"/>
      <c r="T53" s="16"/>
      <c r="U53" s="16">
        <f>SUMIF(Table7[Sub-Category],Table4[[#This Row],[Name]],Table7[Amount])</f>
        <v>0</v>
      </c>
      <c r="V53" s="11" t="str">
        <f>_xlfn.IFS(AND(Table4[[#This Row],[Actual]]=0,Table4[[#This Row],[Budget]]=0),"",AND(Table4[[#This Row],[Budget]]&gt;0,Table4[[#This Row],[Actual]]=0),"Not Paid",Table4[[#This Row],[Actual]]&gt;0,"Paid")</f>
        <v/>
      </c>
    </row>
    <row r="54" spans="2:22" s="10" customFormat="1" ht="12.75" x14ac:dyDescent="0.2">
      <c r="B54" s="9" t="s">
        <v>36</v>
      </c>
      <c r="C54" s="13">
        <f>C49/C46</f>
        <v>0.17307692307692307</v>
      </c>
      <c r="D54" s="13">
        <f>D49/D46</f>
        <v>4.7554170144065364E-2</v>
      </c>
      <c r="F54" s="9"/>
      <c r="G54" s="16"/>
      <c r="H54" s="16">
        <f>SUMIF(Table7[Sub-Category],Table22[[#This Row],[Name]],Table7[Amount])</f>
        <v>0</v>
      </c>
      <c r="J54" s="9"/>
      <c r="K54" s="16"/>
      <c r="L54" s="16">
        <f>SUMIF(Table7[Sub-Category],Table226[[#This Row],[Name]],Table7[Amount])</f>
        <v>0</v>
      </c>
      <c r="N54" s="9"/>
      <c r="O54" s="16"/>
      <c r="P54" s="16">
        <f>SUMIF(Table7[Sub-Category],Table2267[[#This Row],[Name]],Table7[Amount])</f>
        <v>0</v>
      </c>
      <c r="R54" s="9"/>
      <c r="S54" s="2"/>
      <c r="T54" s="16"/>
      <c r="U54" s="16">
        <f>SUMIF(Table7[Sub-Category],Table4[[#This Row],[Name]],Table7[Amount])</f>
        <v>0</v>
      </c>
      <c r="V54" s="11" t="str">
        <f>_xlfn.IFS(AND(Table4[[#This Row],[Actual]]=0,Table4[[#This Row],[Budget]]=0),"",AND(Table4[[#This Row],[Budget]]&gt;0,Table4[[#This Row],[Actual]]=0),"Not Paid",Table4[[#This Row],[Actual]]&gt;0,"Paid")</f>
        <v/>
      </c>
    </row>
    <row r="55" spans="2:22" s="10" customFormat="1" ht="12.75" x14ac:dyDescent="0.2">
      <c r="B55" s="9" t="str">
        <f>INDEX(Table226[Name],MATCH(LARGE(Table226[Budget],1),Table226[Budget],0))</f>
        <v>Housing</v>
      </c>
      <c r="C55" s="12">
        <f>LARGE(Table226[Budget],1)</f>
        <v>150</v>
      </c>
      <c r="D55" s="12">
        <f>LARGE(Table226[Actual],1)</f>
        <v>338.23</v>
      </c>
      <c r="F55" s="17" t="s">
        <v>8</v>
      </c>
      <c r="G55" s="18">
        <f>SUBTOTAL(109,Table22[Budget])</f>
        <v>5200</v>
      </c>
      <c r="H55" s="18">
        <f>SUBTOTAL(109,Table22[Actual])</f>
        <v>4205.7299999999996</v>
      </c>
      <c r="J55" s="17" t="s">
        <v>8</v>
      </c>
      <c r="K55" s="18">
        <f>SUBTOTAL(109,Table226[Budget])</f>
        <v>448</v>
      </c>
      <c r="L55" s="18">
        <f>SUBTOTAL(109,Table226[Actual])</f>
        <v>507.11</v>
      </c>
      <c r="N55" s="17" t="s">
        <v>8</v>
      </c>
      <c r="O55" s="18">
        <f>SUBTOTAL(109,Table2267[Budget])</f>
        <v>900</v>
      </c>
      <c r="P55" s="18">
        <f>SUBTOTAL(109,Table2267[Actual])</f>
        <v>200</v>
      </c>
      <c r="R55" s="17" t="s">
        <v>8</v>
      </c>
      <c r="S55" s="18"/>
      <c r="T55" s="18">
        <f>SUBTOTAL(109,Table4[Budget])</f>
        <v>1300</v>
      </c>
      <c r="U55" s="18">
        <f>SUBTOTAL(109,Table4[Actual])</f>
        <v>1087.6000000000001</v>
      </c>
      <c r="V55" s="17"/>
    </row>
    <row r="56" spans="2:22" x14ac:dyDescent="0.25">
      <c r="B56" s="9" t="str">
        <f>INDEX(Table226[Name],MATCH(LARGE(Table226[Budget],2),Table226[Budget],0))</f>
        <v>Personal Care</v>
      </c>
      <c r="C56" s="12">
        <f>LARGE(Table226[Budget],2)</f>
        <v>100</v>
      </c>
      <c r="D56" s="12">
        <f>LARGE(Table226[Actual],2)</f>
        <v>97.9</v>
      </c>
    </row>
    <row r="57" spans="2:22" x14ac:dyDescent="0.25">
      <c r="B57" s="9" t="str">
        <f>INDEX(Table226[Name],MATCH(LARGE(Table226[Budget],3),Table226[Budget],0))</f>
        <v>Food &amp; Groceries</v>
      </c>
      <c r="C57" s="12">
        <f>LARGE(Table226[Budget],3)</f>
        <v>80</v>
      </c>
      <c r="D57" s="12">
        <f>LARGE(Table226[Actual],3)</f>
        <v>70.97999999999999</v>
      </c>
    </row>
    <row r="60" spans="2:22" x14ac:dyDescent="0.25">
      <c r="B60" s="4" t="s">
        <v>24</v>
      </c>
      <c r="C60" s="1" t="s">
        <v>30</v>
      </c>
      <c r="D60" s="1" t="s">
        <v>33</v>
      </c>
      <c r="E60" s="1" t="s">
        <v>34</v>
      </c>
      <c r="F60" s="1" t="s">
        <v>31</v>
      </c>
      <c r="G60" s="1" t="s">
        <v>32</v>
      </c>
    </row>
    <row r="61" spans="2:22" x14ac:dyDescent="0.25">
      <c r="B61" s="5">
        <v>46144</v>
      </c>
      <c r="C61" s="7" t="s">
        <v>4</v>
      </c>
      <c r="D61" s="7" t="s">
        <v>10</v>
      </c>
      <c r="E61" s="2" t="str">
        <f>IF(Table7[[#This Row],[Amount]]=0,"","₹")</f>
        <v>₹</v>
      </c>
      <c r="F61" s="2">
        <v>210</v>
      </c>
      <c r="G61" s="2"/>
    </row>
    <row r="62" spans="2:22" x14ac:dyDescent="0.25">
      <c r="B62" s="5">
        <v>46145</v>
      </c>
      <c r="C62" s="7" t="s">
        <v>5</v>
      </c>
      <c r="D62" s="7" t="s">
        <v>14</v>
      </c>
      <c r="E62" s="2" t="str">
        <f>IF(Table7[[#This Row],[Amount]]=0,"","₹")</f>
        <v>₹</v>
      </c>
      <c r="F62" s="2">
        <v>50</v>
      </c>
      <c r="G62" s="2"/>
    </row>
    <row r="63" spans="2:22" x14ac:dyDescent="0.25">
      <c r="B63" s="5">
        <v>46146</v>
      </c>
      <c r="C63" s="7" t="s">
        <v>6</v>
      </c>
      <c r="D63" s="7" t="s">
        <v>27</v>
      </c>
      <c r="E63" s="2" t="str">
        <f>IF(Table7[[#This Row],[Amount]]=0,"","₹")</f>
        <v>₹</v>
      </c>
      <c r="F63" s="2">
        <v>32.700000000000003</v>
      </c>
      <c r="G63" s="2"/>
    </row>
    <row r="64" spans="2:22" x14ac:dyDescent="0.25">
      <c r="B64" s="5">
        <v>46147</v>
      </c>
      <c r="C64" s="7" t="s">
        <v>6</v>
      </c>
      <c r="D64" s="7" t="s">
        <v>26</v>
      </c>
      <c r="E64" s="2" t="str">
        <f>IF(Table7[[#This Row],[Amount]]=0,"","₹")</f>
        <v>₹</v>
      </c>
      <c r="F64" s="2">
        <v>30</v>
      </c>
      <c r="G64" s="2"/>
    </row>
    <row r="65" spans="2:7" x14ac:dyDescent="0.25">
      <c r="B65" s="5">
        <v>46148</v>
      </c>
      <c r="C65" s="7" t="s">
        <v>4</v>
      </c>
      <c r="D65" s="7" t="s">
        <v>9</v>
      </c>
      <c r="E65" s="2" t="str">
        <f>IF(Table7[[#This Row],[Amount]]=0,"","₹")</f>
        <v>₹</v>
      </c>
      <c r="F65" s="2">
        <v>1500</v>
      </c>
      <c r="G65" s="2"/>
    </row>
    <row r="66" spans="2:7" x14ac:dyDescent="0.25">
      <c r="B66" s="5">
        <v>46149</v>
      </c>
      <c r="C66" s="7" t="s">
        <v>4</v>
      </c>
      <c r="D66" s="7" t="s">
        <v>11</v>
      </c>
      <c r="E66" s="2" t="str">
        <f>IF(Table7[[#This Row],[Amount]]=0,"","₹")</f>
        <v>₹</v>
      </c>
      <c r="F66" s="2">
        <v>580</v>
      </c>
      <c r="G66" s="2"/>
    </row>
    <row r="67" spans="2:7" x14ac:dyDescent="0.25">
      <c r="B67" s="5">
        <v>46150</v>
      </c>
      <c r="C67" s="7" t="s">
        <v>5</v>
      </c>
      <c r="D67" s="7" t="s">
        <v>17</v>
      </c>
      <c r="E67" s="2" t="str">
        <f>IF(Table7[[#This Row],[Amount]]=0,"","₹")</f>
        <v>₹</v>
      </c>
      <c r="F67" s="2">
        <v>50.98</v>
      </c>
      <c r="G67" s="2"/>
    </row>
    <row r="68" spans="2:7" x14ac:dyDescent="0.25">
      <c r="B68" s="5">
        <v>46151</v>
      </c>
      <c r="C68" s="7" t="s">
        <v>6</v>
      </c>
      <c r="D68" s="7" t="s">
        <v>29</v>
      </c>
      <c r="E68" s="2" t="str">
        <f>IF(Table7[[#This Row],[Amount]]=0,"","₹")</f>
        <v>₹</v>
      </c>
      <c r="F68" s="2">
        <v>12.9</v>
      </c>
      <c r="G68" s="2"/>
    </row>
    <row r="69" spans="2:7" x14ac:dyDescent="0.25">
      <c r="B69" s="5">
        <v>46152</v>
      </c>
      <c r="C69" s="7" t="s">
        <v>4</v>
      </c>
      <c r="D69" s="7" t="s">
        <v>9</v>
      </c>
      <c r="E69" s="2" t="str">
        <f>IF(Table7[[#This Row],[Amount]]=0,"","₹")</f>
        <v>₹</v>
      </c>
      <c r="F69" s="2">
        <v>460</v>
      </c>
      <c r="G69" s="2"/>
    </row>
    <row r="70" spans="2:7" x14ac:dyDescent="0.25">
      <c r="B70" s="5">
        <v>46153</v>
      </c>
      <c r="C70" s="7" t="s">
        <v>4</v>
      </c>
      <c r="D70" s="7" t="s">
        <v>12</v>
      </c>
      <c r="E70" s="2" t="str">
        <f>IF(Table7[[#This Row],[Amount]]=0,"","₹")</f>
        <v>₹</v>
      </c>
      <c r="F70" s="2">
        <v>210</v>
      </c>
      <c r="G70" s="2"/>
    </row>
    <row r="71" spans="2:7" x14ac:dyDescent="0.25">
      <c r="B71" s="5">
        <v>46154</v>
      </c>
      <c r="C71" s="7" t="s">
        <v>5</v>
      </c>
      <c r="D71" s="7" t="s">
        <v>17</v>
      </c>
      <c r="E71" s="2" t="str">
        <f>IF(Table7[[#This Row],[Amount]]=0,"","₹")</f>
        <v>₹</v>
      </c>
      <c r="F71" s="2">
        <v>20</v>
      </c>
      <c r="G71" s="2"/>
    </row>
    <row r="72" spans="2:7" x14ac:dyDescent="0.25">
      <c r="B72" s="5">
        <v>46155</v>
      </c>
      <c r="C72" s="7" t="s">
        <v>6</v>
      </c>
      <c r="D72" s="7" t="s">
        <v>28</v>
      </c>
      <c r="E72" s="2" t="str">
        <f>IF(Table7[[#This Row],[Amount]]=0,"","₹")</f>
        <v>₹</v>
      </c>
      <c r="F72" s="2">
        <v>300</v>
      </c>
      <c r="G72" s="2"/>
    </row>
    <row r="73" spans="2:7" x14ac:dyDescent="0.25">
      <c r="B73" s="5">
        <v>46156</v>
      </c>
      <c r="C73" s="7" t="s">
        <v>5</v>
      </c>
      <c r="D73" s="7" t="s">
        <v>16</v>
      </c>
      <c r="E73" s="2" t="str">
        <f>IF(Table7[[#This Row],[Amount]]=0,"","₹")</f>
        <v>₹</v>
      </c>
      <c r="F73" s="2">
        <v>38.229999999999997</v>
      </c>
      <c r="G73" s="2"/>
    </row>
    <row r="74" spans="2:7" x14ac:dyDescent="0.25">
      <c r="B74" s="5">
        <v>46157</v>
      </c>
      <c r="C74" s="7" t="s">
        <v>4</v>
      </c>
      <c r="D74" s="7" t="s">
        <v>12</v>
      </c>
      <c r="E74" s="2" t="str">
        <f>IF(Table7[[#This Row],[Amount]]=0,"","₹")</f>
        <v>₹</v>
      </c>
      <c r="F74" s="2">
        <v>13.73</v>
      </c>
      <c r="G74" s="2"/>
    </row>
    <row r="75" spans="2:7" x14ac:dyDescent="0.25">
      <c r="B75" s="5">
        <v>46158</v>
      </c>
      <c r="C75" s="7" t="s">
        <v>5</v>
      </c>
      <c r="D75" s="7" t="s">
        <v>14</v>
      </c>
      <c r="E75" s="2" t="str">
        <f>IF(Table7[[#This Row],[Amount]]=0,"","₹")</f>
        <v>₹</v>
      </c>
      <c r="F75" s="2">
        <v>47.9</v>
      </c>
      <c r="G75" s="2"/>
    </row>
    <row r="76" spans="2:7" x14ac:dyDescent="0.25">
      <c r="B76" s="5">
        <v>46159</v>
      </c>
      <c r="C76" s="7" t="s">
        <v>6</v>
      </c>
      <c r="D76" s="7" t="s">
        <v>11</v>
      </c>
      <c r="E76" s="2" t="str">
        <f>IF(Table7[[#This Row],[Amount]]=0,"","₹")</f>
        <v>₹</v>
      </c>
      <c r="F76" s="2">
        <v>32</v>
      </c>
      <c r="G76" s="2"/>
    </row>
    <row r="77" spans="2:7" x14ac:dyDescent="0.25">
      <c r="B77" s="5">
        <v>46160</v>
      </c>
      <c r="C77" s="7" t="s">
        <v>5</v>
      </c>
      <c r="D77" s="7" t="s">
        <v>16</v>
      </c>
      <c r="E77" s="2" t="str">
        <f>IF(Table7[[#This Row],[Amount]]=0,"","₹")</f>
        <v>₹</v>
      </c>
      <c r="F77" s="2">
        <v>300</v>
      </c>
      <c r="G77" s="2"/>
    </row>
    <row r="78" spans="2:7" x14ac:dyDescent="0.25">
      <c r="B78" s="5">
        <v>46161</v>
      </c>
      <c r="C78" s="7" t="s">
        <v>7</v>
      </c>
      <c r="D78" s="7" t="s">
        <v>20</v>
      </c>
      <c r="E78" s="2" t="str">
        <f>IF(Table7[[#This Row],[Amount]]=0,"","₹")</f>
        <v>₹</v>
      </c>
      <c r="F78" s="2">
        <v>100</v>
      </c>
      <c r="G78" s="2"/>
    </row>
    <row r="79" spans="2:7" x14ac:dyDescent="0.25">
      <c r="B79" s="5">
        <v>46162</v>
      </c>
      <c r="C79" s="7" t="s">
        <v>7</v>
      </c>
      <c r="D79" s="7" t="s">
        <v>21</v>
      </c>
      <c r="E79" s="2" t="str">
        <f>IF(Table7[[#This Row],[Amount]]=0,"","₹")</f>
        <v>₹</v>
      </c>
      <c r="F79" s="2">
        <v>100</v>
      </c>
      <c r="G79" s="2"/>
    </row>
    <row r="80" spans="2:7" x14ac:dyDescent="0.25">
      <c r="B80" s="5">
        <v>46163</v>
      </c>
      <c r="C80" s="7" t="s">
        <v>6</v>
      </c>
      <c r="D80" s="7" t="s">
        <v>29</v>
      </c>
      <c r="E80" s="2" t="str">
        <f>IF(Table7[[#This Row],[Amount]]=0,"","₹")</f>
        <v>₹</v>
      </c>
      <c r="F80" s="2">
        <v>100</v>
      </c>
      <c r="G80" s="2"/>
    </row>
    <row r="81" spans="2:7" x14ac:dyDescent="0.25">
      <c r="B81" s="5"/>
      <c r="C81" s="7"/>
      <c r="D81" s="7"/>
      <c r="E81" s="2" t="str">
        <f>IF(Table7[[#This Row],[Amount]]=0,"","₹")</f>
        <v/>
      </c>
      <c r="F81" s="2"/>
      <c r="G81" s="2"/>
    </row>
    <row r="82" spans="2:7" x14ac:dyDescent="0.25">
      <c r="B82" s="5"/>
      <c r="C82" s="7"/>
      <c r="D82" s="7"/>
      <c r="E82" s="2" t="str">
        <f>IF(Table7[[#This Row],[Amount]]=0,"","₹")</f>
        <v/>
      </c>
      <c r="F82" s="2"/>
      <c r="G82" s="2"/>
    </row>
    <row r="83" spans="2:7" x14ac:dyDescent="0.25">
      <c r="B83" s="5"/>
      <c r="C83" s="7"/>
      <c r="D83" s="7"/>
      <c r="E83" s="2" t="str">
        <f>IF(Table7[[#This Row],[Amount]]=0,"","₹")</f>
        <v/>
      </c>
      <c r="F83" s="2"/>
      <c r="G83" s="2"/>
    </row>
    <row r="84" spans="2:7" x14ac:dyDescent="0.25">
      <c r="B84" s="5"/>
      <c r="C84" s="7"/>
      <c r="D84" s="7"/>
      <c r="E84" s="2" t="str">
        <f>IF(Table7[[#This Row],[Amount]]=0,"","₹")</f>
        <v/>
      </c>
      <c r="F84" s="2"/>
      <c r="G84" s="2"/>
    </row>
    <row r="85" spans="2:7" x14ac:dyDescent="0.25">
      <c r="B85" s="5"/>
      <c r="C85" s="7"/>
      <c r="D85" s="7"/>
      <c r="E85" s="2" t="str">
        <f>IF(Table7[[#This Row],[Amount]]=0,"","₹")</f>
        <v/>
      </c>
      <c r="F85" s="2"/>
      <c r="G85" s="2"/>
    </row>
    <row r="86" spans="2:7" x14ac:dyDescent="0.25">
      <c r="B86" s="5"/>
      <c r="C86" s="7"/>
      <c r="D86" s="7"/>
      <c r="E86" s="2" t="str">
        <f>IF(Table7[[#This Row],[Amount]]=0,"","₹")</f>
        <v/>
      </c>
      <c r="F86" s="2"/>
      <c r="G86" s="2"/>
    </row>
    <row r="87" spans="2:7" x14ac:dyDescent="0.25">
      <c r="B87" s="5"/>
      <c r="C87" s="7"/>
      <c r="D87" s="7"/>
      <c r="E87" s="2" t="str">
        <f>IF(Table7[[#This Row],[Amount]]=0,"","₹")</f>
        <v/>
      </c>
      <c r="F87" s="2"/>
      <c r="G87" s="2"/>
    </row>
    <row r="88" spans="2:7" x14ac:dyDescent="0.25">
      <c r="B88" s="5"/>
      <c r="C88" s="7"/>
      <c r="D88" s="7"/>
      <c r="E88" s="2" t="str">
        <f>IF(Table7[[#This Row],[Amount]]=0,"","₹")</f>
        <v/>
      </c>
      <c r="F88" s="2"/>
      <c r="G88" s="2"/>
    </row>
    <row r="89" spans="2:7" x14ac:dyDescent="0.25">
      <c r="B89" s="5"/>
      <c r="C89" s="7"/>
      <c r="D89" s="7"/>
      <c r="E89" s="2" t="str">
        <f>IF(Table7[[#This Row],[Amount]]=0,"","₹")</f>
        <v/>
      </c>
      <c r="F89" s="2"/>
      <c r="G89" s="2"/>
    </row>
    <row r="90" spans="2:7" x14ac:dyDescent="0.25">
      <c r="B90" s="5"/>
      <c r="C90" s="7"/>
      <c r="D90" s="7"/>
      <c r="E90" s="2" t="str">
        <f>IF(Table7[[#This Row],[Amount]]=0,"","₹")</f>
        <v/>
      </c>
      <c r="F90" s="2"/>
      <c r="G90" s="2"/>
    </row>
    <row r="91" spans="2:7" x14ac:dyDescent="0.25">
      <c r="B91" s="5"/>
      <c r="C91" s="7"/>
      <c r="D91" s="7"/>
      <c r="E91" s="2" t="str">
        <f>IF(Table7[[#This Row],[Amount]]=0,"","₹")</f>
        <v/>
      </c>
      <c r="F91" s="2"/>
      <c r="G91" s="2"/>
    </row>
    <row r="92" spans="2:7" x14ac:dyDescent="0.25">
      <c r="B92" s="5"/>
      <c r="C92" s="7"/>
      <c r="D92" s="7"/>
      <c r="E92" s="2" t="str">
        <f>IF(Table7[[#This Row],[Amount]]=0,"","₹")</f>
        <v/>
      </c>
      <c r="F92" s="2"/>
      <c r="G92" s="2"/>
    </row>
    <row r="93" spans="2:7" x14ac:dyDescent="0.25">
      <c r="B93" s="5"/>
      <c r="C93" s="7"/>
      <c r="D93" s="7"/>
      <c r="E93" s="2" t="str">
        <f>IF(Table7[[#This Row],[Amount]]=0,"","₹")</f>
        <v/>
      </c>
      <c r="F93" s="2"/>
      <c r="G93" s="2"/>
    </row>
    <row r="94" spans="2:7" x14ac:dyDescent="0.25">
      <c r="B94" s="5"/>
      <c r="C94" s="7"/>
      <c r="D94" s="7"/>
      <c r="E94" s="2" t="str">
        <f>IF(Table7[[#This Row],[Amount]]=0,"","₹")</f>
        <v/>
      </c>
      <c r="F94" s="2"/>
      <c r="G94" s="2"/>
    </row>
    <row r="95" spans="2:7" x14ac:dyDescent="0.25">
      <c r="B95" s="6"/>
      <c r="C95" s="8"/>
      <c r="D95" s="8"/>
      <c r="E95" s="3" t="str">
        <f>IF(Table7[[#This Row],[Amount]]=0,"","₹")</f>
        <v/>
      </c>
      <c r="F95" s="3"/>
      <c r="G95" s="3"/>
    </row>
  </sheetData>
  <conditionalFormatting sqref="C61:C95">
    <cfRule type="expression" dxfId="4" priority="1">
      <formula>C61=$B$49</formula>
    </cfRule>
    <cfRule type="expression" dxfId="3" priority="2">
      <formula>C61=$C$49</formula>
    </cfRule>
    <cfRule type="expression" dxfId="2" priority="3">
      <formula>C61=$B$48</formula>
    </cfRule>
    <cfRule type="expression" dxfId="1" priority="4">
      <formula>C61=$B$47</formula>
    </cfRule>
    <cfRule type="expression" dxfId="0" priority="5">
      <formula>C61=$B$46</formula>
    </cfRule>
  </conditionalFormatting>
  <dataValidations count="2">
    <dataValidation type="list" allowBlank="1" showInputMessage="1" showErrorMessage="1" sqref="C61:C94" xr:uid="{3F9D3F36-DE9D-4C22-813F-6ECDEEF39449}">
      <formula1>$B$45:$B$49</formula1>
    </dataValidation>
    <dataValidation type="list" allowBlank="1" showInputMessage="1" showErrorMessage="1" sqref="D61:D94" xr:uid="{5CE86859-0227-4EDA-A8DB-EF523CDC327E}">
      <formula1>_xlfn.IFS(C61=$B$46,$F$45:$F$54,C61=$B$47,$J$45:$J$54,C61=$B$48,$R$45:$R$54,C61=$B$49,$N$45:$N$54)</formula1>
    </dataValidation>
  </dataValidations>
  <pageMargins left="0.7" right="0.7" top="0.75" bottom="0.75" header="0.3" footer="0.3"/>
  <pageSetup paperSize="9" orientation="portrait" r:id="rId1"/>
  <drawing r:id="rId2"/>
  <tableParts count="6"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PLANNER 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Rastogi</dc:creator>
  <cp:lastModifiedBy>Shivam Rastogi</cp:lastModifiedBy>
  <dcterms:created xsi:type="dcterms:W3CDTF">2025-09-06T15:56:51Z</dcterms:created>
  <dcterms:modified xsi:type="dcterms:W3CDTF">2026-05-07T05:39:12Z</dcterms:modified>
</cp:coreProperties>
</file>