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jjwa\OneDrive\Desktop\SHIVAM\NEW DATA\"/>
    </mc:Choice>
  </mc:AlternateContent>
  <xr:revisionPtr revIDLastSave="0" documentId="13_ncr:1_{5528DAA7-374B-4767-A3DF-4B512C763B29}" xr6:coauthVersionLast="47" xr6:coauthVersionMax="47" xr10:uidLastSave="{00000000-0000-0000-0000-000000000000}"/>
  <bookViews>
    <workbookView xWindow="-120" yWindow="-120" windowWidth="20730" windowHeight="11040" firstSheet="9" activeTab="16" xr2:uid="{F8031287-032A-4AC5-86E8-C4A3CA0ADF83}"/>
  </bookViews>
  <sheets>
    <sheet name="Data Cleaning" sheetId="1" r:id="rId1"/>
    <sheet name="Data Validation" sheetId="2" r:id="rId2"/>
    <sheet name="Dependent dropdown" sheetId="6" r:id="rId3"/>
    <sheet name="Custom Data Validation" sheetId="7" r:id="rId4"/>
    <sheet name="Matrices" sheetId="8" r:id="rId5"/>
    <sheet name="Simultaneous Equation" sheetId="9" r:id="rId6"/>
    <sheet name="Filters" sheetId="11" r:id="rId7"/>
    <sheet name="Q1" sheetId="12" r:id="rId8"/>
    <sheet name="Q2" sheetId="13" r:id="rId9"/>
    <sheet name="Q3" sheetId="14" r:id="rId10"/>
    <sheet name="Q4" sheetId="15" r:id="rId11"/>
    <sheet name="CATEGORIZATION" sheetId="16" r:id="rId12"/>
    <sheet name="Pivot Analyze" sheetId="17" r:id="rId13"/>
    <sheet name="A" sheetId="19" r:id="rId14"/>
    <sheet name="B" sheetId="21" r:id="rId15"/>
    <sheet name="C" sheetId="22" r:id="rId16"/>
    <sheet name="CONDITIONAL FORMATTING" sheetId="23" r:id="rId17"/>
    <sheet name="Sheet1" sheetId="10" state="hidden" r:id="rId18"/>
  </sheets>
  <definedNames>
    <definedName name="BOYS">#REF!</definedName>
    <definedName name="Canada">'Dependent dropdown'!$E$4:$E$6</definedName>
    <definedName name="China">'Dependent dropdown'!$D$4:$D$6</definedName>
    <definedName name="GIRLS">#REF!</definedName>
    <definedName name="India">'Dependent dropdown'!$B$4:$B$8</definedName>
    <definedName name="Malaysia">'Dependent dropdown'!$C$4:$C$6</definedName>
    <definedName name="Matrix_A">Matrices!$B$4:$D$5</definedName>
    <definedName name="Matrix_F">Matrices!$I$36:$K$37</definedName>
    <definedName name="Matrix_H">Matrices!$O$21:$O$23</definedName>
    <definedName name="Matrix_P">Matrices!$O$17:$Q$18</definedName>
    <definedName name="Matrix_Q">Matrices!$O$21:$Q$23</definedName>
    <definedName name="Matrix_S">Matrices!$M$36:$M$38</definedName>
    <definedName name="Matrix_X">Matrices!$B$18:$D$19</definedName>
    <definedName name="Matrix_Y">Matrices!$B$22:$D$23</definedName>
    <definedName name="Slicer_City">#N/A</definedName>
    <definedName name="Slicer_City1">#N/A</definedName>
    <definedName name="Slicer_City2">#N/A</definedName>
    <definedName name="Slicer_Customer_type">#N/A</definedName>
    <definedName name="Slicer_Customer_type1">#N/A</definedName>
    <definedName name="Slicer_Customer_type2">#N/A</definedName>
    <definedName name="Slicer_Date">#N/A</definedName>
    <definedName name="Slicer_Gender">#N/A</definedName>
    <definedName name="Slicer_Gender1">#N/A</definedName>
    <definedName name="Slicer_Rating">#N/A</definedName>
    <definedName name="Slicer_Rating1">#N/A</definedName>
    <definedName name="Slicer_Rating2">#N/A</definedName>
  </definedNames>
  <calcPr calcId="191029"/>
  <pivotCaches>
    <pivotCache cacheId="0" r:id="rId19"/>
    <pivotCache cacheId="1" r:id="rId20"/>
    <pivotCache cacheId="2"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16" l="1"/>
  <c r="I5" i="16"/>
  <c r="I6" i="16"/>
  <c r="I7"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314"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344" i="16"/>
  <c r="I345" i="16"/>
  <c r="I346" i="16"/>
  <c r="I347" i="16"/>
  <c r="I348" i="16"/>
  <c r="I349" i="16"/>
  <c r="I350" i="16"/>
  <c r="I351" i="16"/>
  <c r="I352" i="16"/>
  <c r="I353"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I385" i="16"/>
  <c r="I386" i="16"/>
  <c r="I387" i="16"/>
  <c r="I388" i="16"/>
  <c r="I389" i="16"/>
  <c r="I390" i="16"/>
  <c r="I391" i="16"/>
  <c r="I392" i="16"/>
  <c r="I393" i="16"/>
  <c r="I394" i="16"/>
  <c r="I395" i="16"/>
  <c r="I396" i="16"/>
  <c r="I397" i="16"/>
  <c r="I398" i="16"/>
  <c r="I399" i="16"/>
  <c r="I400" i="16"/>
  <c r="I401" i="16"/>
  <c r="I402" i="16"/>
  <c r="I403" i="16"/>
  <c r="I404" i="16"/>
  <c r="I405" i="16"/>
  <c r="I406" i="16"/>
  <c r="I407" i="16"/>
  <c r="I408" i="16"/>
  <c r="I409" i="16"/>
  <c r="I410" i="16"/>
  <c r="I411" i="16"/>
  <c r="I412" i="16"/>
  <c r="I413" i="16"/>
  <c r="I414" i="16"/>
  <c r="I415" i="16"/>
  <c r="I416" i="16"/>
  <c r="I417" i="16"/>
  <c r="I418" i="16"/>
  <c r="I419" i="16"/>
  <c r="I420" i="16"/>
  <c r="I421" i="16"/>
  <c r="I422" i="16"/>
  <c r="I423" i="16"/>
  <c r="I424" i="16"/>
  <c r="I425" i="16"/>
  <c r="I426" i="16"/>
  <c r="I427" i="16"/>
  <c r="I428" i="16"/>
  <c r="I429" i="16"/>
  <c r="I430" i="16"/>
  <c r="I431" i="16"/>
  <c r="I432" i="16"/>
  <c r="I433" i="16"/>
  <c r="I434" i="16"/>
  <c r="I435" i="16"/>
  <c r="I436" i="16"/>
  <c r="I437" i="16"/>
  <c r="I438" i="16"/>
  <c r="I439" i="16"/>
  <c r="I440" i="16"/>
  <c r="I441" i="16"/>
  <c r="I442" i="16"/>
  <c r="I443" i="16"/>
  <c r="I444" i="16"/>
  <c r="I445" i="16"/>
  <c r="I446" i="16"/>
  <c r="I447" i="16"/>
  <c r="I448" i="16"/>
  <c r="I449" i="16"/>
  <c r="I450" i="16"/>
  <c r="I451" i="16"/>
  <c r="I452" i="16"/>
  <c r="I453" i="16"/>
  <c r="I454" i="16"/>
  <c r="I455" i="16"/>
  <c r="I456" i="16"/>
  <c r="I457" i="16"/>
  <c r="I458" i="16"/>
  <c r="I459" i="16"/>
  <c r="I460" i="16"/>
  <c r="I461" i="16"/>
  <c r="I462" i="16"/>
  <c r="I463" i="16"/>
  <c r="I464" i="16"/>
  <c r="I465" i="16"/>
  <c r="I466" i="16"/>
  <c r="I467" i="16"/>
  <c r="I468" i="16"/>
  <c r="I469" i="16"/>
  <c r="I470" i="16"/>
  <c r="I471" i="16"/>
  <c r="I472" i="16"/>
  <c r="I473" i="16"/>
  <c r="I474" i="16"/>
  <c r="I475" i="16"/>
  <c r="I476" i="16"/>
  <c r="I477" i="16"/>
  <c r="I478" i="16"/>
  <c r="I479" i="16"/>
  <c r="I480" i="16"/>
  <c r="I481" i="16"/>
  <c r="I482" i="16"/>
  <c r="I483" i="16"/>
  <c r="I484" i="16"/>
  <c r="I485" i="16"/>
  <c r="I486" i="16"/>
  <c r="I487" i="16"/>
  <c r="I488" i="16"/>
  <c r="I489" i="16"/>
  <c r="I490" i="16"/>
  <c r="I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518" i="16"/>
  <c r="I519" i="16"/>
  <c r="I520" i="16"/>
  <c r="I521" i="16"/>
  <c r="I522" i="16"/>
  <c r="I523" i="16"/>
  <c r="I524" i="16"/>
  <c r="I525" i="16"/>
  <c r="I526" i="16"/>
  <c r="I527" i="16"/>
  <c r="I528" i="16"/>
  <c r="I529" i="16"/>
  <c r="I530" i="16"/>
  <c r="I531" i="16"/>
  <c r="I532" i="16"/>
  <c r="I533" i="16"/>
  <c r="I534" i="16"/>
  <c r="I535" i="16"/>
  <c r="I536" i="16"/>
  <c r="I537" i="16"/>
  <c r="I538" i="16"/>
  <c r="I539" i="16"/>
  <c r="I540" i="16"/>
  <c r="I541" i="16"/>
  <c r="I542" i="16"/>
  <c r="I543" i="16"/>
  <c r="I544" i="16"/>
  <c r="I545" i="16"/>
  <c r="I546" i="16"/>
  <c r="I547" i="16"/>
  <c r="I548" i="16"/>
  <c r="I549" i="16"/>
  <c r="I550" i="16"/>
  <c r="I551" i="16"/>
  <c r="I552" i="16"/>
  <c r="I553" i="16"/>
  <c r="I554" i="16"/>
  <c r="I555" i="16"/>
  <c r="I556" i="16"/>
  <c r="I557" i="16"/>
  <c r="I558" i="16"/>
  <c r="I559" i="16"/>
  <c r="I560" i="16"/>
  <c r="I561" i="16"/>
  <c r="I562" i="16"/>
  <c r="I563" i="16"/>
  <c r="I564" i="16"/>
  <c r="I565" i="16"/>
  <c r="I566" i="16"/>
  <c r="I567" i="16"/>
  <c r="I568" i="16"/>
  <c r="I569" i="16"/>
  <c r="I570" i="16"/>
  <c r="I571" i="16"/>
  <c r="I572" i="16"/>
  <c r="I573" i="16"/>
  <c r="I574" i="16"/>
  <c r="I575" i="16"/>
  <c r="I576" i="16"/>
  <c r="I577" i="16"/>
  <c r="I578" i="16"/>
  <c r="I579" i="16"/>
  <c r="I580" i="16"/>
  <c r="I581" i="16"/>
  <c r="I582" i="16"/>
  <c r="I583" i="16"/>
  <c r="I584" i="16"/>
  <c r="I585" i="16"/>
  <c r="I586" i="16"/>
  <c r="I587" i="16"/>
  <c r="I588" i="16"/>
  <c r="I589" i="16"/>
  <c r="I590" i="16"/>
  <c r="I591" i="16"/>
  <c r="I592" i="16"/>
  <c r="I593" i="16"/>
  <c r="I594" i="16"/>
  <c r="I595" i="16"/>
  <c r="I596" i="16"/>
  <c r="I597" i="16"/>
  <c r="I598" i="16"/>
  <c r="I599" i="16"/>
  <c r="I600" i="16"/>
  <c r="I601" i="16"/>
  <c r="I602" i="16"/>
  <c r="I603" i="16"/>
  <c r="I604" i="16"/>
  <c r="I605" i="16"/>
  <c r="I606" i="16"/>
  <c r="I607" i="16"/>
  <c r="I608" i="16"/>
  <c r="I609" i="16"/>
  <c r="I610" i="16"/>
  <c r="I611" i="16"/>
  <c r="I612" i="16"/>
  <c r="I613" i="16"/>
  <c r="I614" i="16"/>
  <c r="I615" i="16"/>
  <c r="I616" i="16"/>
  <c r="I617" i="16"/>
  <c r="I618" i="16"/>
  <c r="I619" i="16"/>
  <c r="I620" i="16"/>
  <c r="I621" i="16"/>
  <c r="I622" i="16"/>
  <c r="I623" i="16"/>
  <c r="I624" i="16"/>
  <c r="I625" i="16"/>
  <c r="I626" i="16"/>
  <c r="I627" i="16"/>
  <c r="I628" i="16"/>
  <c r="I629" i="16"/>
  <c r="I630" i="16"/>
  <c r="I631" i="16"/>
  <c r="I632" i="16"/>
  <c r="I633" i="16"/>
  <c r="I634" i="16"/>
  <c r="I635" i="16"/>
  <c r="I636" i="16"/>
  <c r="I637" i="16"/>
  <c r="I638" i="16"/>
  <c r="I639" i="16"/>
  <c r="I640" i="16"/>
  <c r="I641" i="16"/>
  <c r="I642" i="16"/>
  <c r="I643" i="16"/>
  <c r="I644" i="16"/>
  <c r="I645" i="16"/>
  <c r="I646" i="16"/>
  <c r="I647" i="16"/>
  <c r="I648" i="16"/>
  <c r="I649" i="16"/>
  <c r="I650" i="16"/>
  <c r="I651" i="16"/>
  <c r="I652" i="16"/>
  <c r="I653" i="16"/>
  <c r="I654" i="16"/>
  <c r="I655" i="16"/>
  <c r="I656" i="16"/>
  <c r="I657" i="16"/>
  <c r="I658" i="16"/>
  <c r="I659" i="16"/>
  <c r="I660" i="16"/>
  <c r="I661" i="16"/>
  <c r="I662" i="16"/>
  <c r="I663" i="16"/>
  <c r="I664" i="16"/>
  <c r="I665" i="16"/>
  <c r="O665" i="16"/>
  <c r="O664" i="16"/>
  <c r="O663" i="16"/>
  <c r="O662" i="16"/>
  <c r="O661" i="16"/>
  <c r="O660" i="16"/>
  <c r="O659" i="16"/>
  <c r="O658" i="16"/>
  <c r="O657" i="16"/>
  <c r="O656" i="16"/>
  <c r="O655" i="16"/>
  <c r="O654" i="16"/>
  <c r="O653" i="16"/>
  <c r="O652" i="16"/>
  <c r="O651" i="16"/>
  <c r="O650" i="16"/>
  <c r="O649" i="16"/>
  <c r="O648" i="16"/>
  <c r="O647" i="16"/>
  <c r="O646" i="16"/>
  <c r="O645" i="16"/>
  <c r="O644" i="16"/>
  <c r="O643" i="16"/>
  <c r="O642" i="16"/>
  <c r="O641" i="16"/>
  <c r="O640" i="16"/>
  <c r="O639" i="16"/>
  <c r="O638" i="16"/>
  <c r="O637" i="16"/>
  <c r="O636" i="16"/>
  <c r="O635" i="16"/>
  <c r="O634" i="16"/>
  <c r="O633" i="16"/>
  <c r="O632" i="16"/>
  <c r="O631" i="16"/>
  <c r="O630" i="16"/>
  <c r="O629" i="16"/>
  <c r="O628" i="16"/>
  <c r="O627" i="16"/>
  <c r="O626" i="16"/>
  <c r="O625" i="16"/>
  <c r="O624" i="16"/>
  <c r="O623" i="16"/>
  <c r="O622" i="16"/>
  <c r="O621" i="16"/>
  <c r="O620" i="16"/>
  <c r="O619" i="16"/>
  <c r="O618" i="16"/>
  <c r="O617" i="16"/>
  <c r="O616" i="16"/>
  <c r="O615" i="16"/>
  <c r="O614" i="16"/>
  <c r="O613" i="16"/>
  <c r="O612" i="16"/>
  <c r="O611" i="16"/>
  <c r="O610" i="16"/>
  <c r="O609" i="16"/>
  <c r="O608" i="16"/>
  <c r="O607" i="16"/>
  <c r="O606" i="16"/>
  <c r="O605" i="16"/>
  <c r="O604" i="16"/>
  <c r="O603" i="16"/>
  <c r="O602" i="16"/>
  <c r="O601" i="16"/>
  <c r="O600" i="16"/>
  <c r="O599" i="16"/>
  <c r="O598" i="16"/>
  <c r="O597" i="16"/>
  <c r="O596" i="16"/>
  <c r="O595" i="16"/>
  <c r="O594" i="16"/>
  <c r="O593" i="16"/>
  <c r="O592" i="16"/>
  <c r="O591" i="16"/>
  <c r="O590" i="16"/>
  <c r="O589" i="16"/>
  <c r="O588" i="16"/>
  <c r="O587" i="16"/>
  <c r="O586" i="16"/>
  <c r="O585" i="16"/>
  <c r="O584" i="16"/>
  <c r="O583" i="16"/>
  <c r="O582" i="16"/>
  <c r="O581" i="16"/>
  <c r="O580" i="16"/>
  <c r="O579" i="16"/>
  <c r="O578" i="16"/>
  <c r="O577" i="16"/>
  <c r="O576" i="16"/>
  <c r="O575" i="16"/>
  <c r="O574" i="16"/>
  <c r="O573" i="16"/>
  <c r="O572" i="16"/>
  <c r="O571" i="16"/>
  <c r="O570" i="16"/>
  <c r="O569" i="16"/>
  <c r="O568" i="16"/>
  <c r="O567" i="16"/>
  <c r="O566" i="16"/>
  <c r="O565" i="16"/>
  <c r="O564" i="16"/>
  <c r="O563" i="16"/>
  <c r="O562" i="16"/>
  <c r="O561" i="16"/>
  <c r="O560" i="16"/>
  <c r="O559" i="16"/>
  <c r="O558" i="16"/>
  <c r="O557" i="16"/>
  <c r="O556" i="16"/>
  <c r="O555" i="16"/>
  <c r="O554" i="16"/>
  <c r="O553" i="16"/>
  <c r="O552" i="16"/>
  <c r="O551" i="16"/>
  <c r="O550" i="16"/>
  <c r="O549" i="16"/>
  <c r="O548" i="16"/>
  <c r="O547" i="16"/>
  <c r="O546" i="16"/>
  <c r="O545" i="16"/>
  <c r="O544" i="16"/>
  <c r="O543" i="16"/>
  <c r="O542" i="16"/>
  <c r="O541" i="16"/>
  <c r="O540" i="16"/>
  <c r="O539" i="16"/>
  <c r="O538" i="16"/>
  <c r="O537" i="16"/>
  <c r="O536" i="16"/>
  <c r="O535" i="16"/>
  <c r="O534" i="16"/>
  <c r="O533" i="16"/>
  <c r="O532" i="16"/>
  <c r="O531" i="16"/>
  <c r="O530" i="16"/>
  <c r="O529" i="16"/>
  <c r="O528" i="16"/>
  <c r="O527" i="16"/>
  <c r="O526" i="16"/>
  <c r="O525" i="16"/>
  <c r="O524" i="16"/>
  <c r="O523" i="16"/>
  <c r="O522" i="16"/>
  <c r="O521" i="16"/>
  <c r="O520" i="16"/>
  <c r="O519" i="16"/>
  <c r="O518" i="16"/>
  <c r="O517" i="16"/>
  <c r="O516" i="16"/>
  <c r="O515" i="16"/>
  <c r="O514" i="16"/>
  <c r="O513" i="16"/>
  <c r="O512" i="16"/>
  <c r="O511" i="16"/>
  <c r="O510" i="16"/>
  <c r="O509" i="16"/>
  <c r="O508" i="16"/>
  <c r="O507" i="16"/>
  <c r="O506" i="16"/>
  <c r="O505" i="16"/>
  <c r="O504" i="16"/>
  <c r="O503" i="16"/>
  <c r="O502" i="16"/>
  <c r="O501" i="16"/>
  <c r="O500" i="16"/>
  <c r="O499" i="16"/>
  <c r="O498" i="16"/>
  <c r="O497" i="16"/>
  <c r="O496" i="16"/>
  <c r="O495" i="16"/>
  <c r="O494" i="16"/>
  <c r="O493" i="16"/>
  <c r="O492" i="16"/>
  <c r="O491" i="16"/>
  <c r="O490" i="16"/>
  <c r="O489" i="16"/>
  <c r="O488" i="16"/>
  <c r="O487" i="16"/>
  <c r="O486" i="16"/>
  <c r="O485" i="16"/>
  <c r="O484" i="16"/>
  <c r="O483" i="16"/>
  <c r="O482" i="16"/>
  <c r="O481" i="16"/>
  <c r="O480" i="16"/>
  <c r="O479" i="16"/>
  <c r="O478" i="16"/>
  <c r="O477" i="16"/>
  <c r="O476" i="16"/>
  <c r="O475" i="16"/>
  <c r="O474" i="16"/>
  <c r="O473" i="16"/>
  <c r="O472" i="16"/>
  <c r="O471" i="16"/>
  <c r="O470" i="16"/>
  <c r="O469" i="16"/>
  <c r="O468" i="16"/>
  <c r="O467" i="16"/>
  <c r="O466" i="16"/>
  <c r="O465" i="16"/>
  <c r="O464" i="16"/>
  <c r="O463" i="16"/>
  <c r="O462" i="16"/>
  <c r="O461" i="16"/>
  <c r="O460" i="16"/>
  <c r="O459" i="16"/>
  <c r="O458" i="16"/>
  <c r="O457" i="16"/>
  <c r="O456" i="16"/>
  <c r="O455" i="16"/>
  <c r="O454" i="16"/>
  <c r="O453" i="16"/>
  <c r="O452" i="16"/>
  <c r="O451" i="16"/>
  <c r="O450" i="16"/>
  <c r="O449" i="16"/>
  <c r="O448" i="16"/>
  <c r="O447" i="16"/>
  <c r="O446" i="16"/>
  <c r="O445" i="16"/>
  <c r="O444" i="16"/>
  <c r="O443" i="16"/>
  <c r="O442" i="16"/>
  <c r="O441" i="16"/>
  <c r="O440" i="16"/>
  <c r="O439" i="16"/>
  <c r="O438" i="16"/>
  <c r="O437" i="16"/>
  <c r="O436" i="16"/>
  <c r="O435" i="16"/>
  <c r="O434" i="16"/>
  <c r="O433" i="16"/>
  <c r="O432" i="16"/>
  <c r="O431" i="16"/>
  <c r="O430" i="16"/>
  <c r="O429" i="16"/>
  <c r="O428" i="16"/>
  <c r="O427" i="16"/>
  <c r="O426" i="16"/>
  <c r="O425" i="16"/>
  <c r="O424" i="16"/>
  <c r="O423" i="16"/>
  <c r="O422" i="16"/>
  <c r="O421" i="16"/>
  <c r="O420" i="16"/>
  <c r="O419" i="16"/>
  <c r="O418" i="16"/>
  <c r="O417" i="16"/>
  <c r="O416" i="16"/>
  <c r="O415" i="16"/>
  <c r="O414" i="16"/>
  <c r="O413" i="16"/>
  <c r="O412" i="16"/>
  <c r="O411" i="16"/>
  <c r="O410" i="16"/>
  <c r="O409" i="16"/>
  <c r="O408" i="16"/>
  <c r="O407" i="16"/>
  <c r="O406" i="16"/>
  <c r="O405" i="16"/>
  <c r="O404" i="16"/>
  <c r="O403" i="16"/>
  <c r="O402" i="16"/>
  <c r="O401" i="16"/>
  <c r="O400" i="16"/>
  <c r="O399" i="16"/>
  <c r="O398" i="16"/>
  <c r="O397" i="16"/>
  <c r="O396" i="16"/>
  <c r="O395" i="16"/>
  <c r="O394" i="16"/>
  <c r="O393" i="16"/>
  <c r="O392" i="16"/>
  <c r="O391" i="16"/>
  <c r="O390" i="16"/>
  <c r="O389" i="16"/>
  <c r="O388" i="16"/>
  <c r="O387" i="16"/>
  <c r="O386" i="16"/>
  <c r="O385" i="16"/>
  <c r="O384" i="16"/>
  <c r="O383" i="16"/>
  <c r="O382" i="16"/>
  <c r="O381" i="16"/>
  <c r="O380" i="16"/>
  <c r="O379" i="16"/>
  <c r="O378" i="16"/>
  <c r="O377" i="16"/>
  <c r="O376" i="16"/>
  <c r="O375" i="16"/>
  <c r="O374" i="16"/>
  <c r="O373" i="16"/>
  <c r="O372" i="16"/>
  <c r="O371" i="16"/>
  <c r="O370" i="16"/>
  <c r="O369" i="16"/>
  <c r="O368" i="16"/>
  <c r="O367" i="16"/>
  <c r="O366" i="16"/>
  <c r="O365" i="16"/>
  <c r="O364" i="16"/>
  <c r="O363" i="16"/>
  <c r="O362" i="16"/>
  <c r="O361" i="16"/>
  <c r="O360" i="16"/>
  <c r="O359" i="16"/>
  <c r="O358" i="16"/>
  <c r="O357" i="16"/>
  <c r="O356" i="16"/>
  <c r="O355" i="16"/>
  <c r="O354" i="16"/>
  <c r="O353" i="16"/>
  <c r="O352" i="16"/>
  <c r="O351" i="16"/>
  <c r="O350" i="16"/>
  <c r="O349" i="16"/>
  <c r="O348" i="16"/>
  <c r="O347" i="16"/>
  <c r="O346" i="16"/>
  <c r="O345" i="16"/>
  <c r="O344" i="16"/>
  <c r="O343" i="16"/>
  <c r="O342" i="16"/>
  <c r="O341" i="16"/>
  <c r="O340" i="16"/>
  <c r="O339" i="16"/>
  <c r="O338" i="16"/>
  <c r="O337" i="16"/>
  <c r="O336" i="16"/>
  <c r="O335" i="16"/>
  <c r="O334" i="16"/>
  <c r="O333" i="16"/>
  <c r="O332" i="16"/>
  <c r="O331" i="16"/>
  <c r="O330" i="16"/>
  <c r="O329" i="16"/>
  <c r="O328" i="16"/>
  <c r="O327" i="16"/>
  <c r="O326" i="16"/>
  <c r="O325" i="16"/>
  <c r="O324" i="16"/>
  <c r="O323" i="16"/>
  <c r="O322" i="16"/>
  <c r="O321" i="16"/>
  <c r="O320" i="16"/>
  <c r="O319" i="16"/>
  <c r="O318" i="16"/>
  <c r="O317" i="16"/>
  <c r="O316" i="16"/>
  <c r="O315" i="16"/>
  <c r="O314" i="16"/>
  <c r="O313" i="16"/>
  <c r="O312" i="16"/>
  <c r="O311" i="16"/>
  <c r="O310" i="16"/>
  <c r="O309" i="16"/>
  <c r="O308" i="16"/>
  <c r="O307" i="16"/>
  <c r="O306" i="16"/>
  <c r="O305" i="16"/>
  <c r="O304" i="16"/>
  <c r="O303" i="16"/>
  <c r="O302" i="16"/>
  <c r="O301" i="16"/>
  <c r="O300" i="16"/>
  <c r="O299" i="16"/>
  <c r="O298" i="16"/>
  <c r="O297" i="16"/>
  <c r="O296" i="16"/>
  <c r="O295" i="16"/>
  <c r="O294" i="16"/>
  <c r="O293" i="16"/>
  <c r="O292" i="16"/>
  <c r="O291" i="16"/>
  <c r="O290" i="16"/>
  <c r="O289" i="16"/>
  <c r="O288" i="16"/>
  <c r="O287" i="16"/>
  <c r="O286" i="16"/>
  <c r="O285" i="16"/>
  <c r="O284" i="16"/>
  <c r="O283" i="16"/>
  <c r="O282" i="16"/>
  <c r="O281" i="16"/>
  <c r="O280" i="16"/>
  <c r="O279" i="16"/>
  <c r="O278" i="16"/>
  <c r="O277" i="16"/>
  <c r="O276" i="16"/>
  <c r="O275" i="16"/>
  <c r="O274" i="16"/>
  <c r="O273" i="16"/>
  <c r="O272" i="16"/>
  <c r="O271" i="16"/>
  <c r="O270" i="16"/>
  <c r="O269" i="16"/>
  <c r="O268" i="16"/>
  <c r="O267" i="16"/>
  <c r="O266" i="16"/>
  <c r="O265" i="16"/>
  <c r="O264" i="16"/>
  <c r="O263" i="16"/>
  <c r="O262" i="16"/>
  <c r="O261" i="16"/>
  <c r="O260" i="16"/>
  <c r="O259" i="16"/>
  <c r="O258" i="16"/>
  <c r="O257" i="16"/>
  <c r="O256" i="16"/>
  <c r="O255" i="16"/>
  <c r="O254" i="16"/>
  <c r="O253" i="16"/>
  <c r="O252" i="16"/>
  <c r="O251" i="16"/>
  <c r="O250" i="16"/>
  <c r="O249" i="16"/>
  <c r="O248" i="16"/>
  <c r="O247" i="16"/>
  <c r="O246" i="16"/>
  <c r="O245" i="16"/>
  <c r="O244" i="16"/>
  <c r="O243" i="16"/>
  <c r="O242" i="16"/>
  <c r="O241" i="16"/>
  <c r="O240" i="16"/>
  <c r="O239" i="16"/>
  <c r="O238" i="16"/>
  <c r="O237" i="16"/>
  <c r="O236" i="16"/>
  <c r="O235" i="16"/>
  <c r="O234" i="16"/>
  <c r="O233" i="16"/>
  <c r="O232" i="16"/>
  <c r="O231" i="16"/>
  <c r="O230" i="16"/>
  <c r="O229" i="16"/>
  <c r="O228" i="16"/>
  <c r="O227" i="16"/>
  <c r="O226" i="16"/>
  <c r="O225" i="16"/>
  <c r="O224" i="16"/>
  <c r="O223" i="16"/>
  <c r="O222" i="16"/>
  <c r="O221" i="16"/>
  <c r="O220" i="16"/>
  <c r="O219" i="16"/>
  <c r="O218" i="16"/>
  <c r="O217" i="16"/>
  <c r="O216" i="16"/>
  <c r="O215" i="16"/>
  <c r="O214" i="16"/>
  <c r="O213" i="16"/>
  <c r="O212" i="16"/>
  <c r="O211" i="16"/>
  <c r="O210" i="16"/>
  <c r="O209" i="16"/>
  <c r="O208" i="16"/>
  <c r="O207" i="16"/>
  <c r="O206" i="16"/>
  <c r="O205" i="16"/>
  <c r="O204" i="16"/>
  <c r="O203" i="16"/>
  <c r="O202" i="16"/>
  <c r="O201" i="16"/>
  <c r="O200" i="16"/>
  <c r="O199" i="16"/>
  <c r="O198" i="16"/>
  <c r="O197" i="16"/>
  <c r="O196" i="16"/>
  <c r="O195" i="16"/>
  <c r="O194" i="16"/>
  <c r="O193" i="16"/>
  <c r="O192" i="16"/>
  <c r="O191" i="16"/>
  <c r="O190" i="16"/>
  <c r="O189" i="16"/>
  <c r="O188" i="16"/>
  <c r="O187" i="16"/>
  <c r="O186" i="16"/>
  <c r="O185" i="16"/>
  <c r="O184" i="16"/>
  <c r="O183" i="16"/>
  <c r="O182" i="16"/>
  <c r="O181" i="16"/>
  <c r="O180" i="16"/>
  <c r="O179" i="16"/>
  <c r="O178" i="16"/>
  <c r="O177" i="16"/>
  <c r="O176" i="16"/>
  <c r="O175" i="16"/>
  <c r="O174" i="16"/>
  <c r="O173" i="16"/>
  <c r="O172" i="16"/>
  <c r="O171" i="16"/>
  <c r="O170" i="16"/>
  <c r="O169" i="16"/>
  <c r="O168" i="16"/>
  <c r="O167" i="16"/>
  <c r="O166" i="16"/>
  <c r="O165" i="16"/>
  <c r="O164" i="16"/>
  <c r="O163" i="16"/>
  <c r="O162" i="16"/>
  <c r="O161" i="16"/>
  <c r="O160" i="16"/>
  <c r="O159" i="16"/>
  <c r="O158" i="16"/>
  <c r="O157" i="16"/>
  <c r="O156" i="16"/>
  <c r="O155" i="16"/>
  <c r="O154" i="16"/>
  <c r="O153" i="16"/>
  <c r="O152" i="16"/>
  <c r="O151" i="16"/>
  <c r="O150" i="16"/>
  <c r="O149" i="16"/>
  <c r="O148" i="16"/>
  <c r="O147" i="16"/>
  <c r="O146" i="16"/>
  <c r="O145" i="16"/>
  <c r="O144" i="16"/>
  <c r="O143" i="16"/>
  <c r="O142" i="16"/>
  <c r="O141" i="16"/>
  <c r="O140" i="16"/>
  <c r="O139" i="16"/>
  <c r="O138" i="16"/>
  <c r="O137" i="16"/>
  <c r="O136" i="16"/>
  <c r="O135" i="16"/>
  <c r="O134" i="16"/>
  <c r="O133" i="16"/>
  <c r="O132" i="16"/>
  <c r="O131" i="16"/>
  <c r="O130" i="16"/>
  <c r="O129" i="16"/>
  <c r="O128" i="16"/>
  <c r="O127" i="16"/>
  <c r="O126" i="16"/>
  <c r="O125" i="16"/>
  <c r="O124" i="16"/>
  <c r="O123" i="16"/>
  <c r="O122" i="16"/>
  <c r="O121" i="16"/>
  <c r="O120" i="16"/>
  <c r="O119" i="16"/>
  <c r="O118" i="16"/>
  <c r="O117" i="16"/>
  <c r="O116" i="16"/>
  <c r="O115" i="16"/>
  <c r="O114" i="16"/>
  <c r="O113" i="16"/>
  <c r="O112" i="16"/>
  <c r="O111" i="16"/>
  <c r="O110" i="16"/>
  <c r="O109" i="16"/>
  <c r="O108" i="16"/>
  <c r="O107" i="16"/>
  <c r="O106" i="16"/>
  <c r="O105" i="16"/>
  <c r="O104" i="16"/>
  <c r="O103" i="16"/>
  <c r="O102" i="16"/>
  <c r="O101" i="16"/>
  <c r="O100" i="16"/>
  <c r="O99" i="16"/>
  <c r="O98" i="16"/>
  <c r="O97" i="16"/>
  <c r="O96" i="16"/>
  <c r="O95" i="16"/>
  <c r="O94" i="16"/>
  <c r="O93" i="16"/>
  <c r="O92" i="16"/>
  <c r="O91" i="16"/>
  <c r="O90" i="16"/>
  <c r="O89" i="16"/>
  <c r="O88" i="16"/>
  <c r="O87" i="16"/>
  <c r="O86" i="16"/>
  <c r="O85" i="16"/>
  <c r="O84" i="16"/>
  <c r="O83" i="16"/>
  <c r="O82" i="16"/>
  <c r="O81" i="16"/>
  <c r="O80" i="16"/>
  <c r="O79" i="16"/>
  <c r="O78" i="16"/>
  <c r="O77" i="16"/>
  <c r="O76" i="16"/>
  <c r="O75" i="16"/>
  <c r="O74" i="16"/>
  <c r="O73" i="16"/>
  <c r="O72" i="16"/>
  <c r="O71" i="16"/>
  <c r="O70" i="16"/>
  <c r="O69" i="16"/>
  <c r="O68" i="16"/>
  <c r="O67" i="16"/>
  <c r="O66" i="16"/>
  <c r="O65" i="16"/>
  <c r="O64" i="16"/>
  <c r="O63" i="16"/>
  <c r="O62" i="16"/>
  <c r="O61" i="16"/>
  <c r="O60" i="16"/>
  <c r="O59" i="16"/>
  <c r="O58" i="16"/>
  <c r="O57" i="16"/>
  <c r="O56" i="16"/>
  <c r="O55" i="16"/>
  <c r="O54" i="16"/>
  <c r="O53" i="16"/>
  <c r="O52" i="16"/>
  <c r="O51" i="16"/>
  <c r="O50" i="16"/>
  <c r="O49" i="16"/>
  <c r="O48" i="16"/>
  <c r="O47" i="16"/>
  <c r="O46" i="16"/>
  <c r="O45" i="16"/>
  <c r="O44" i="16"/>
  <c r="O43" i="16"/>
  <c r="O42" i="16"/>
  <c r="O41" i="16"/>
  <c r="O40" i="16"/>
  <c r="O39" i="16"/>
  <c r="O38" i="16"/>
  <c r="O37" i="16"/>
  <c r="O36" i="16"/>
  <c r="O35" i="16"/>
  <c r="O34" i="16"/>
  <c r="O33" i="16"/>
  <c r="O32" i="16"/>
  <c r="O31" i="16"/>
  <c r="O30" i="16"/>
  <c r="O29" i="16"/>
  <c r="O28" i="16"/>
  <c r="O27" i="16"/>
  <c r="O26" i="16"/>
  <c r="O25" i="16"/>
  <c r="O24" i="16"/>
  <c r="O23" i="16"/>
  <c r="O22" i="16"/>
  <c r="O21" i="16"/>
  <c r="O20" i="16"/>
  <c r="O19" i="16"/>
  <c r="O18" i="16"/>
  <c r="O17" i="16"/>
  <c r="O16" i="16"/>
  <c r="O15" i="16"/>
  <c r="O14" i="16"/>
  <c r="O13" i="16"/>
  <c r="O12" i="16"/>
  <c r="O11" i="16"/>
  <c r="O10" i="16"/>
  <c r="O9" i="16"/>
  <c r="O8" i="16"/>
  <c r="O7" i="16"/>
  <c r="O6" i="16"/>
  <c r="O5" i="16"/>
  <c r="O4" i="16"/>
  <c r="J59" i="11"/>
  <c r="H59" i="11"/>
  <c r="J71" i="11"/>
  <c r="H71" i="11"/>
  <c r="J55" i="11"/>
  <c r="H55" i="11"/>
  <c r="J64" i="11"/>
  <c r="H64" i="11"/>
  <c r="J3" i="11"/>
  <c r="H3" i="11"/>
  <c r="J78" i="11"/>
  <c r="H78" i="11"/>
  <c r="J52" i="11"/>
  <c r="H52" i="11"/>
  <c r="J8" i="11"/>
  <c r="H8" i="11"/>
  <c r="J68" i="11"/>
  <c r="H68" i="11"/>
  <c r="J73" i="11"/>
  <c r="H73" i="11"/>
  <c r="J41" i="11"/>
  <c r="H41" i="11"/>
  <c r="J43" i="11"/>
  <c r="H43" i="11"/>
  <c r="J7" i="11"/>
  <c r="H7" i="11"/>
  <c r="J58" i="11"/>
  <c r="H58" i="11"/>
  <c r="J11" i="11"/>
  <c r="H11" i="11"/>
  <c r="J24" i="11"/>
  <c r="H24" i="11"/>
  <c r="J80" i="11"/>
  <c r="H80" i="11"/>
  <c r="J67" i="11"/>
  <c r="H67" i="11"/>
  <c r="J53" i="11"/>
  <c r="H53" i="11"/>
  <c r="J62" i="11"/>
  <c r="H62" i="11"/>
  <c r="J57" i="11"/>
  <c r="H57" i="11"/>
  <c r="J50" i="11"/>
  <c r="H50" i="11"/>
  <c r="J54" i="11"/>
  <c r="H54" i="11"/>
  <c r="J60" i="11"/>
  <c r="H60" i="11"/>
  <c r="J37" i="11"/>
  <c r="H37" i="11"/>
  <c r="J25" i="11"/>
  <c r="H25" i="11"/>
  <c r="J46" i="11"/>
  <c r="H46" i="11"/>
  <c r="J40" i="11"/>
  <c r="H40" i="11"/>
  <c r="J49" i="11"/>
  <c r="H49" i="11"/>
  <c r="J72" i="11"/>
  <c r="H72" i="11"/>
  <c r="J74" i="11"/>
  <c r="H74" i="11"/>
  <c r="J35" i="11"/>
  <c r="H35" i="11"/>
  <c r="J30" i="11"/>
  <c r="H30" i="11"/>
  <c r="J33" i="11"/>
  <c r="H33" i="11"/>
  <c r="J12" i="11"/>
  <c r="H12" i="11"/>
  <c r="J39" i="11"/>
  <c r="H39" i="11"/>
  <c r="J70" i="11"/>
  <c r="H70" i="11"/>
  <c r="J18" i="11"/>
  <c r="H18" i="11"/>
  <c r="J21" i="11"/>
  <c r="H21" i="11"/>
  <c r="J45" i="11"/>
  <c r="H45" i="11"/>
  <c r="J51" i="11"/>
  <c r="H51" i="11"/>
  <c r="J32" i="11"/>
  <c r="H32" i="11"/>
  <c r="J22" i="11"/>
  <c r="H22" i="11"/>
  <c r="J31" i="11"/>
  <c r="H31" i="11"/>
  <c r="J5" i="11"/>
  <c r="H5" i="11"/>
  <c r="J20" i="11"/>
  <c r="H20" i="11"/>
  <c r="J79" i="11"/>
  <c r="H79" i="11"/>
  <c r="J47" i="11"/>
  <c r="H47" i="11"/>
  <c r="J28" i="11"/>
  <c r="H28" i="11"/>
  <c r="J77" i="11"/>
  <c r="H77" i="11"/>
  <c r="J16" i="11"/>
  <c r="H16" i="11"/>
  <c r="J48" i="11"/>
  <c r="H48" i="11"/>
  <c r="J44" i="11"/>
  <c r="H44" i="11"/>
  <c r="J36" i="11"/>
  <c r="H36" i="11"/>
  <c r="J63" i="11"/>
  <c r="H63" i="11"/>
  <c r="J26" i="11"/>
  <c r="H26" i="11"/>
  <c r="J29" i="11"/>
  <c r="H29" i="11"/>
  <c r="J69" i="11"/>
  <c r="H69" i="11"/>
  <c r="J42" i="11"/>
  <c r="H42" i="11"/>
  <c r="J56" i="11"/>
  <c r="H56" i="11"/>
  <c r="J61" i="11"/>
  <c r="H61" i="11"/>
  <c r="J17" i="11"/>
  <c r="H17" i="11"/>
  <c r="J19" i="11"/>
  <c r="H19" i="11"/>
  <c r="J27" i="11"/>
  <c r="H27" i="11"/>
  <c r="J65" i="11"/>
  <c r="H65" i="11"/>
  <c r="J66" i="11"/>
  <c r="H66" i="11"/>
  <c r="J75" i="11"/>
  <c r="H75" i="11"/>
  <c r="J34" i="11"/>
  <c r="H34" i="11"/>
  <c r="J15" i="11"/>
  <c r="H15" i="11"/>
  <c r="J13" i="11"/>
  <c r="H13" i="11"/>
  <c r="J76" i="11"/>
  <c r="H76" i="11"/>
  <c r="J4" i="11"/>
  <c r="H4" i="11"/>
  <c r="J23" i="11"/>
  <c r="H23" i="11"/>
  <c r="J38" i="11"/>
  <c r="H38" i="11"/>
  <c r="J10" i="11"/>
  <c r="H10" i="11"/>
  <c r="J14" i="11"/>
  <c r="H14" i="11"/>
  <c r="J9" i="11"/>
  <c r="H9" i="11"/>
  <c r="J6" i="11"/>
  <c r="H6" i="11"/>
  <c r="L13" i="9" a="1"/>
  <c r="L9" i="9" a="1"/>
  <c r="L9" i="9"/>
  <c r="M9" i="9"/>
  <c r="N9" i="9"/>
  <c r="L10" i="9"/>
  <c r="M10" i="9"/>
  <c r="N10" i="9"/>
  <c r="L11" i="9"/>
  <c r="M11" i="9"/>
  <c r="N11" i="9"/>
  <c r="E12" i="9" a="1"/>
  <c r="E9" i="9" a="1"/>
  <c r="AD27" i="8"/>
  <c r="AD29" i="8"/>
  <c r="AD28" i="8"/>
  <c r="AE14" i="8" a="1"/>
  <c r="T17" i="8" a="1"/>
  <c r="G24" i="8" a="1"/>
  <c r="G21" i="8" a="1"/>
  <c r="G18" i="8" a="1"/>
  <c r="O13" i="8" a="1"/>
  <c r="O10" i="8" a="1"/>
  <c r="O7" i="8" a="1"/>
  <c r="O4" i="8" a="1"/>
  <c r="H13" i="8"/>
  <c r="I13" i="8"/>
  <c r="H14" i="8"/>
  <c r="I14" i="8"/>
  <c r="G14" i="8"/>
  <c r="G13" i="8"/>
  <c r="G11" i="8"/>
  <c r="H11" i="8"/>
  <c r="I11" i="8"/>
  <c r="H10" i="8"/>
  <c r="I10" i="8"/>
  <c r="G10" i="8"/>
  <c r="H7" i="8"/>
  <c r="I7" i="8"/>
  <c r="H8" i="8"/>
  <c r="I8" i="8"/>
  <c r="G8" i="8"/>
  <c r="G7" i="8"/>
  <c r="G5" i="8"/>
  <c r="H5" i="8"/>
  <c r="I5" i="8"/>
  <c r="H4" i="8"/>
  <c r="I4" i="8"/>
  <c r="G4" i="8"/>
  <c r="L6" i="1"/>
  <c r="L7" i="1"/>
  <c r="L8" i="1"/>
  <c r="L9" i="1"/>
  <c r="L10" i="1"/>
  <c r="L11" i="1"/>
  <c r="L12" i="1"/>
  <c r="L13" i="1"/>
  <c r="L14" i="1"/>
  <c r="L15" i="1"/>
  <c r="L13" i="9" l="1"/>
  <c r="L14" i="9"/>
  <c r="L15" i="9"/>
  <c r="E13" i="9"/>
  <c r="E12" i="9"/>
  <c r="E10" i="9"/>
  <c r="F10" i="9"/>
  <c r="F9" i="9"/>
  <c r="E9" i="9"/>
  <c r="AE15" i="8"/>
  <c r="AE14" i="8"/>
  <c r="T17" i="8"/>
  <c r="T18" i="8"/>
  <c r="G24" i="8"/>
  <c r="H24" i="8"/>
  <c r="I24" i="8"/>
  <c r="G25" i="8"/>
  <c r="H25" i="8"/>
  <c r="I25" i="8"/>
  <c r="G21" i="8"/>
  <c r="H21" i="8"/>
  <c r="I21" i="8"/>
  <c r="G22" i="8"/>
  <c r="H22" i="8"/>
  <c r="I22" i="8"/>
  <c r="G18" i="8"/>
  <c r="H18" i="8"/>
  <c r="I18" i="8"/>
  <c r="G19" i="8"/>
  <c r="H19" i="8"/>
  <c r="I19" i="8"/>
  <c r="O13" i="8"/>
  <c r="Q13" i="8"/>
  <c r="P14" i="8"/>
  <c r="Q14" i="8"/>
  <c r="P13" i="8"/>
  <c r="O14" i="8"/>
  <c r="O10" i="8"/>
  <c r="P10" i="8"/>
  <c r="Q10" i="8"/>
  <c r="O11" i="8"/>
  <c r="P11" i="8"/>
  <c r="Q11" i="8"/>
  <c r="O7" i="8"/>
  <c r="P7" i="8"/>
  <c r="Q7" i="8"/>
  <c r="O8" i="8"/>
  <c r="P8" i="8"/>
  <c r="Q8" i="8"/>
  <c r="O4" i="8"/>
  <c r="P4" i="8"/>
  <c r="Q4" i="8"/>
  <c r="O5" i="8"/>
  <c r="P5" i="8"/>
  <c r="Q5" i="8"/>
</calcChain>
</file>

<file path=xl/sharedStrings.xml><?xml version="1.0" encoding="utf-8"?>
<sst xmlns="http://schemas.openxmlformats.org/spreadsheetml/2006/main" count="10752" uniqueCount="1142">
  <si>
    <t>Order ID</t>
  </si>
  <si>
    <t>Customer Name</t>
  </si>
  <si>
    <t>Email</t>
  </si>
  <si>
    <t>Order Date</t>
  </si>
  <si>
    <t>Product</t>
  </si>
  <si>
    <t>Quantity</t>
  </si>
  <si>
    <t>Price ($)</t>
  </si>
  <si>
    <t>Country</t>
  </si>
  <si>
    <t>John Smith</t>
  </si>
  <si>
    <t>johnsmith@gmail.com</t>
  </si>
  <si>
    <t>2023-01-15</t>
  </si>
  <si>
    <t>Shoes</t>
  </si>
  <si>
    <t>USA</t>
  </si>
  <si>
    <t>Sara  Connor</t>
  </si>
  <si>
    <t>saraconnor@gmail.com</t>
  </si>
  <si>
    <t>01/18/2023</t>
  </si>
  <si>
    <t>shooes</t>
  </si>
  <si>
    <t>usa</t>
  </si>
  <si>
    <t>Michael Brown</t>
  </si>
  <si>
    <t>2023/01/20</t>
  </si>
  <si>
    <t>Hat</t>
  </si>
  <si>
    <t>United States</t>
  </si>
  <si>
    <t>Sara Connor</t>
  </si>
  <si>
    <t>2023-01-18</t>
  </si>
  <si>
    <t>Anna Lee</t>
  </si>
  <si>
    <t>anna.lee @yahoo.com</t>
  </si>
  <si>
    <t>Jan 25, 23</t>
  </si>
  <si>
    <t>Jacket</t>
  </si>
  <si>
    <t>Canada</t>
  </si>
  <si>
    <t>Jon Smith</t>
  </si>
  <si>
    <t>johnsmith@gmail .com</t>
  </si>
  <si>
    <t>2023-01-28</t>
  </si>
  <si>
    <t>Socks</t>
  </si>
  <si>
    <t>U.S.A.</t>
  </si>
  <si>
    <t>Robert Brown</t>
  </si>
  <si>
    <t>robertbrown@gmail.com</t>
  </si>
  <si>
    <t>2023-02-02</t>
  </si>
  <si>
    <t>U.S</t>
  </si>
  <si>
    <t>Sarah Connorr</t>
  </si>
  <si>
    <t>2023-02-05</t>
  </si>
  <si>
    <t>two</t>
  </si>
  <si>
    <t>anna.lee@yahoo.com</t>
  </si>
  <si>
    <t>2023-02-10</t>
  </si>
  <si>
    <t>jacket</t>
  </si>
  <si>
    <t>CANADA</t>
  </si>
  <si>
    <t>Mike Wazowski</t>
  </si>
  <si>
    <t>mikew@monsters.inc</t>
  </si>
  <si>
    <t>2023-02-12</t>
  </si>
  <si>
    <t>Sneakers</t>
  </si>
  <si>
    <t>Dirty_Table</t>
  </si>
  <si>
    <t>Cleaned_Table</t>
  </si>
  <si>
    <t>DATA CLEANING</t>
  </si>
  <si>
    <t>-</t>
  </si>
  <si>
    <t>mikew@monsters.com</t>
  </si>
  <si>
    <t xml:space="preserve">Steps that I did : </t>
  </si>
  <si>
    <t>S.NO.</t>
  </si>
  <si>
    <t>Errors Found</t>
  </si>
  <si>
    <t>Order ID – Duplicate values (1002 repeated)</t>
  </si>
  <si>
    <t>Used Remove Duplicates and reassigned Order IDs sequentially</t>
  </si>
  <si>
    <t>Applied TRIM to remove unnecessary spaces</t>
  </si>
  <si>
    <t>Email – Missing values (blank cells)</t>
  </si>
  <si>
    <t>Email – Invalid domain (.inc)</t>
  </si>
  <si>
    <t>Replaced blanks with “-” (Find &amp; Replace)</t>
  </si>
  <si>
    <t>Corrected/verified domain format (Find &amp; Replace)</t>
  </si>
  <si>
    <t>Order Date – Mixed formats</t>
  </si>
  <si>
    <t>Standardized using Text to Columns</t>
  </si>
  <si>
    <t>Product – Inconsistent naming</t>
  </si>
  <si>
    <t>Standardized using Find &amp; Replace</t>
  </si>
  <si>
    <t>Quantity – Stored as text</t>
  </si>
  <si>
    <t>Converted to numeric (2)</t>
  </si>
  <si>
    <t>Converted to proper number format</t>
  </si>
  <si>
    <t>Quantity – Text value (two)</t>
  </si>
  <si>
    <t xml:space="preserve">Price –  Inconsistent decimal values </t>
  </si>
  <si>
    <t>Converted to Number format and standardized decimals</t>
  </si>
  <si>
    <t>Country – Inconsistent values</t>
  </si>
  <si>
    <t>Standardized naming using Find &amp; Replace</t>
  </si>
  <si>
    <t>Email – Extra spaces in email</t>
  </si>
  <si>
    <t>Removed spaces using Find &amp; Replace</t>
  </si>
  <si>
    <t xml:space="preserve">Customer Name – Inconsistent casing </t>
  </si>
  <si>
    <t>DATA VALIDATION</t>
  </si>
  <si>
    <t>Steps to Data Validation</t>
  </si>
  <si>
    <t>Select Data Validation</t>
  </si>
  <si>
    <t>Go to Data Tab</t>
  </si>
  <si>
    <t>Apply Settings :</t>
  </si>
  <si>
    <t>Set Input Message :</t>
  </si>
  <si>
    <t>Set Error Alert :</t>
  </si>
  <si>
    <t>S.no.</t>
  </si>
  <si>
    <t>Example</t>
  </si>
  <si>
    <t>Input Message: Enter a value greater than or equal to 18 only</t>
  </si>
  <si>
    <t>F</t>
  </si>
  <si>
    <t>Select a column like : F</t>
  </si>
  <si>
    <t>Allow: Whole Number</t>
  </si>
  <si>
    <t>Condition: Greater than or equal to (&gt;=)</t>
  </si>
  <si>
    <t>Minimum Value: 18</t>
  </si>
  <si>
    <t>Uncheck Ignore Blank if required</t>
  </si>
  <si>
    <t>Title: Instructions</t>
  </si>
  <si>
    <t>Title: Error</t>
  </si>
  <si>
    <t>Error Message: You have entered an invalid value</t>
  </si>
  <si>
    <t>ALT + A</t>
  </si>
  <si>
    <t>ALT + A + V + V</t>
  </si>
  <si>
    <t>QUESTIONS TO PRACTICE</t>
  </si>
  <si>
    <t>ANSWER COLUMN</t>
  </si>
  <si>
    <t>1. Value less than 30</t>
  </si>
  <si>
    <t>2. Value equal to -15</t>
  </si>
  <si>
    <t>3. Decimal between 1.5 and 9.5</t>
  </si>
  <si>
    <t>4. Date between 1 Jan 2024 and 31 Dec 2024</t>
  </si>
  <si>
    <t>5. Time between 9 AM and 6 PM</t>
  </si>
  <si>
    <t>6. Text length should be maximum 10 characters</t>
  </si>
  <si>
    <t>K</t>
  </si>
  <si>
    <t>L</t>
  </si>
  <si>
    <t>M</t>
  </si>
  <si>
    <t>N</t>
  </si>
  <si>
    <t>O</t>
  </si>
  <si>
    <t>P</t>
  </si>
  <si>
    <t>Shivam</t>
  </si>
  <si>
    <t>Shubh</t>
  </si>
  <si>
    <t>Deva</t>
  </si>
  <si>
    <t>Adam Smith</t>
  </si>
  <si>
    <t>Rahul</t>
  </si>
  <si>
    <t>Priya</t>
  </si>
  <si>
    <t>Aman</t>
  </si>
  <si>
    <t>Neha</t>
  </si>
  <si>
    <t>Kunal</t>
  </si>
  <si>
    <t>Riya</t>
  </si>
  <si>
    <t>Arjun</t>
  </si>
  <si>
    <t>Sneha</t>
  </si>
  <si>
    <t>Varun</t>
  </si>
  <si>
    <t>Mohit</t>
  </si>
  <si>
    <t>Jeffery</t>
  </si>
  <si>
    <t xml:space="preserve">Steps </t>
  </si>
  <si>
    <t>India</t>
  </si>
  <si>
    <t>Mumbai</t>
  </si>
  <si>
    <t>Hyderabad</t>
  </si>
  <si>
    <t>Bangalore</t>
  </si>
  <si>
    <t>Chennai</t>
  </si>
  <si>
    <t>Delhi</t>
  </si>
  <si>
    <t>Malaysia</t>
  </si>
  <si>
    <t>Kuala Lumpur</t>
  </si>
  <si>
    <t>Johor Bahru</t>
  </si>
  <si>
    <t>Kuching</t>
  </si>
  <si>
    <t>China</t>
  </si>
  <si>
    <t>Bejing</t>
  </si>
  <si>
    <t>Toronto</t>
  </si>
  <si>
    <t>Guangzhou</t>
  </si>
  <si>
    <t>Shanghai</t>
  </si>
  <si>
    <t>Ottawa</t>
  </si>
  <si>
    <t>Calgary</t>
  </si>
  <si>
    <t xml:space="preserve">name select kr </t>
  </si>
  <si>
    <t>create from seelction</t>
  </si>
  <si>
    <t>ctrl + shift + f3</t>
  </si>
  <si>
    <t xml:space="preserve">COUNTRIES </t>
  </si>
  <si>
    <t>CITIES</t>
  </si>
  <si>
    <t>Dependent Dropdown</t>
  </si>
  <si>
    <t>Create Named Ranges using Create from Selection</t>
  </si>
  <si>
    <t>Select the complete data (including headings)</t>
  </si>
  <si>
    <r>
      <t xml:space="preserve">Go to </t>
    </r>
    <r>
      <rPr>
        <b/>
        <sz val="11"/>
        <color theme="1"/>
        <rFont val="Calibri"/>
        <family val="2"/>
      </rPr>
      <t>Formulas → Create from Selection</t>
    </r>
  </si>
  <si>
    <r>
      <t xml:space="preserve">Press </t>
    </r>
    <r>
      <rPr>
        <b/>
        <sz val="11"/>
        <color theme="1"/>
        <rFont val="Calibri"/>
        <family val="2"/>
      </rPr>
      <t>Ctrl + Shift + F3</t>
    </r>
  </si>
  <si>
    <r>
      <t xml:space="preserve">Tick </t>
    </r>
    <r>
      <rPr>
        <b/>
        <sz val="11"/>
        <color theme="1"/>
        <rFont val="Calibri"/>
        <family val="2"/>
      </rPr>
      <t>Top Row</t>
    </r>
    <r>
      <rPr>
        <sz val="11"/>
        <color theme="1"/>
        <rFont val="Calibri"/>
        <family val="2"/>
      </rPr>
      <t xml:space="preserve"> and click OK</t>
    </r>
  </si>
  <si>
    <t>Create First Dropdown (Countries – Column G)</t>
  </si>
  <si>
    <r>
      <t xml:space="preserve">Select cell </t>
    </r>
    <r>
      <rPr>
        <b/>
        <sz val="11"/>
        <color theme="1"/>
        <rFont val="Calibri"/>
        <family val="2"/>
      </rPr>
      <t>G4</t>
    </r>
  </si>
  <si>
    <r>
      <t xml:space="preserve">Go to </t>
    </r>
    <r>
      <rPr>
        <b/>
        <sz val="11"/>
        <color theme="1"/>
        <rFont val="Calibri"/>
        <family val="2"/>
      </rPr>
      <t>Data → Data Validation → List</t>
    </r>
  </si>
  <si>
    <t>In Source, enter: =$B$3:$E$3</t>
  </si>
  <si>
    <t>Create Second Dropdown (Cities – Column H)</t>
  </si>
  <si>
    <r>
      <t xml:space="preserve">Select cell </t>
    </r>
    <r>
      <rPr>
        <b/>
        <sz val="11"/>
        <color theme="1"/>
        <rFont val="Calibri"/>
        <family val="2"/>
      </rPr>
      <t>H4</t>
    </r>
  </si>
  <si>
    <t>In Source, enter: =INDIRECT(G4)</t>
  </si>
  <si>
    <t>Steps for Custom Data Validation (Allow Only Text)</t>
  </si>
  <si>
    <t>Go to Data tab</t>
  </si>
  <si>
    <t>Click on Data Validation</t>
  </si>
  <si>
    <t>In Allow, select: Custom</t>
  </si>
  <si>
    <t xml:space="preserve">Select the column </t>
  </si>
  <si>
    <t>Column G</t>
  </si>
  <si>
    <t>Enter the formula :    =ISTEXT(G1)</t>
  </si>
  <si>
    <t>Click Ok</t>
  </si>
  <si>
    <t>Alt + A</t>
  </si>
  <si>
    <t>Alt + A + V + V</t>
  </si>
  <si>
    <t>A</t>
  </si>
  <si>
    <t>'=ISTEXT(G1)"</t>
  </si>
  <si>
    <t>Custom Data Validation (ISTEXT)</t>
  </si>
  <si>
    <t>A123</t>
  </si>
  <si>
    <t>123A</t>
  </si>
  <si>
    <t>ADAM@SMITH</t>
  </si>
  <si>
    <t>3H#</t>
  </si>
  <si>
    <t>Abh</t>
  </si>
  <si>
    <t>Only non-numeric values are allowed</t>
  </si>
  <si>
    <t>Custom Data Validation (OR)</t>
  </si>
  <si>
    <t>Column N</t>
  </si>
  <si>
    <t xml:space="preserve"> </t>
  </si>
  <si>
    <t>Allow Specific Values (OR)</t>
  </si>
  <si>
    <t>Enter the formula :   =OR(N1="ACCOUNTS",N1="IT",N1="SECURITY")</t>
  </si>
  <si>
    <t>ACCOUNTS</t>
  </si>
  <si>
    <t>IT</t>
  </si>
  <si>
    <t>SECURITY</t>
  </si>
  <si>
    <t>Custom Data Validation (AND)</t>
  </si>
  <si>
    <t>Allow Specific Values (AND)</t>
  </si>
  <si>
    <t>Enter the formula :   =AND(A1&gt;10, A1&lt;100)</t>
  </si>
  <si>
    <t>MATRICES</t>
  </si>
  <si>
    <t>* by 5</t>
  </si>
  <si>
    <t xml:space="preserve">Add 5 </t>
  </si>
  <si>
    <t>Subtract 5</t>
  </si>
  <si>
    <t>Divide by 5</t>
  </si>
  <si>
    <t>Ques:</t>
  </si>
  <si>
    <t>Ans :</t>
  </si>
  <si>
    <t>Matrix_A</t>
  </si>
  <si>
    <t>Go to Formulas tab</t>
  </si>
  <si>
    <t xml:space="preserve">Click on Define Name </t>
  </si>
  <si>
    <t>Select the whole Matrix rows and column</t>
  </si>
  <si>
    <t>Array Formula</t>
  </si>
  <si>
    <t>Select the output range</t>
  </si>
  <si>
    <r>
      <t xml:space="preserve">Type the formula (e.g. </t>
    </r>
    <r>
      <rPr>
        <sz val="10"/>
        <color theme="1"/>
        <rFont val="Arial Unicode MS"/>
      </rPr>
      <t>=Matrix_A+5</t>
    </r>
    <r>
      <rPr>
        <sz val="11"/>
        <color theme="1"/>
        <rFont val="Calibri"/>
        <family val="2"/>
      </rPr>
      <t>)</t>
    </r>
  </si>
  <si>
    <r>
      <t xml:space="preserve">Press </t>
    </r>
    <r>
      <rPr>
        <b/>
        <sz val="11"/>
        <color theme="1"/>
        <rFont val="Calibri"/>
        <family val="2"/>
      </rPr>
      <t>Ctrl + Shift + Enter</t>
    </r>
  </si>
  <si>
    <t>2 MATRICES</t>
  </si>
  <si>
    <t>Matrix_X</t>
  </si>
  <si>
    <t>Matrix_Y</t>
  </si>
  <si>
    <t>X+Y</t>
  </si>
  <si>
    <t>X-Y</t>
  </si>
  <si>
    <t>X/Y</t>
  </si>
  <si>
    <t>`</t>
  </si>
  <si>
    <t>2 Matrices Multiplication</t>
  </si>
  <si>
    <t>Select output range (rows of P × columns of Q)</t>
  </si>
  <si>
    <r>
      <t xml:space="preserve">Type formula </t>
    </r>
    <r>
      <rPr>
        <b/>
        <sz val="11"/>
        <color theme="1"/>
        <rFont val="Calibri"/>
        <family val="2"/>
      </rPr>
      <t>=MMULT(P, Q)</t>
    </r>
  </si>
  <si>
    <t>Ctrl + Shift + Enter</t>
  </si>
  <si>
    <t>Matrix_G</t>
  </si>
  <si>
    <t>Matrix_H</t>
  </si>
  <si>
    <t>G*H</t>
  </si>
  <si>
    <t>A shop sells three types of fruits: apples, bananas, and oranges. The shopkeeper records the number of fruits sold over two days:</t>
  </si>
  <si>
    <t>On Monday, 50 apples, 30 bananas, and 20 oranges were sold.</t>
  </si>
  <si>
    <t>On Tuesday, 60 apples, 40 bananas, and 25 oranges were sold.</t>
  </si>
  <si>
    <t>Q: Represent this data in matrix form.</t>
  </si>
  <si>
    <t>The selling prices per fruit (in) are:</t>
  </si>
  <si>
    <t>Apple: 10 each</t>
  </si>
  <si>
    <t>Apples</t>
  </si>
  <si>
    <t>Bananas</t>
  </si>
  <si>
    <t>Oranges</t>
  </si>
  <si>
    <t>SP OF FRUITS</t>
  </si>
  <si>
    <t>Banana: 5 each</t>
  </si>
  <si>
    <t>MONDAY</t>
  </si>
  <si>
    <t>Orange: 8 each</t>
  </si>
  <si>
    <t>TUESDAY</t>
  </si>
  <si>
    <t>Find the revenue on mon and Tuesday</t>
  </si>
  <si>
    <t>Revenue</t>
  </si>
  <si>
    <t>Three students appeared for four subjects: Math, Physics, Chemistry, and English. Their marks are:</t>
  </si>
  <si>
    <t>Student 1: 85, 78, 92, 88</t>
  </si>
  <si>
    <t>Student 2: 90, 82, 89, 84</t>
  </si>
  <si>
    <t>Student 3: 88, 80, 94, 90</t>
  </si>
  <si>
    <t>Q: Construct a matrix with students as rows and subjects as columns. Then find the average marks of each student.</t>
  </si>
  <si>
    <t>Math</t>
  </si>
  <si>
    <t>Physics</t>
  </si>
  <si>
    <t>Chemistry</t>
  </si>
  <si>
    <t>English</t>
  </si>
  <si>
    <t>Student 1</t>
  </si>
  <si>
    <t>Student 2</t>
  </si>
  <si>
    <t>Student 3</t>
  </si>
  <si>
    <t>Ave. Marks</t>
  </si>
  <si>
    <t>Monday</t>
  </si>
  <si>
    <t>Tuesday</t>
  </si>
  <si>
    <t>Simultaneous Equations</t>
  </si>
  <si>
    <t xml:space="preserve">2x+4y = 40 </t>
  </si>
  <si>
    <t>4x+y = 35</t>
  </si>
  <si>
    <t>Define name of a matrix</t>
  </si>
  <si>
    <t>S.No</t>
  </si>
  <si>
    <t>S.no</t>
  </si>
  <si>
    <t>Steps to Solve Simultaneous Equations</t>
  </si>
  <si>
    <r>
      <t xml:space="preserve">Form coefficient matrix </t>
    </r>
    <r>
      <rPr>
        <b/>
        <sz val="11"/>
        <color theme="1"/>
        <rFont val="Calibri"/>
        <family val="2"/>
      </rPr>
      <t>A</t>
    </r>
    <r>
      <rPr>
        <sz val="11"/>
        <color theme="1"/>
        <rFont val="Calibri"/>
        <family val="2"/>
      </rPr>
      <t xml:space="preserve"> and constant matrix </t>
    </r>
    <r>
      <rPr>
        <b/>
        <sz val="11"/>
        <color theme="1"/>
        <rFont val="Calibri"/>
        <family val="2"/>
      </rPr>
      <t>B</t>
    </r>
  </si>
  <si>
    <r>
      <t xml:space="preserve">Find inverse: </t>
    </r>
    <r>
      <rPr>
        <sz val="10"/>
        <color theme="1"/>
        <rFont val="Arial Unicode MS"/>
      </rPr>
      <t>=MINVERSE(A)</t>
    </r>
  </si>
  <si>
    <r>
      <t xml:space="preserve">Multiply: </t>
    </r>
    <r>
      <rPr>
        <sz val="10"/>
        <color theme="1"/>
        <rFont val="Arial Unicode MS"/>
      </rPr>
      <t>=MMULT(A⁻¹, B)</t>
    </r>
  </si>
  <si>
    <r>
      <t xml:space="preserve">Results give values of </t>
    </r>
    <r>
      <rPr>
        <b/>
        <sz val="11"/>
        <color theme="1"/>
        <rFont val="Calibri"/>
        <family val="2"/>
      </rPr>
      <t>x</t>
    </r>
    <r>
      <rPr>
        <sz val="11"/>
        <color theme="1"/>
        <rFont val="Calibri"/>
        <family val="2"/>
      </rPr>
      <t xml:space="preserve"> and </t>
    </r>
    <r>
      <rPr>
        <b/>
        <sz val="11"/>
        <color theme="1"/>
        <rFont val="Calibri"/>
        <family val="2"/>
      </rPr>
      <t>y</t>
    </r>
  </si>
  <si>
    <t>B</t>
  </si>
  <si>
    <t>INVERSE</t>
  </si>
  <si>
    <t>X</t>
  </si>
  <si>
    <t>Y</t>
  </si>
  <si>
    <t xml:space="preserve">QUES 1 : </t>
  </si>
  <si>
    <t xml:space="preserve">QUES 2 : </t>
  </si>
  <si>
    <t>x+2y+3z=14</t>
  </si>
  <si>
    <t>2x-y+z=3</t>
  </si>
  <si>
    <t>-3x+4y+2z=-1</t>
  </si>
  <si>
    <t>Z</t>
  </si>
  <si>
    <t>Emp Name</t>
  </si>
  <si>
    <t>Designation</t>
  </si>
  <si>
    <t>Basic Salary</t>
  </si>
  <si>
    <t>HRA</t>
  </si>
  <si>
    <t>Deductions</t>
  </si>
  <si>
    <t xml:space="preserve">No. of projects </t>
  </si>
  <si>
    <t>Additional pay for project</t>
  </si>
  <si>
    <t>Work</t>
  </si>
  <si>
    <t>Final Salary</t>
  </si>
  <si>
    <t>Navin Prakash</t>
  </si>
  <si>
    <t>Manager</t>
  </si>
  <si>
    <t>Office</t>
  </si>
  <si>
    <t>Aruna Sabavath</t>
  </si>
  <si>
    <t>Developer</t>
  </si>
  <si>
    <t>Maria Malini</t>
  </si>
  <si>
    <t>Analyst</t>
  </si>
  <si>
    <t>Work from home</t>
  </si>
  <si>
    <t>Balaji rajakrishna</t>
  </si>
  <si>
    <t>Munmun Kapoor</t>
  </si>
  <si>
    <t>Associate</t>
  </si>
  <si>
    <t>Kamal Chalamalasetti</t>
  </si>
  <si>
    <t>DB</t>
  </si>
  <si>
    <t>Girish Kumar</t>
  </si>
  <si>
    <t>Lead</t>
  </si>
  <si>
    <t>Cyril Godwin P</t>
  </si>
  <si>
    <t>Dharani S</t>
  </si>
  <si>
    <t>Tester</t>
  </si>
  <si>
    <t>Maharshi Patoju</t>
  </si>
  <si>
    <t>Abdul Razzak</t>
  </si>
  <si>
    <t>Swamy Vennuthula</t>
  </si>
  <si>
    <t>Raja Kumar Yadagalla</t>
  </si>
  <si>
    <t>PJM</t>
  </si>
  <si>
    <t>Lakshmi Vennela</t>
  </si>
  <si>
    <t>Khushi</t>
  </si>
  <si>
    <t>CEO</t>
  </si>
  <si>
    <t>Imam Jani Shaik</t>
  </si>
  <si>
    <t>Ujwal Chowdavaraj</t>
  </si>
  <si>
    <t>Saddula Tharun</t>
  </si>
  <si>
    <t>Shaik Waheed</t>
  </si>
  <si>
    <t>Rajesh Uppala</t>
  </si>
  <si>
    <t>Shravan Surya</t>
  </si>
  <si>
    <t>Rajesh Nair</t>
  </si>
  <si>
    <t>Rangarajan Subrajani</t>
  </si>
  <si>
    <t>Sanjana Choudary</t>
  </si>
  <si>
    <t>Milan Mohapatra</t>
  </si>
  <si>
    <t>Sujith Kumar</t>
  </si>
  <si>
    <t>Saharsh Dale</t>
  </si>
  <si>
    <t>Prajod P</t>
  </si>
  <si>
    <t>Swetha Gogineni</t>
  </si>
  <si>
    <t>Kiran Kunaparaju</t>
  </si>
  <si>
    <t>Shashank P</t>
  </si>
  <si>
    <t>V Gowthami</t>
  </si>
  <si>
    <t>Vani Golla</t>
  </si>
  <si>
    <t>Aditya Kumar</t>
  </si>
  <si>
    <t>Pawan N</t>
  </si>
  <si>
    <t>K Dhanesh</t>
  </si>
  <si>
    <t>Madhuri K</t>
  </si>
  <si>
    <t>Manish Tadepalli</t>
  </si>
  <si>
    <t>Muteeb Qureshi</t>
  </si>
  <si>
    <t>Jayathi Bargal</t>
  </si>
  <si>
    <t>Gundu Kumar</t>
  </si>
  <si>
    <t>Sujana Kasturi</t>
  </si>
  <si>
    <t>Kaushik Kumar</t>
  </si>
  <si>
    <t>Dasarath Daya</t>
  </si>
  <si>
    <t>Naresh Bandari</t>
  </si>
  <si>
    <t>Raju Rani</t>
  </si>
  <si>
    <t>MalayMandal</t>
  </si>
  <si>
    <t>Suresh Karne</t>
  </si>
  <si>
    <t>Sunil Kumar</t>
  </si>
  <si>
    <t>Rajendra S</t>
  </si>
  <si>
    <t>Lakshma Reddy</t>
  </si>
  <si>
    <t>Shravan Kumar</t>
  </si>
  <si>
    <t>Kavita Bhatt</t>
  </si>
  <si>
    <t>Mohammed Shamil</t>
  </si>
  <si>
    <t>Rupesh Koti</t>
  </si>
  <si>
    <t>Nausheen Begum</t>
  </si>
  <si>
    <t>Jagruti Arvind</t>
  </si>
  <si>
    <t>Nazneen Shaik</t>
  </si>
  <si>
    <t>Anil Biradar</t>
  </si>
  <si>
    <t>Divya Sunidi</t>
  </si>
  <si>
    <t>Shobha Yelemy</t>
  </si>
  <si>
    <t>Gaurav Saurav</t>
  </si>
  <si>
    <t>Karthik Mulukutla</t>
  </si>
  <si>
    <t>Pranathi Adem</t>
  </si>
  <si>
    <t>Ravi Kishore G</t>
  </si>
  <si>
    <t>Swathi Matam</t>
  </si>
  <si>
    <t>Naveenkumar Sri</t>
  </si>
  <si>
    <t>Naresh Maka</t>
  </si>
  <si>
    <t>Surendra Puri</t>
  </si>
  <si>
    <t>Ginka Arjun</t>
  </si>
  <si>
    <t>Ankit Kushi</t>
  </si>
  <si>
    <t>Rajesh Chigurupati</t>
  </si>
  <si>
    <t>Ankit Dah</t>
  </si>
  <si>
    <t>Abhimanyu Pulugurtha</t>
  </si>
  <si>
    <t>Santhi Gudiseva</t>
  </si>
  <si>
    <t>RajKamal Vanka</t>
  </si>
  <si>
    <t>Prakash Ramanchandran</t>
  </si>
  <si>
    <t>Rijoy Kapoor</t>
  </si>
  <si>
    <t xml:space="preserve">QUES : </t>
  </si>
  <si>
    <r>
      <t xml:space="preserve">How many employees </t>
    </r>
    <r>
      <rPr>
        <b/>
        <sz val="11"/>
        <color theme="1"/>
        <rFont val="Calibri"/>
        <family val="2"/>
      </rPr>
      <t>work from home</t>
    </r>
    <r>
      <rPr>
        <sz val="11"/>
        <color theme="1"/>
        <rFont val="Calibri"/>
        <family val="2"/>
      </rPr>
      <t>?</t>
    </r>
  </si>
  <si>
    <r>
      <t xml:space="preserve">How many employees </t>
    </r>
    <r>
      <rPr>
        <b/>
        <sz val="11"/>
        <color theme="1"/>
        <rFont val="Calibri"/>
        <family val="2"/>
      </rPr>
      <t>work in office</t>
    </r>
    <r>
      <rPr>
        <sz val="11"/>
        <color theme="1"/>
        <rFont val="Calibri"/>
        <family val="2"/>
      </rPr>
      <t>?</t>
    </r>
  </si>
  <si>
    <r>
      <t xml:space="preserve">Find the </t>
    </r>
    <r>
      <rPr>
        <b/>
        <sz val="11"/>
        <color theme="1"/>
        <rFont val="Calibri"/>
        <family val="2"/>
      </rPr>
      <t>maximum final salary</t>
    </r>
  </si>
  <si>
    <r>
      <t xml:space="preserve">Find the </t>
    </r>
    <r>
      <rPr>
        <b/>
        <sz val="11"/>
        <color theme="1"/>
        <rFont val="Calibri"/>
        <family val="2"/>
      </rPr>
      <t>minimum HRA</t>
    </r>
  </si>
  <si>
    <r>
      <t xml:space="preserve">How many employees have </t>
    </r>
    <r>
      <rPr>
        <b/>
        <sz val="11"/>
        <color theme="1"/>
        <rFont val="Calibri"/>
        <family val="2"/>
      </rPr>
      <t>more than 3 projects</t>
    </r>
    <r>
      <rPr>
        <sz val="11"/>
        <color theme="1"/>
        <rFont val="Calibri"/>
        <family val="2"/>
      </rPr>
      <t>?</t>
    </r>
  </si>
  <si>
    <r>
      <t xml:space="preserve">Count employees with </t>
    </r>
    <r>
      <rPr>
        <b/>
        <sz val="11"/>
        <color theme="1"/>
        <rFont val="Calibri"/>
        <family val="2"/>
      </rPr>
      <t>designation = Manager</t>
    </r>
  </si>
  <si>
    <r>
      <t xml:space="preserve">Find </t>
    </r>
    <r>
      <rPr>
        <b/>
        <sz val="11"/>
        <color theme="1"/>
        <rFont val="Calibri"/>
        <family val="2"/>
      </rPr>
      <t>highest salary among Developers</t>
    </r>
  </si>
  <si>
    <r>
      <t xml:space="preserve">How many employees have </t>
    </r>
    <r>
      <rPr>
        <b/>
        <sz val="11"/>
        <color theme="1"/>
        <rFont val="Calibri"/>
        <family val="2"/>
      </rPr>
      <t>deductions &gt; 5000</t>
    </r>
  </si>
  <si>
    <r>
      <t xml:space="preserve">Find employees whose </t>
    </r>
    <r>
      <rPr>
        <b/>
        <sz val="11"/>
        <color theme="1"/>
        <rFont val="Calibri"/>
        <family val="2"/>
      </rPr>
      <t>name starts with “A”</t>
    </r>
  </si>
  <si>
    <r>
      <t xml:space="preserve">Find </t>
    </r>
    <r>
      <rPr>
        <b/>
        <sz val="11"/>
        <color theme="1"/>
        <rFont val="Calibri"/>
        <family val="2"/>
      </rPr>
      <t>lowest salary among Work from home employees</t>
    </r>
  </si>
  <si>
    <t>How many employees: Work from home AND projects ≥ 3</t>
  </si>
  <si>
    <r>
      <t xml:space="preserve">Find </t>
    </r>
    <r>
      <rPr>
        <b/>
        <sz val="11"/>
        <color theme="1"/>
        <rFont val="Calibri"/>
        <family val="2"/>
      </rPr>
      <t>max salary where designation = Analyst</t>
    </r>
  </si>
  <si>
    <t>Count employees:  HRA &gt; 10000 AND Office work</t>
  </si>
  <si>
    <r>
      <t xml:space="preserve">Find </t>
    </r>
    <r>
      <rPr>
        <b/>
        <sz val="11"/>
        <color theme="1"/>
        <rFont val="Calibri"/>
        <family val="2"/>
      </rPr>
      <t>minimum salary among Managers</t>
    </r>
  </si>
  <si>
    <t>How many employees:  Additional pay = 5000</t>
  </si>
  <si>
    <t>Row Labels</t>
  </si>
  <si>
    <t>Grand Total</t>
  </si>
  <si>
    <t>Column Labels</t>
  </si>
  <si>
    <t>Sum of Final Salary</t>
  </si>
  <si>
    <t>Count of Final Salary</t>
  </si>
  <si>
    <t>Q1. Number of Employees by Designation</t>
  </si>
  <si>
    <t>Q2. Total Final Salary by Designation</t>
  </si>
  <si>
    <t>Q3. Average Basic Salary by Work Type</t>
  </si>
  <si>
    <t>Average of Basic Salary</t>
  </si>
  <si>
    <t>Q4. Total Additional Pay by No. of Projects</t>
  </si>
  <si>
    <t>Sum of Additional pay for project</t>
  </si>
  <si>
    <t>Invoice ID</t>
  </si>
  <si>
    <t>Date</t>
  </si>
  <si>
    <t>Branch</t>
  </si>
  <si>
    <t>City</t>
  </si>
  <si>
    <t>Customer type</t>
  </si>
  <si>
    <t>Gender</t>
  </si>
  <si>
    <t>Category</t>
  </si>
  <si>
    <t>Cost Price</t>
  </si>
  <si>
    <t>Selling Price</t>
  </si>
  <si>
    <t>Payment</t>
  </si>
  <si>
    <t>Rating</t>
  </si>
  <si>
    <t>Profit</t>
  </si>
  <si>
    <t>750-67-8428</t>
  </si>
  <si>
    <t>Member</t>
  </si>
  <si>
    <t>Female</t>
  </si>
  <si>
    <t>Toner</t>
  </si>
  <si>
    <t>Ewallet</t>
  </si>
  <si>
    <t>226-31-3081</t>
  </si>
  <si>
    <t>C</t>
  </si>
  <si>
    <t>Normal</t>
  </si>
  <si>
    <t>USB</t>
  </si>
  <si>
    <t>Cash</t>
  </si>
  <si>
    <t>123-19-1176</t>
  </si>
  <si>
    <t>Serum</t>
  </si>
  <si>
    <t>373-73-7910</t>
  </si>
  <si>
    <t>Basket Ball</t>
  </si>
  <si>
    <t>699-14-3026</t>
  </si>
  <si>
    <t>Charger</t>
  </si>
  <si>
    <t>355-53-5943</t>
  </si>
  <si>
    <t>Earplugs</t>
  </si>
  <si>
    <t>665-32-9167</t>
  </si>
  <si>
    <t>Soap</t>
  </si>
  <si>
    <t>Credit card</t>
  </si>
  <si>
    <t>692-92-5582</t>
  </si>
  <si>
    <t>Soda</t>
  </si>
  <si>
    <t>529-56-3974</t>
  </si>
  <si>
    <t>Hard Disk</t>
  </si>
  <si>
    <t>365-64-0515</t>
  </si>
  <si>
    <t>252-56-2699</t>
  </si>
  <si>
    <t>Bread</t>
  </si>
  <si>
    <t>829-34-3910</t>
  </si>
  <si>
    <t>Body Lotion</t>
  </si>
  <si>
    <t>299-46-1805</t>
  </si>
  <si>
    <t>Football</t>
  </si>
  <si>
    <t>656-95-9349</t>
  </si>
  <si>
    <t>Shampoo</t>
  </si>
  <si>
    <t>765-26-6951</t>
  </si>
  <si>
    <t>Gloves</t>
  </si>
  <si>
    <t>329-62-1586</t>
  </si>
  <si>
    <t>Imported Tiffans</t>
  </si>
  <si>
    <t>300-71-4605</t>
  </si>
  <si>
    <t>371-85-5789</t>
  </si>
  <si>
    <t>636-48-8204</t>
  </si>
  <si>
    <t>549-59-1358</t>
  </si>
  <si>
    <t>Skipping Rope</t>
  </si>
  <si>
    <t>145-94-9061</t>
  </si>
  <si>
    <t>Chocolates</t>
  </si>
  <si>
    <t>848-62-7243</t>
  </si>
  <si>
    <t>Face Wash</t>
  </si>
  <si>
    <t>149-71-6266</t>
  </si>
  <si>
    <t>Tera Band</t>
  </si>
  <si>
    <t>640-49-2076</t>
  </si>
  <si>
    <t>Pump</t>
  </si>
  <si>
    <t>595-11-5460</t>
  </si>
  <si>
    <t>Deodrant</t>
  </si>
  <si>
    <t>183-56-6882</t>
  </si>
  <si>
    <t>Biscuit</t>
  </si>
  <si>
    <t>232-16-2483</t>
  </si>
  <si>
    <t>Tennis Ball</t>
  </si>
  <si>
    <t>129-29-8530</t>
  </si>
  <si>
    <t>Table Tennis Ball</t>
  </si>
  <si>
    <t>272-65-1806</t>
  </si>
  <si>
    <t>333-73-7901</t>
  </si>
  <si>
    <t>354-25-5821</t>
  </si>
  <si>
    <t>228-96-1411</t>
  </si>
  <si>
    <t>Energy Drink</t>
  </si>
  <si>
    <t>617-15-4209</t>
  </si>
  <si>
    <t>132-32-9879</t>
  </si>
  <si>
    <t>370-41-7321</t>
  </si>
  <si>
    <t>727-46-3608</t>
  </si>
  <si>
    <t>669-54-1719</t>
  </si>
  <si>
    <t>326-78-5178</t>
  </si>
  <si>
    <t>162-48-8011</t>
  </si>
  <si>
    <t>399-46-5918</t>
  </si>
  <si>
    <t>635-40-6220</t>
  </si>
  <si>
    <t>120-06-4233</t>
  </si>
  <si>
    <t>285-68-5083</t>
  </si>
  <si>
    <t>347-34-2234</t>
  </si>
  <si>
    <t>199-75-8169</t>
  </si>
  <si>
    <t>853-23-2453</t>
  </si>
  <si>
    <t>877-22-3308</t>
  </si>
  <si>
    <t>838-78-4295</t>
  </si>
  <si>
    <t>232-11-3025</t>
  </si>
  <si>
    <t>Male</t>
  </si>
  <si>
    <t>382-03-4532</t>
  </si>
  <si>
    <t>393-65-2792</t>
  </si>
  <si>
    <t>510-95-6347</t>
  </si>
  <si>
    <t>841-35-6630</t>
  </si>
  <si>
    <t>Power bank</t>
  </si>
  <si>
    <t>732-94-0499</t>
  </si>
  <si>
    <t>829-49-1914</t>
  </si>
  <si>
    <t>756-01-7507</t>
  </si>
  <si>
    <t>870-72-4431</t>
  </si>
  <si>
    <t>847-38-7188</t>
  </si>
  <si>
    <t>480-63-2856</t>
  </si>
  <si>
    <t>787-56-0757</t>
  </si>
  <si>
    <t>360-39-5055</t>
  </si>
  <si>
    <t>730-50-9884</t>
  </si>
  <si>
    <t>633-44-8566</t>
  </si>
  <si>
    <t>504-35-8843</t>
  </si>
  <si>
    <t>318-68-5053</t>
  </si>
  <si>
    <t>225-32-0908</t>
  </si>
  <si>
    <t>873-51-0671</t>
  </si>
  <si>
    <t>152-08-9985</t>
  </si>
  <si>
    <t>512-91-0811</t>
  </si>
  <si>
    <t>594-34-4444</t>
  </si>
  <si>
    <t>766-85-7061</t>
  </si>
  <si>
    <t>871-39-9221</t>
  </si>
  <si>
    <t>865-92-6136</t>
  </si>
  <si>
    <t>551-21-3069</t>
  </si>
  <si>
    <t>212-62-1842</t>
  </si>
  <si>
    <t>716-39-1409</t>
  </si>
  <si>
    <t>704-48-3927</t>
  </si>
  <si>
    <t>630-74-5166</t>
  </si>
  <si>
    <t>588-01-7461</t>
  </si>
  <si>
    <t>861-77-0145</t>
  </si>
  <si>
    <t>479-26-8945</t>
  </si>
  <si>
    <t>210-67-5886</t>
  </si>
  <si>
    <t>642-32-2990</t>
  </si>
  <si>
    <t>638-60-7125</t>
  </si>
  <si>
    <t>659-36-1684</t>
  </si>
  <si>
    <t>219-22-9386</t>
  </si>
  <si>
    <t>870-54-3162</t>
  </si>
  <si>
    <t>663-86-9076</t>
  </si>
  <si>
    <t>549-84-7482</t>
  </si>
  <si>
    <t>802-70-5316</t>
  </si>
  <si>
    <t>695-51-0018</t>
  </si>
  <si>
    <t>590-83-4591</t>
  </si>
  <si>
    <t>483-71-1164</t>
  </si>
  <si>
    <t>700-81-1757</t>
  </si>
  <si>
    <t>241-72-9525</t>
  </si>
  <si>
    <t>575-30-8091</t>
  </si>
  <si>
    <t>731-81-9469</t>
  </si>
  <si>
    <t>280-17-4359</t>
  </si>
  <si>
    <t>338-65-2210</t>
  </si>
  <si>
    <t>488-25-4221</t>
  </si>
  <si>
    <t>458-41-1477</t>
  </si>
  <si>
    <t>568-90-5112</t>
  </si>
  <si>
    <t>238-49-0436</t>
  </si>
  <si>
    <t>584-86-7256</t>
  </si>
  <si>
    <t>214-17-6927</t>
  </si>
  <si>
    <t>400-89-4171</t>
  </si>
  <si>
    <t>782-95-9291</t>
  </si>
  <si>
    <t>279-74-2924</t>
  </si>
  <si>
    <t>743-04-1105</t>
  </si>
  <si>
    <t>423-57-2993</t>
  </si>
  <si>
    <t>894-41-5205</t>
  </si>
  <si>
    <t>275-28-0149</t>
  </si>
  <si>
    <t>101-17-6199</t>
  </si>
  <si>
    <t>423-80-0988</t>
  </si>
  <si>
    <t>548-46-9322</t>
  </si>
  <si>
    <t>505-02-0892</t>
  </si>
  <si>
    <t>796-32-9050</t>
  </si>
  <si>
    <t>105-31-1824</t>
  </si>
  <si>
    <t>249-42-3782</t>
  </si>
  <si>
    <t>316-55-4634</t>
  </si>
  <si>
    <t>733-33-4967</t>
  </si>
  <si>
    <t>608-27-6295</t>
  </si>
  <si>
    <t>414-12-7047</t>
  </si>
  <si>
    <t>175-54-2529</t>
  </si>
  <si>
    <t>407-63-8975</t>
  </si>
  <si>
    <t>342-65-4817</t>
  </si>
  <si>
    <t>434-83-9547</t>
  </si>
  <si>
    <t>851-28-6367</t>
  </si>
  <si>
    <t>824-88-3614</t>
  </si>
  <si>
    <t>586-25-0848</t>
  </si>
  <si>
    <t>895-66-0685</t>
  </si>
  <si>
    <t>286-43-6208</t>
  </si>
  <si>
    <t>831-07-6050</t>
  </si>
  <si>
    <t>848-24-9445</t>
  </si>
  <si>
    <t>699-01-4164</t>
  </si>
  <si>
    <t>420-11-4919</t>
  </si>
  <si>
    <t>606-80-4905</t>
  </si>
  <si>
    <t>542-41-0513</t>
  </si>
  <si>
    <t>426-39-2418</t>
  </si>
  <si>
    <t>875-46-5808</t>
  </si>
  <si>
    <t>749-24-1565</t>
  </si>
  <si>
    <t>672-51-8681</t>
  </si>
  <si>
    <t>817-69-8206</t>
  </si>
  <si>
    <t>888-02-0338</t>
  </si>
  <si>
    <t>677-11-0152</t>
  </si>
  <si>
    <t>656-16-1063</t>
  </si>
  <si>
    <t>891-58-8335</t>
  </si>
  <si>
    <t>560-30-5617</t>
  </si>
  <si>
    <t>319-74-2561</t>
  </si>
  <si>
    <t>790-29-1172</t>
  </si>
  <si>
    <t>239-36-3640</t>
  </si>
  <si>
    <t>468-01-2051</t>
  </si>
  <si>
    <t>389-25-3394</t>
  </si>
  <si>
    <t>213-72-6612</t>
  </si>
  <si>
    <t>746-68-6593</t>
  </si>
  <si>
    <t>836-82-5858</t>
  </si>
  <si>
    <t>583-72-1480</t>
  </si>
  <si>
    <t>466-61-5506</t>
  </si>
  <si>
    <t>545-46-3100</t>
  </si>
  <si>
    <t>418-02-5978</t>
  </si>
  <si>
    <t>157-13-5295</t>
  </si>
  <si>
    <t>645-78-8093</t>
  </si>
  <si>
    <t>211-30-9270</t>
  </si>
  <si>
    <t>346-84-3103</t>
  </si>
  <si>
    <t>540-11-4336</t>
  </si>
  <si>
    <t>448-81-5016</t>
  </si>
  <si>
    <t>866-05-7563</t>
  </si>
  <si>
    <t>799-71-1548</t>
  </si>
  <si>
    <t>785-13-7708</t>
  </si>
  <si>
    <t>845-51-0542</t>
  </si>
  <si>
    <t>883-17-4236</t>
  </si>
  <si>
    <t>366-93-0948</t>
  </si>
  <si>
    <t>151-16-1484</t>
  </si>
  <si>
    <t>380-94-4661</t>
  </si>
  <si>
    <t>850-41-9669</t>
  </si>
  <si>
    <t>447-15-7839</t>
  </si>
  <si>
    <t>154-74-7179</t>
  </si>
  <si>
    <t>253-12-6086</t>
  </si>
  <si>
    <t>571-94-0759</t>
  </si>
  <si>
    <t>783-09-1637</t>
  </si>
  <si>
    <t>687-15-1097</t>
  </si>
  <si>
    <t>477-24-6490</t>
  </si>
  <si>
    <t>828-61-5674</t>
  </si>
  <si>
    <t>490-29-1201</t>
  </si>
  <si>
    <t>667-92-0055</t>
  </si>
  <si>
    <t>565-17-3836</t>
  </si>
  <si>
    <t>498-41-1961</t>
  </si>
  <si>
    <t>226-71-3580</t>
  </si>
  <si>
    <t>283-79-9594</t>
  </si>
  <si>
    <t>139-20-0155</t>
  </si>
  <si>
    <t>558-80-4082</t>
  </si>
  <si>
    <t>278-97-7759</t>
  </si>
  <si>
    <t>316-68-6352</t>
  </si>
  <si>
    <t>585-03-5943</t>
  </si>
  <si>
    <t>211-05-0490</t>
  </si>
  <si>
    <t>727-75-6477</t>
  </si>
  <si>
    <t>573-10-3877</t>
  </si>
  <si>
    <t>735-06-4124</t>
  </si>
  <si>
    <t>439-54-7422</t>
  </si>
  <si>
    <t>396-90-2219</t>
  </si>
  <si>
    <t>411-77-0180</t>
  </si>
  <si>
    <t>286-01-5402</t>
  </si>
  <si>
    <t>512-98-1403</t>
  </si>
  <si>
    <t>532-59-7201</t>
  </si>
  <si>
    <t>870-76-1733</t>
  </si>
  <si>
    <t>423-64-4619</t>
  </si>
  <si>
    <t>227-07-4446</t>
  </si>
  <si>
    <t>174-36-3675</t>
  </si>
  <si>
    <t>428-83-5800</t>
  </si>
  <si>
    <t>603-07-0961</t>
  </si>
  <si>
    <t>704-20-4138</t>
  </si>
  <si>
    <t>787-15-1757</t>
  </si>
  <si>
    <t>649-11-3678</t>
  </si>
  <si>
    <t>622-20-1945</t>
  </si>
  <si>
    <t>372-94-8041</t>
  </si>
  <si>
    <t>276-54-0879</t>
  </si>
  <si>
    <t>815-11-1168</t>
  </si>
  <si>
    <t>719-76-3868</t>
  </si>
  <si>
    <t>730-61-8757</t>
  </si>
  <si>
    <t>340-66-0321</t>
  </si>
  <si>
    <t>634-97-8956</t>
  </si>
  <si>
    <t>442-48-3607</t>
  </si>
  <si>
    <t>835-16-0096</t>
  </si>
  <si>
    <t>527-09-6272</t>
  </si>
  <si>
    <t>692-27-8933</t>
  </si>
  <si>
    <t>633-09-3463</t>
  </si>
  <si>
    <t>374-17-3652</t>
  </si>
  <si>
    <t>378-07-7001</t>
  </si>
  <si>
    <t>433-75-6987</t>
  </si>
  <si>
    <t>873-95-4984</t>
  </si>
  <si>
    <t>416-13-5917</t>
  </si>
  <si>
    <t>150-89-8043</t>
  </si>
  <si>
    <t>441-94-7118</t>
  </si>
  <si>
    <t>531-80-1784</t>
  </si>
  <si>
    <t>400-45-1220</t>
  </si>
  <si>
    <t>834-61-8124</t>
  </si>
  <si>
    <t>320-49-6392</t>
  </si>
  <si>
    <t>889-04-9723</t>
  </si>
  <si>
    <t>554-42-2417</t>
  </si>
  <si>
    <t>453-63-6187</t>
  </si>
  <si>
    <t>578-80-7669</t>
  </si>
  <si>
    <t>612-36-5536</t>
  </si>
  <si>
    <t>605-72-4132</t>
  </si>
  <si>
    <t>471-41-2823</t>
  </si>
  <si>
    <t>272-27-9238</t>
  </si>
  <si>
    <t>122-61-9553</t>
  </si>
  <si>
    <t>613-59-9758</t>
  </si>
  <si>
    <t>254-31-0042</t>
  </si>
  <si>
    <t>201-86-2184</t>
  </si>
  <si>
    <t>743-88-1662</t>
  </si>
  <si>
    <t>182-69-8360</t>
  </si>
  <si>
    <t>289-15-7034</t>
  </si>
  <si>
    <t>462-78-5240</t>
  </si>
  <si>
    <t>868-52-7573</t>
  </si>
  <si>
    <t>153-58-4872</t>
  </si>
  <si>
    <t>662-72-2873</t>
  </si>
  <si>
    <t>525-88-7307</t>
  </si>
  <si>
    <t>689-16-9784</t>
  </si>
  <si>
    <t>725-56-0833</t>
  </si>
  <si>
    <t>596-42-3999</t>
  </si>
  <si>
    <t>563-36-9814</t>
  </si>
  <si>
    <t>308-47-4913</t>
  </si>
  <si>
    <t>885-17-6250</t>
  </si>
  <si>
    <t>726-27-2396</t>
  </si>
  <si>
    <t>316-01-3952</t>
  </si>
  <si>
    <t>793-10-3222</t>
  </si>
  <si>
    <t>346-12-3257</t>
  </si>
  <si>
    <t>110-05-6330</t>
  </si>
  <si>
    <t>882-40-4577</t>
  </si>
  <si>
    <t>732-67-5346</t>
  </si>
  <si>
    <t>244-08-0162</t>
  </si>
  <si>
    <t>569-71-4390</t>
  </si>
  <si>
    <t>132-23-6451</t>
  </si>
  <si>
    <t>696-90-2548</t>
  </si>
  <si>
    <t>268-03-6164</t>
  </si>
  <si>
    <t>186-09-3669</t>
  </si>
  <si>
    <t>848-07-1692</t>
  </si>
  <si>
    <t>745-71-3520</t>
  </si>
  <si>
    <t>266-76-6436</t>
  </si>
  <si>
    <t>740-22-2500</t>
  </si>
  <si>
    <t>269-10-8440</t>
  </si>
  <si>
    <t>650-98-6268</t>
  </si>
  <si>
    <t>741-73-3559</t>
  </si>
  <si>
    <t>574-57-9721</t>
  </si>
  <si>
    <t>459-50-7686</t>
  </si>
  <si>
    <t>751-69-0068</t>
  </si>
  <si>
    <t>257-73-1380</t>
  </si>
  <si>
    <t>549-96-4200</t>
  </si>
  <si>
    <t>810-60-6344</t>
  </si>
  <si>
    <t>450-28-2866</t>
  </si>
  <si>
    <t>394-30-3170</t>
  </si>
  <si>
    <t>301-11-9629</t>
  </si>
  <si>
    <t>390-80-5128</t>
  </si>
  <si>
    <t>235-46-8343</t>
  </si>
  <si>
    <t>296-11-7041</t>
  </si>
  <si>
    <t>449-27-2918</t>
  </si>
  <si>
    <t>891-01-7034</t>
  </si>
  <si>
    <t>744-09-5786</t>
  </si>
  <si>
    <t>727-17-0390</t>
  </si>
  <si>
    <t>568-88-3448</t>
  </si>
  <si>
    <t>187-83-5490</t>
  </si>
  <si>
    <t>710-46-4433</t>
  </si>
  <si>
    <t>533-33-5337</t>
  </si>
  <si>
    <t>325-90-8763</t>
  </si>
  <si>
    <t>729-46-7422</t>
  </si>
  <si>
    <t>639-76-1242</t>
  </si>
  <si>
    <t>234-03-4040</t>
  </si>
  <si>
    <t>326-71-2155</t>
  </si>
  <si>
    <t>320-32-8842</t>
  </si>
  <si>
    <t>470-32-9057</t>
  </si>
  <si>
    <t>878-30-2331</t>
  </si>
  <si>
    <t>440-59-5691</t>
  </si>
  <si>
    <t>554-53-3790</t>
  </si>
  <si>
    <t>746-19-0921</t>
  </si>
  <si>
    <t>233-34-0817</t>
  </si>
  <si>
    <t>340-21-9136</t>
  </si>
  <si>
    <t>731-59-7531</t>
  </si>
  <si>
    <t>676-39-6028</t>
  </si>
  <si>
    <t>502-05-1910</t>
  </si>
  <si>
    <t>485-30-8700</t>
  </si>
  <si>
    <t>598-47-9715</t>
  </si>
  <si>
    <t>701-69-8742</t>
  </si>
  <si>
    <t>575-67-1508</t>
  </si>
  <si>
    <t>541-08-3113</t>
  </si>
  <si>
    <t>246-11-3901</t>
  </si>
  <si>
    <t>674-15-9296</t>
  </si>
  <si>
    <t>493-65-6248</t>
  </si>
  <si>
    <t>438-01-4015</t>
  </si>
  <si>
    <t>608-04-3797</t>
  </si>
  <si>
    <t>632-32-4574</t>
  </si>
  <si>
    <t>556-97-7101</t>
  </si>
  <si>
    <t>862-59-8517</t>
  </si>
  <si>
    <t>401-18-8016</t>
  </si>
  <si>
    <t>420-18-8989</t>
  </si>
  <si>
    <t>277-63-2961</t>
  </si>
  <si>
    <t>282-35-2475</t>
  </si>
  <si>
    <t>511-54-3087</t>
  </si>
  <si>
    <t>726-29-6793</t>
  </si>
  <si>
    <t>387-49-4215</t>
  </si>
  <si>
    <t>862-17-9201</t>
  </si>
  <si>
    <t>291-21-5991</t>
  </si>
  <si>
    <t>347-72-6115</t>
  </si>
  <si>
    <t>189-52-0236</t>
  </si>
  <si>
    <t>503-07-0930</t>
  </si>
  <si>
    <t>425-85-2085</t>
  </si>
  <si>
    <t>600-38-9738</t>
  </si>
  <si>
    <t>734-91-1155</t>
  </si>
  <si>
    <t>133-14-7229</t>
  </si>
  <si>
    <t>534-01-4457</t>
  </si>
  <si>
    <t>719-89-8991</t>
  </si>
  <si>
    <t>827-44-5872</t>
  </si>
  <si>
    <t>827-77-7633</t>
  </si>
  <si>
    <t>287-83-1405</t>
  </si>
  <si>
    <t>857-67-9057</t>
  </si>
  <si>
    <t>236-27-1144</t>
  </si>
  <si>
    <t>358-88-9262</t>
  </si>
  <si>
    <t>343-87-0864</t>
  </si>
  <si>
    <t>173-50-1108</t>
  </si>
  <si>
    <t>243-47-2663</t>
  </si>
  <si>
    <t>841-18-8232</t>
  </si>
  <si>
    <t>541-48-8554</t>
  </si>
  <si>
    <t>539-21-7227</t>
  </si>
  <si>
    <t>213-32-1216</t>
  </si>
  <si>
    <t>210-57-1719</t>
  </si>
  <si>
    <t>399-69-4630</t>
  </si>
  <si>
    <t>134-75-2619</t>
  </si>
  <si>
    <t>283-26-5248</t>
  </si>
  <si>
    <t>712-39-0363</t>
  </si>
  <si>
    <t>174-75-0888</t>
  </si>
  <si>
    <t>866-99-7614</t>
  </si>
  <si>
    <t>134-54-4720</t>
  </si>
  <si>
    <t>760-90-2357</t>
  </si>
  <si>
    <t>698-98-5964</t>
  </si>
  <si>
    <t>718-57-9773</t>
  </si>
  <si>
    <t>408-26-9866</t>
  </si>
  <si>
    <t>343-61-3544</t>
  </si>
  <si>
    <t>239-48-4278</t>
  </si>
  <si>
    <t>355-34-6244</t>
  </si>
  <si>
    <t>550-84-8664</t>
  </si>
  <si>
    <t>458-61-0011</t>
  </si>
  <si>
    <t>592-34-6155</t>
  </si>
  <si>
    <t>797-88-0493</t>
  </si>
  <si>
    <t>207-73-1363</t>
  </si>
  <si>
    <t>390-31-6381</t>
  </si>
  <si>
    <t>443-82-0585</t>
  </si>
  <si>
    <t>375-72-3056</t>
  </si>
  <si>
    <t>127-47-6963</t>
  </si>
  <si>
    <t>278-86-2735</t>
  </si>
  <si>
    <t>695-28-6250</t>
  </si>
  <si>
    <t>227-50-3718</t>
  </si>
  <si>
    <t>302-15-2162</t>
  </si>
  <si>
    <t>560-49-6611</t>
  </si>
  <si>
    <t>880-35-0356</t>
  </si>
  <si>
    <t>585-11-6748</t>
  </si>
  <si>
    <t>470-31-3286</t>
  </si>
  <si>
    <t>152-68-2907</t>
  </si>
  <si>
    <t>123-35-4896</t>
  </si>
  <si>
    <t>219-61-4139</t>
  </si>
  <si>
    <t>373-09-4567</t>
  </si>
  <si>
    <t>642-30-6693</t>
  </si>
  <si>
    <t>544-32-5024</t>
  </si>
  <si>
    <t>349-97-8902</t>
  </si>
  <si>
    <t>421-95-9805</t>
  </si>
  <si>
    <t>277-35-5865</t>
  </si>
  <si>
    <t>284-54-4231</t>
  </si>
  <si>
    <t>443-59-0061</t>
  </si>
  <si>
    <t>509-29-3912</t>
  </si>
  <si>
    <t>327-40-9673</t>
  </si>
  <si>
    <t>840-19-2096</t>
  </si>
  <si>
    <t>828-46-6863</t>
  </si>
  <si>
    <t>420-97-3340</t>
  </si>
  <si>
    <t>436-54-4512</t>
  </si>
  <si>
    <t>135-13-8269</t>
  </si>
  <si>
    <t>816-57-2053</t>
  </si>
  <si>
    <t>628-90-8624</t>
  </si>
  <si>
    <t>149-61-1929</t>
  </si>
  <si>
    <t>655-07-2265</t>
  </si>
  <si>
    <t>589-02-8023</t>
  </si>
  <si>
    <t>182-88-2763</t>
  </si>
  <si>
    <t>188-55-0967</t>
  </si>
  <si>
    <t>610-46-4100</t>
  </si>
  <si>
    <t>318-81-2368</t>
  </si>
  <si>
    <t>364-33-8584</t>
  </si>
  <si>
    <t>695-09-5146</t>
  </si>
  <si>
    <t>155-45-3814</t>
  </si>
  <si>
    <t>794-32-2436</t>
  </si>
  <si>
    <t>131-15-8856</t>
  </si>
  <si>
    <t>273-84-2164</t>
  </si>
  <si>
    <t>778-89-7974</t>
  </si>
  <si>
    <t>859-71-0933</t>
  </si>
  <si>
    <t>740-11-5257</t>
  </si>
  <si>
    <t>369-82-2676</t>
  </si>
  <si>
    <t>563-47-4072</t>
  </si>
  <si>
    <t>149-15-7606</t>
  </si>
  <si>
    <t>169-52-4504</t>
  </si>
  <si>
    <t>250-81-7186</t>
  </si>
  <si>
    <t>816-72-8853</t>
  </si>
  <si>
    <t>322-02-2271</t>
  </si>
  <si>
    <t>842-29-4695</t>
  </si>
  <si>
    <t>641-51-2661</t>
  </si>
  <si>
    <t>714-02-3114</t>
  </si>
  <si>
    <t>779-42-2410</t>
  </si>
  <si>
    <t>190-14-3147</t>
  </si>
  <si>
    <t>408-66-6712</t>
  </si>
  <si>
    <t>679-22-6530</t>
  </si>
  <si>
    <t>Wristband</t>
  </si>
  <si>
    <t>642-61-4706</t>
  </si>
  <si>
    <t>576-31-4774</t>
  </si>
  <si>
    <t>556-41-6224</t>
  </si>
  <si>
    <t>811-03-8790</t>
  </si>
  <si>
    <t>752-23-3760</t>
  </si>
  <si>
    <t>274-05-5470</t>
  </si>
  <si>
    <t>648-94-3045</t>
  </si>
  <si>
    <t>130-67-4723</t>
  </si>
  <si>
    <t>528-87-5606</t>
  </si>
  <si>
    <t>320-85-2052</t>
  </si>
  <si>
    <t>510-79-0415</t>
  </si>
  <si>
    <t>767-97-4650</t>
  </si>
  <si>
    <t>173-57-2300</t>
  </si>
  <si>
    <t>305-03-2383</t>
  </si>
  <si>
    <t>394-55-6384</t>
  </si>
  <si>
    <t>266-20-6657</t>
  </si>
  <si>
    <t>689-05-1884</t>
  </si>
  <si>
    <t>372-62-5264</t>
  </si>
  <si>
    <t>182-52-7000</t>
  </si>
  <si>
    <t>868-06-0466</t>
  </si>
  <si>
    <t>176-64-7711</t>
  </si>
  <si>
    <t>729-06-2010</t>
  </si>
  <si>
    <t>186-79-9562</t>
  </si>
  <si>
    <t>834-45-5519</t>
  </si>
  <si>
    <t>162-65-8559</t>
  </si>
  <si>
    <t>445-30-9252</t>
  </si>
  <si>
    <t>786-94-2700</t>
  </si>
  <si>
    <t>Water</t>
  </si>
  <si>
    <t>183-21-3799</t>
  </si>
  <si>
    <t>268-20-3585</t>
  </si>
  <si>
    <t>258-92-7466</t>
  </si>
  <si>
    <t>482-17-1179</t>
  </si>
  <si>
    <t>678-79-0726</t>
  </si>
  <si>
    <t>592-46-1692</t>
  </si>
  <si>
    <t>434-35-9162</t>
  </si>
  <si>
    <t>149-14-0304</t>
  </si>
  <si>
    <t>174-64-0215</t>
  </si>
  <si>
    <t>635-28-5728</t>
  </si>
  <si>
    <t>438-23-1242</t>
  </si>
  <si>
    <t>238-45-6950</t>
  </si>
  <si>
    <t>607-65-2441</t>
  </si>
  <si>
    <t>137-63-5492</t>
  </si>
  <si>
    <t>197-77-7132</t>
  </si>
  <si>
    <t>451-73-2711</t>
  </si>
  <si>
    <t>373-14-0504</t>
  </si>
  <si>
    <t>345-68-9016</t>
  </si>
  <si>
    <t>390-17-5806</t>
  </si>
  <si>
    <t>314-23-4520</t>
  </si>
  <si>
    <t>585-86-8361</t>
  </si>
  <si>
    <t>807-14-7833</t>
  </si>
  <si>
    <t>785-96-0615</t>
  </si>
  <si>
    <t>250-17-5703</t>
  </si>
  <si>
    <t>156-95-3964</t>
  </si>
  <si>
    <t>842-40-8179</t>
  </si>
  <si>
    <t>525-09-8450</t>
  </si>
  <si>
    <t>587-73-4862</t>
  </si>
  <si>
    <t>787-87-2010</t>
  </si>
  <si>
    <t>388-76-2555</t>
  </si>
  <si>
    <t>711-31-1234</t>
  </si>
  <si>
    <t>707-32-7409</t>
  </si>
  <si>
    <t>759-98-4285</t>
  </si>
  <si>
    <t>201-63-8275</t>
  </si>
  <si>
    <t>471-06-8611</t>
  </si>
  <si>
    <t>200-16-5952</t>
  </si>
  <si>
    <t>120-54-2248</t>
  </si>
  <si>
    <t>102-77-2261</t>
  </si>
  <si>
    <t>875-31-8302</t>
  </si>
  <si>
    <t>102-06-2002</t>
  </si>
  <si>
    <t>457-94-0464</t>
  </si>
  <si>
    <t>629-42-4133</t>
  </si>
  <si>
    <t>534-53-3526</t>
  </si>
  <si>
    <t>516-77-6464</t>
  </si>
  <si>
    <t>404-91-5964</t>
  </si>
  <si>
    <t>886-77-9084</t>
  </si>
  <si>
    <t>790-38-4466</t>
  </si>
  <si>
    <t>704-10-4056</t>
  </si>
  <si>
    <t>497-37-6538</t>
  </si>
  <si>
    <t>400-80-4065</t>
  </si>
  <si>
    <t>263-12-5321</t>
  </si>
  <si>
    <t>702-72-0487</t>
  </si>
  <si>
    <t>864-24-7918</t>
  </si>
  <si>
    <t>359-94-5395</t>
  </si>
  <si>
    <t>751-15-6198</t>
  </si>
  <si>
    <t>324-41-6833</t>
  </si>
  <si>
    <t>831-81-6575</t>
  </si>
  <si>
    <t>618-34-8551</t>
  </si>
  <si>
    <t>257-60-7754</t>
  </si>
  <si>
    <t>559-61-5987</t>
  </si>
  <si>
    <t>565-91-4567</t>
  </si>
  <si>
    <t>380-60-5336</t>
  </si>
  <si>
    <t>815-04-6282</t>
  </si>
  <si>
    <t>674-56-6360</t>
  </si>
  <si>
    <t>778-34-2523</t>
  </si>
  <si>
    <t>499-27-7781</t>
  </si>
  <si>
    <t>832-51-6761</t>
  </si>
  <si>
    <t>869-11-3082</t>
  </si>
  <si>
    <t>190-59-3964</t>
  </si>
  <si>
    <t>366-43-6862</t>
  </si>
  <si>
    <t>784-21-9238</t>
  </si>
  <si>
    <t>276-75-6884</t>
  </si>
  <si>
    <t>109-86-4363</t>
  </si>
  <si>
    <t>569-76-2760</t>
  </si>
  <si>
    <t>222-42-0244</t>
  </si>
  <si>
    <t>538-22-0304</t>
  </si>
  <si>
    <t>416-17-9926</t>
  </si>
  <si>
    <t>237-44-6163</t>
  </si>
  <si>
    <t>636-17-0325</t>
  </si>
  <si>
    <t>343-75-9322</t>
  </si>
  <si>
    <t>528-14-9470</t>
  </si>
  <si>
    <t>670-71-7306</t>
  </si>
  <si>
    <t>660-29-7083</t>
  </si>
  <si>
    <t>271-77-8740</t>
  </si>
  <si>
    <t>291-59-1384</t>
  </si>
  <si>
    <t>860-73-6466</t>
  </si>
  <si>
    <t>549-23-9016</t>
  </si>
  <si>
    <t>804-38-3935</t>
  </si>
  <si>
    <t>585-90-0249</t>
  </si>
  <si>
    <t>862-29-5914</t>
  </si>
  <si>
    <t>845-94-6841</t>
  </si>
  <si>
    <t>658-66-3967</t>
  </si>
  <si>
    <t>866-70-2814</t>
  </si>
  <si>
    <t>160-22-2687</t>
  </si>
  <si>
    <t>770-42-8960</t>
  </si>
  <si>
    <t>234-36-2483</t>
  </si>
  <si>
    <t>316-66-3011</t>
  </si>
  <si>
    <t>840-76-5966</t>
  </si>
  <si>
    <t>124-31-1458</t>
  </si>
  <si>
    <t>176-78-1170</t>
  </si>
  <si>
    <t>361-59-0574</t>
  </si>
  <si>
    <t>101-81-4070</t>
  </si>
  <si>
    <t>631-34-1880</t>
  </si>
  <si>
    <t>852-82-2749</t>
  </si>
  <si>
    <t>873-14-6353</t>
  </si>
  <si>
    <t>544-55-9589</t>
  </si>
  <si>
    <t>166-19-2553</t>
  </si>
  <si>
    <t>608-05-3804</t>
  </si>
  <si>
    <t>448-61-3783</t>
  </si>
  <si>
    <t>761-49-0439</t>
  </si>
  <si>
    <t>490-95-0021</t>
  </si>
  <si>
    <t>311-13-6971</t>
  </si>
  <si>
    <t>548-48-3156</t>
  </si>
  <si>
    <t>460-93-5834</t>
  </si>
  <si>
    <t>325-89-4209</t>
  </si>
  <si>
    <t>884-80-6021</t>
  </si>
  <si>
    <t>880-46-5796</t>
  </si>
  <si>
    <t>389-70-2397</t>
  </si>
  <si>
    <t>114-35-5271</t>
  </si>
  <si>
    <t>715-20-1673</t>
  </si>
  <si>
    <t>811-35-1094</t>
  </si>
  <si>
    <t>699-88-1972</t>
  </si>
  <si>
    <t>409-49-6995</t>
  </si>
  <si>
    <t>725-54-0677</t>
  </si>
  <si>
    <t>146-09-5432</t>
  </si>
  <si>
    <t>377-79-7592</t>
  </si>
  <si>
    <t>595-94-9924</t>
  </si>
  <si>
    <t>865-41-9075</t>
  </si>
  <si>
    <t>545-07-8534</t>
  </si>
  <si>
    <t>450-42-3339</t>
  </si>
  <si>
    <t>851-98-3555</t>
  </si>
  <si>
    <t>186-71-5196</t>
  </si>
  <si>
    <t>313-66-9943</t>
  </si>
  <si>
    <t>151-27-8496</t>
  </si>
  <si>
    <t>459-45-2396</t>
  </si>
  <si>
    <t>717-96-4189</t>
  </si>
  <si>
    <t>722-13-2115</t>
  </si>
  <si>
    <t>636-98-3364</t>
  </si>
  <si>
    <t>887-42-0517</t>
  </si>
  <si>
    <t>457-12-0244</t>
  </si>
  <si>
    <t>226-34-0034</t>
  </si>
  <si>
    <t>321-49-7382</t>
  </si>
  <si>
    <t>397-25-8725</t>
  </si>
  <si>
    <t>431-66-2305</t>
  </si>
  <si>
    <t>825-94-5922</t>
  </si>
  <si>
    <t>243-55-8457</t>
  </si>
  <si>
    <t>458-10-8612</t>
  </si>
  <si>
    <t>433-08-7822</t>
  </si>
  <si>
    <t>361-85-2571</t>
  </si>
  <si>
    <t>131-70-8179</t>
  </si>
  <si>
    <t>500-02-2261</t>
  </si>
  <si>
    <t>720-72-2436</t>
  </si>
  <si>
    <t>449-16-6770</t>
  </si>
  <si>
    <t>333-23-2632</t>
  </si>
  <si>
    <t>489-82-1237</t>
  </si>
  <si>
    <t>859-97-6048</t>
  </si>
  <si>
    <t>365-16-4334</t>
  </si>
  <si>
    <t>503-21-4385</t>
  </si>
  <si>
    <t>574-80-1489</t>
  </si>
  <si>
    <t>784-08-0310</t>
  </si>
  <si>
    <t>577-34-7579</t>
  </si>
  <si>
    <t>430-02-3888</t>
  </si>
  <si>
    <t>384-59-6655</t>
  </si>
  <si>
    <t>324-92-3863</t>
  </si>
  <si>
    <t>364-34-2972</t>
  </si>
  <si>
    <t>794-42-3736</t>
  </si>
  <si>
    <t>172-42-8274</t>
  </si>
  <si>
    <t>605-03-2706</t>
  </si>
  <si>
    <t>214-30-2776</t>
  </si>
  <si>
    <t>746-04-1077</t>
  </si>
  <si>
    <t>452-04-8808</t>
  </si>
  <si>
    <t>221-25-5073</t>
  </si>
  <si>
    <t>518-71-6847</t>
  </si>
  <si>
    <t>156-20-0370</t>
  </si>
  <si>
    <t>151-33-7434</t>
  </si>
  <si>
    <t>728-47-9078</t>
  </si>
  <si>
    <t>809-46-1866</t>
  </si>
  <si>
    <t>139-32-4183</t>
  </si>
  <si>
    <t>148-41-7930</t>
  </si>
  <si>
    <t>189-40-5216</t>
  </si>
  <si>
    <t>764-44-8999</t>
  </si>
  <si>
    <t>552-44-5977</t>
  </si>
  <si>
    <t>267-62-7380</t>
  </si>
  <si>
    <t>430-53-4718</t>
  </si>
  <si>
    <t>886-18-2897</t>
  </si>
  <si>
    <t>602-16-6955</t>
  </si>
  <si>
    <t>745-74-0715</t>
  </si>
  <si>
    <t>652-49-6720</t>
  </si>
  <si>
    <t>233-67-5758</t>
  </si>
  <si>
    <t>727-02-1313</t>
  </si>
  <si>
    <t>Categorization using Vlookup / JOINING Tables</t>
  </si>
  <si>
    <t>PRODUCT TABLE</t>
  </si>
  <si>
    <t>Sports</t>
  </si>
  <si>
    <t>Food and beverages</t>
  </si>
  <si>
    <t>Health and beauty</t>
  </si>
  <si>
    <t>Electronic accessories</t>
  </si>
  <si>
    <t>What product is bought in Chennai with rating 4.4 by  male non member ?</t>
  </si>
  <si>
    <t>Count of Product</t>
  </si>
  <si>
    <t>Which category has the highest rating given by normal customer in Delhi in Oct 2019</t>
  </si>
  <si>
    <t>Max of Rating</t>
  </si>
  <si>
    <t>What is the profit for a product sold to male member in MUMBAI with rating above 8</t>
  </si>
  <si>
    <t>Sum of Profit</t>
  </si>
  <si>
    <t>CONDITIONAL FORMATTING</t>
  </si>
  <si>
    <t>Quantity2</t>
  </si>
  <si>
    <t>Quantity3</t>
  </si>
  <si>
    <t>Quantity4</t>
  </si>
  <si>
    <t>Between 5-8 (GREY)</t>
  </si>
  <si>
    <t>&lt;4 (RED)</t>
  </si>
  <si>
    <t>&gt;7 (GREEN)</t>
  </si>
  <si>
    <t>"=9" (BLUE)</t>
  </si>
  <si>
    <t>Text that contain AR</t>
  </si>
  <si>
    <t>Product ID</t>
  </si>
  <si>
    <t>AR123</t>
  </si>
  <si>
    <t>TR123</t>
  </si>
  <si>
    <t>AR345</t>
  </si>
  <si>
    <t>ART56</t>
  </si>
  <si>
    <t>BR456</t>
  </si>
  <si>
    <t>DATA BARS</t>
  </si>
  <si>
    <t>COLOR SCALES</t>
  </si>
  <si>
    <t>ICONS</t>
  </si>
  <si>
    <t>For Blank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</si>
</sst>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12">
    <font>
      <sz val="11"/>
      <color theme="1"/>
      <name val="Calibri"/>
      <family val="2"/>
    </font>
    <font>
      <b/>
      <sz val="12"/>
      <color theme="0"/>
      <name val="Times New Roman"/>
      <family val="1"/>
    </font>
    <font>
      <sz val="12"/>
      <color theme="1"/>
      <name val="Times New Roman"/>
      <family val="1"/>
    </font>
    <font>
      <b/>
      <sz val="20"/>
      <color theme="0"/>
      <name val="Times New Roman"/>
      <family val="1"/>
    </font>
    <font>
      <sz val="20"/>
      <color theme="1"/>
      <name val="Calibri"/>
      <family val="2"/>
    </font>
    <font>
      <b/>
      <sz val="12"/>
      <color theme="1"/>
      <name val="Times New Roman"/>
      <family val="1"/>
    </font>
    <font>
      <b/>
      <sz val="11"/>
      <color theme="1"/>
      <name val="Calibri"/>
      <family val="2"/>
    </font>
    <font>
      <sz val="10"/>
      <color theme="1"/>
      <name val="Arial Unicode MS"/>
    </font>
    <font>
      <b/>
      <sz val="11"/>
      <color theme="1"/>
      <name val="Calibri"/>
      <family val="2"/>
      <scheme val="minor"/>
    </font>
    <font>
      <b/>
      <i/>
      <sz val="11"/>
      <color theme="1"/>
      <name val="Calibri"/>
      <family val="2"/>
      <scheme val="minor"/>
    </font>
    <font>
      <sz val="8"/>
      <name val="Calibri"/>
      <family val="2"/>
    </font>
    <font>
      <b/>
      <sz val="22"/>
      <color theme="0"/>
      <name val="Times New Roman"/>
      <family val="1"/>
    </font>
  </fonts>
  <fills count="4">
    <fill>
      <patternFill patternType="none"/>
    </fill>
    <fill>
      <patternFill patternType="gray125"/>
    </fill>
    <fill>
      <patternFill patternType="solid">
        <fgColor theme="1"/>
        <bgColor indexed="64"/>
      </patternFill>
    </fill>
    <fill>
      <patternFill patternType="solid">
        <fgColor theme="2" tint="-9.9978637043366805E-2"/>
        <bgColor indexed="64"/>
      </patternFill>
    </fill>
  </fills>
  <borders count="41">
    <border>
      <left/>
      <right/>
      <top/>
      <bottom/>
      <diagonal/>
    </border>
    <border>
      <left/>
      <right style="thin">
        <color theme="1" tint="0.499984740745262"/>
      </right>
      <top style="thin">
        <color theme="1" tint="0.499984740745262"/>
      </top>
      <bottom/>
      <diagonal/>
    </border>
    <border>
      <left/>
      <right style="thin">
        <color theme="1" tint="0.499984740745262"/>
      </right>
      <top style="medium">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right/>
      <top/>
      <bottom style="thin">
        <color theme="1" tint="0.499984740745262"/>
      </bottom>
      <diagonal/>
    </border>
    <border>
      <left/>
      <right/>
      <top style="medium">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style="thin">
        <color theme="4" tint="0.39997558519241921"/>
      </bottom>
      <diagonal/>
    </border>
    <border>
      <left style="thin">
        <color theme="1" tint="0.499984740745262"/>
      </left>
      <right style="thin">
        <color theme="1" tint="0.499984740745262"/>
      </right>
      <top/>
      <bottom/>
      <diagonal/>
    </border>
    <border>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style="thin">
        <color theme="1" tint="0.499984740745262"/>
      </left>
      <right/>
      <top style="thin">
        <color theme="1" tint="0.499984740745262"/>
      </top>
      <bottom style="medium">
        <color theme="1" tint="0.499984740745262"/>
      </bottom>
      <diagonal/>
    </border>
    <border>
      <left style="thin">
        <color theme="1" tint="0.499984740745262"/>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1" tint="0.499984740745262"/>
      </top>
      <bottom style="thin">
        <color theme="1" tint="0.499984740745262"/>
      </bottom>
      <diagonal/>
    </border>
    <border>
      <left/>
      <right/>
      <top/>
      <bottom style="thin">
        <color theme="4" tint="0.39997558519241921"/>
      </bottom>
      <diagonal/>
    </border>
    <border>
      <left/>
      <right/>
      <top style="thin">
        <color theme="1" tint="0.499984740745262"/>
      </top>
      <bottom/>
      <diagonal/>
    </border>
    <border>
      <left style="thin">
        <color theme="4" tint="0.39997558519241921"/>
      </left>
      <right/>
      <top style="thin">
        <color theme="1" tint="0.499984740745262"/>
      </top>
      <bottom/>
      <diagonal/>
    </border>
    <border>
      <left style="thin">
        <color theme="1" tint="0.499984740745262"/>
      </left>
      <right/>
      <top style="medium">
        <color theme="1" tint="0.499984740745262"/>
      </top>
      <bottom/>
      <diagonal/>
    </border>
    <border>
      <left/>
      <right/>
      <top style="medium">
        <color theme="1" tint="0.499984740745262"/>
      </top>
      <bottom/>
      <diagonal/>
    </border>
    <border>
      <left style="thin">
        <color theme="1" tint="0.499984740745262"/>
      </left>
      <right/>
      <top style="thin">
        <color theme="1" tint="0.499984740745262"/>
      </top>
      <bottom style="thin">
        <color theme="4" tint="0.39997558519241921"/>
      </bottom>
      <diagonal/>
    </border>
    <border>
      <left style="thin">
        <color theme="1" tint="0.499984740745262"/>
      </left>
      <right/>
      <top style="medium">
        <color theme="1" tint="0.499984740745262"/>
      </top>
      <bottom style="thin">
        <color theme="4" tint="0.39997558519241921"/>
      </bottom>
      <diagonal/>
    </border>
    <border>
      <left style="thin">
        <color theme="1" tint="0.499984740745262"/>
      </left>
      <right style="thin">
        <color theme="1" tint="0.499984740745262"/>
      </right>
      <top style="medium">
        <color theme="1" tint="0.499984740745262"/>
      </top>
      <bottom style="thin">
        <color theme="4" tint="0.39997558519241921"/>
      </bottom>
      <diagonal/>
    </border>
    <border>
      <left/>
      <right/>
      <top style="thin">
        <color theme="1" tint="0.499984740745262"/>
      </top>
      <bottom style="thin">
        <color theme="4" tint="0.39997558519241921"/>
      </bottom>
      <diagonal/>
    </border>
    <border>
      <left/>
      <right/>
      <top style="medium">
        <color theme="1" tint="0.499984740745262"/>
      </top>
      <bottom style="thin">
        <color theme="4" tint="0.39997558519241921"/>
      </bottom>
      <diagonal/>
    </border>
    <border>
      <left style="thin">
        <color theme="1" tint="0.499984740745262"/>
      </left>
      <right/>
      <top/>
      <bottom style="thin">
        <color theme="4" tint="0.39997558519241921"/>
      </bottom>
      <diagonal/>
    </border>
    <border>
      <left style="thin">
        <color theme="1" tint="0.499984740745262"/>
      </left>
      <right style="thin">
        <color theme="1" tint="0.499984740745262"/>
      </right>
      <top/>
      <bottom style="thin">
        <color theme="4" tint="0.39997558519241921"/>
      </bottom>
      <diagonal/>
    </border>
    <border>
      <left style="thin">
        <color theme="4" tint="0.39997558519241921"/>
      </left>
      <right/>
      <top/>
      <bottom/>
      <diagonal/>
    </border>
    <border>
      <left style="thin">
        <color theme="4" tint="0.39997558519241921"/>
      </left>
      <right style="thin">
        <color theme="4" tint="0.39997558519241921"/>
      </right>
      <top style="thin">
        <color theme="1" tint="0.499984740745262"/>
      </top>
      <bottom style="thin">
        <color theme="4" tint="0.39997558519241921"/>
      </bottom>
      <diagonal/>
    </border>
  </borders>
  <cellStyleXfs count="1">
    <xf numFmtId="0" fontId="0" fillId="0" borderId="0"/>
  </cellStyleXfs>
  <cellXfs count="95">
    <xf numFmtId="0" fontId="0" fillId="0" borderId="0" xfId="0"/>
    <xf numFmtId="0" fontId="1" fillId="2" borderId="1" xfId="0" applyFont="1" applyFill="1" applyBorder="1" applyAlignment="1">
      <alignment horizontal="left"/>
    </xf>
    <xf numFmtId="0" fontId="2" fillId="3" borderId="2" xfId="0" applyFont="1" applyFill="1" applyBorder="1"/>
    <xf numFmtId="0" fontId="2" fillId="3" borderId="3" xfId="0" applyFont="1" applyFill="1" applyBorder="1"/>
    <xf numFmtId="0" fontId="2" fillId="3" borderId="4" xfId="0" applyFont="1" applyFill="1" applyBorder="1"/>
    <xf numFmtId="0" fontId="2" fillId="3" borderId="5" xfId="0" applyFont="1" applyFill="1" applyBorder="1"/>
    <xf numFmtId="0" fontId="4" fillId="0" borderId="0" xfId="0" applyFont="1" applyAlignment="1">
      <alignment horizontal="center" vertical="center"/>
    </xf>
    <xf numFmtId="0" fontId="2" fillId="3" borderId="7" xfId="0" applyFont="1" applyFill="1" applyBorder="1"/>
    <xf numFmtId="0" fontId="2" fillId="3" borderId="8" xfId="0" applyFont="1" applyFill="1" applyBorder="1"/>
    <xf numFmtId="0" fontId="1" fillId="2" borderId="9" xfId="0" applyFont="1" applyFill="1" applyBorder="1" applyAlignment="1">
      <alignment horizontal="left"/>
    </xf>
    <xf numFmtId="0" fontId="1" fillId="2" borderId="0" xfId="0" applyFont="1" applyFill="1" applyAlignment="1">
      <alignment horizontal="left"/>
    </xf>
    <xf numFmtId="0" fontId="2" fillId="3" borderId="10" xfId="0" applyFont="1" applyFill="1" applyBorder="1"/>
    <xf numFmtId="0" fontId="2" fillId="3" borderId="1" xfId="0" applyFont="1" applyFill="1" applyBorder="1"/>
    <xf numFmtId="0" fontId="2" fillId="3" borderId="11" xfId="0" applyFont="1" applyFill="1" applyBorder="1"/>
    <xf numFmtId="14" fontId="2" fillId="3" borderId="2" xfId="0" applyNumberFormat="1" applyFont="1" applyFill="1" applyBorder="1"/>
    <xf numFmtId="14" fontId="2" fillId="3" borderId="4" xfId="0" applyNumberFormat="1" applyFont="1" applyFill="1" applyBorder="1"/>
    <xf numFmtId="14" fontId="2" fillId="3" borderId="10" xfId="0" applyNumberFormat="1" applyFont="1" applyFill="1" applyBorder="1"/>
    <xf numFmtId="2" fontId="2" fillId="3" borderId="2" xfId="0" applyNumberFormat="1" applyFont="1" applyFill="1" applyBorder="1"/>
    <xf numFmtId="2" fontId="2" fillId="3" borderId="3" xfId="0" applyNumberFormat="1" applyFont="1" applyFill="1" applyBorder="1"/>
    <xf numFmtId="2" fontId="2" fillId="3" borderId="1" xfId="0" applyNumberFormat="1" applyFont="1" applyFill="1" applyBorder="1"/>
    <xf numFmtId="0" fontId="1" fillId="2" borderId="12" xfId="0" applyFont="1" applyFill="1" applyBorder="1" applyAlignment="1">
      <alignment horizontal="left"/>
    </xf>
    <xf numFmtId="0" fontId="5" fillId="3" borderId="2" xfId="0" applyFont="1" applyFill="1" applyBorder="1"/>
    <xf numFmtId="0" fontId="5" fillId="3" borderId="4" xfId="0" applyFont="1" applyFill="1" applyBorder="1"/>
    <xf numFmtId="0" fontId="3" fillId="2" borderId="0" xfId="0" applyFont="1" applyFill="1" applyAlignment="1">
      <alignment horizontal="left"/>
    </xf>
    <xf numFmtId="0" fontId="3" fillId="2" borderId="13" xfId="0" applyFont="1" applyFill="1" applyBorder="1" applyAlignment="1">
      <alignment horizontal="left"/>
    </xf>
    <xf numFmtId="164" fontId="2" fillId="3" borderId="5" xfId="0" applyNumberFormat="1" applyFont="1" applyFill="1" applyBorder="1"/>
    <xf numFmtId="164" fontId="2" fillId="3" borderId="4" xfId="0" applyNumberFormat="1" applyFont="1" applyFill="1" applyBorder="1"/>
    <xf numFmtId="0" fontId="0" fillId="0" borderId="0" xfId="0" applyAlignment="1">
      <alignment wrapText="1"/>
    </xf>
    <xf numFmtId="0" fontId="0" fillId="0" borderId="0" xfId="0" applyAlignment="1">
      <alignment horizontal="left"/>
    </xf>
    <xf numFmtId="0" fontId="3" fillId="2" borderId="6" xfId="0" applyFont="1" applyFill="1" applyBorder="1" applyAlignment="1">
      <alignment horizontal="left"/>
    </xf>
    <xf numFmtId="0" fontId="3" fillId="2" borderId="1" xfId="0" applyFont="1" applyFill="1" applyBorder="1" applyAlignment="1">
      <alignment horizontal="left"/>
    </xf>
    <xf numFmtId="0" fontId="2" fillId="3" borderId="4" xfId="0" quotePrefix="1" applyFont="1" applyFill="1" applyBorder="1"/>
    <xf numFmtId="0" fontId="5" fillId="3" borderId="5" xfId="0" applyFont="1" applyFill="1" applyBorder="1"/>
    <xf numFmtId="165" fontId="2" fillId="3" borderId="4" xfId="0" applyNumberFormat="1" applyFont="1" applyFill="1" applyBorder="1"/>
    <xf numFmtId="0" fontId="8" fillId="0" borderId="18" xfId="0" applyFont="1" applyBorder="1"/>
    <xf numFmtId="0" fontId="0" fillId="0" borderId="19" xfId="0" applyBorder="1"/>
    <xf numFmtId="0" fontId="0" fillId="0" borderId="19" xfId="0" applyBorder="1" applyAlignment="1">
      <alignment horizontal="center"/>
    </xf>
    <xf numFmtId="0" fontId="0" fillId="0" borderId="20" xfId="0" applyBorder="1"/>
    <xf numFmtId="0" fontId="8" fillId="0" borderId="21" xfId="0" applyFont="1" applyBorder="1"/>
    <xf numFmtId="0" fontId="0" fillId="0" borderId="0" xfId="0" applyAlignment="1">
      <alignment horizontal="center"/>
    </xf>
    <xf numFmtId="0" fontId="0" fillId="0" borderId="22" xfId="0" applyBorder="1"/>
    <xf numFmtId="0" fontId="0" fillId="0" borderId="21" xfId="0" applyBorder="1"/>
    <xf numFmtId="0" fontId="0" fillId="0" borderId="23" xfId="0" applyBorder="1"/>
    <xf numFmtId="0" fontId="0" fillId="0" borderId="24" xfId="0" applyBorder="1"/>
    <xf numFmtId="0" fontId="0" fillId="0" borderId="24" xfId="0" applyBorder="1" applyAlignment="1">
      <alignment horizontal="center"/>
    </xf>
    <xf numFmtId="0" fontId="0" fillId="0" borderId="25" xfId="0" applyBorder="1"/>
    <xf numFmtId="0" fontId="0" fillId="0" borderId="21" xfId="0" applyBorder="1" applyAlignment="1">
      <alignment horizontal="center"/>
    </xf>
    <xf numFmtId="0" fontId="9" fillId="0" borderId="0" xfId="0" applyFont="1" applyAlignment="1">
      <alignment horizontal="center"/>
    </xf>
    <xf numFmtId="0" fontId="8" fillId="0" borderId="21" xfId="0" applyFont="1" applyBorder="1" applyAlignment="1">
      <alignment horizontal="center"/>
    </xf>
    <xf numFmtId="0" fontId="6" fillId="0" borderId="0" xfId="0" applyFont="1"/>
    <xf numFmtId="0" fontId="1" fillId="2" borderId="1" xfId="0" applyFont="1" applyFill="1" applyBorder="1" applyAlignment="1">
      <alignment horizontal="left" wrapText="1"/>
    </xf>
    <xf numFmtId="0" fontId="1" fillId="2" borderId="26" xfId="0" applyFont="1" applyFill="1" applyBorder="1" applyAlignment="1">
      <alignment horizontal="center"/>
    </xf>
    <xf numFmtId="1" fontId="2" fillId="3" borderId="4" xfId="0" applyNumberFormat="1" applyFont="1" applyFill="1" applyBorder="1"/>
    <xf numFmtId="2" fontId="2" fillId="3" borderId="4" xfId="0" applyNumberFormat="1" applyFont="1" applyFill="1" applyBorder="1"/>
    <xf numFmtId="0" fontId="8" fillId="0" borderId="0" xfId="0" quotePrefix="1" applyFont="1" applyAlignment="1">
      <alignment horizontal="left"/>
    </xf>
    <xf numFmtId="0" fontId="1" fillId="2" borderId="26" xfId="0" applyFont="1" applyFill="1" applyBorder="1" applyAlignment="1">
      <alignment horizontal="left"/>
    </xf>
    <xf numFmtId="1" fontId="0" fillId="0" borderId="0" xfId="0" applyNumberFormat="1"/>
    <xf numFmtId="0" fontId="1" fillId="2" borderId="16" xfId="0" applyFont="1" applyFill="1" applyBorder="1"/>
    <xf numFmtId="0" fontId="0" fillId="0" borderId="0" xfId="0" pivotButton="1"/>
    <xf numFmtId="0" fontId="1" fillId="2" borderId="0" xfId="0" applyFont="1" applyFill="1" applyAlignment="1">
      <alignment horizontal="left" wrapText="1"/>
    </xf>
    <xf numFmtId="0" fontId="1" fillId="2" borderId="29" xfId="0" applyFont="1" applyFill="1" applyBorder="1" applyAlignment="1">
      <alignment horizontal="left"/>
    </xf>
    <xf numFmtId="0" fontId="2" fillId="3" borderId="30" xfId="0" applyFont="1" applyFill="1" applyBorder="1"/>
    <xf numFmtId="0" fontId="2" fillId="3" borderId="28" xfId="0" applyFont="1" applyFill="1" applyBorder="1"/>
    <xf numFmtId="0" fontId="1" fillId="2" borderId="17" xfId="0" applyFont="1" applyFill="1" applyBorder="1" applyAlignment="1">
      <alignment horizontal="left"/>
    </xf>
    <xf numFmtId="0" fontId="1" fillId="2" borderId="17" xfId="0" applyFont="1" applyFill="1" applyBorder="1" applyAlignment="1">
      <alignment horizontal="left" wrapText="1"/>
    </xf>
    <xf numFmtId="0" fontId="1" fillId="2" borderId="32" xfId="0" applyFont="1" applyFill="1" applyBorder="1" applyAlignment="1">
      <alignment horizontal="left"/>
    </xf>
    <xf numFmtId="0" fontId="2" fillId="3" borderId="33" xfId="0" applyFont="1" applyFill="1" applyBorder="1"/>
    <xf numFmtId="0" fontId="2" fillId="3" borderId="34" xfId="0" applyFont="1" applyFill="1" applyBorder="1"/>
    <xf numFmtId="0" fontId="2" fillId="3" borderId="32" xfId="0" applyFont="1" applyFill="1" applyBorder="1"/>
    <xf numFmtId="0" fontId="2" fillId="3" borderId="36" xfId="0" applyFont="1" applyFill="1" applyBorder="1"/>
    <xf numFmtId="0" fontId="2" fillId="3" borderId="35" xfId="0" applyFont="1" applyFill="1" applyBorder="1"/>
    <xf numFmtId="0" fontId="1" fillId="2" borderId="27" xfId="0" applyFont="1" applyFill="1" applyBorder="1" applyAlignment="1">
      <alignment horizontal="left"/>
    </xf>
    <xf numFmtId="0" fontId="1" fillId="2" borderId="37" xfId="0" applyFont="1" applyFill="1" applyBorder="1" applyAlignment="1">
      <alignment horizontal="left" wrapText="1"/>
    </xf>
    <xf numFmtId="0" fontId="1" fillId="2" borderId="37" xfId="0" applyFont="1" applyFill="1" applyBorder="1" applyAlignment="1">
      <alignment horizontal="left"/>
    </xf>
    <xf numFmtId="0" fontId="1" fillId="2" borderId="38" xfId="0" applyFont="1" applyFill="1" applyBorder="1" applyAlignment="1">
      <alignment horizontal="left" wrapText="1"/>
    </xf>
    <xf numFmtId="14" fontId="2" fillId="3" borderId="31" xfId="0" applyNumberFormat="1" applyFont="1" applyFill="1" applyBorder="1"/>
    <xf numFmtId="14" fontId="2" fillId="3" borderId="28" xfId="0" applyNumberFormat="1" applyFont="1" applyFill="1" applyBorder="1"/>
    <xf numFmtId="14" fontId="2" fillId="3" borderId="35" xfId="0" applyNumberFormat="1" applyFont="1" applyFill="1" applyBorder="1"/>
    <xf numFmtId="14" fontId="2" fillId="3" borderId="36" xfId="0" applyNumberFormat="1" applyFont="1" applyFill="1" applyBorder="1"/>
    <xf numFmtId="0" fontId="1" fillId="2" borderId="39" xfId="0" applyFont="1" applyFill="1" applyBorder="1" applyAlignment="1">
      <alignment horizontal="left"/>
    </xf>
    <xf numFmtId="0" fontId="1" fillId="2" borderId="40" xfId="0" applyFont="1" applyFill="1" applyBorder="1" applyAlignment="1">
      <alignment horizontal="left"/>
    </xf>
    <xf numFmtId="0" fontId="1" fillId="2" borderId="6" xfId="0" applyFont="1" applyFill="1" applyBorder="1" applyAlignment="1">
      <alignment horizontal="center"/>
    </xf>
    <xf numFmtId="0" fontId="3" fillId="2" borderId="0" xfId="0" applyFont="1" applyFill="1" applyAlignment="1">
      <alignment horizontal="center" vertical="center"/>
    </xf>
    <xf numFmtId="0" fontId="3" fillId="2" borderId="0" xfId="0" applyFont="1" applyFill="1" applyAlignment="1">
      <alignment horizontal="left"/>
    </xf>
    <xf numFmtId="0" fontId="3" fillId="2" borderId="6" xfId="0" applyFont="1" applyFill="1" applyBorder="1" applyAlignment="1">
      <alignment horizontal="left"/>
    </xf>
    <xf numFmtId="0" fontId="2" fillId="3" borderId="17" xfId="0" applyFont="1" applyFill="1" applyBorder="1" applyAlignment="1">
      <alignment horizontal="center"/>
    </xf>
    <xf numFmtId="0" fontId="2" fillId="3" borderId="0" xfId="0" applyFont="1" applyFill="1" applyAlignment="1">
      <alignment horizontal="center"/>
    </xf>
    <xf numFmtId="0" fontId="1" fillId="2" borderId="16" xfId="0" applyFont="1" applyFill="1" applyBorder="1" applyAlignment="1">
      <alignment horizontal="left"/>
    </xf>
    <xf numFmtId="0" fontId="1" fillId="2" borderId="14" xfId="0" applyFont="1" applyFill="1" applyBorder="1" applyAlignment="1">
      <alignment horizontal="left"/>
    </xf>
    <xf numFmtId="0" fontId="1" fillId="2" borderId="15" xfId="0" applyFont="1" applyFill="1" applyBorder="1" applyAlignment="1">
      <alignment horizontal="left"/>
    </xf>
    <xf numFmtId="0" fontId="1" fillId="2" borderId="0" xfId="0" applyFont="1" applyFill="1" applyAlignment="1">
      <alignment horizontal="center"/>
    </xf>
    <xf numFmtId="0" fontId="1" fillId="2" borderId="26" xfId="0" applyFont="1" applyFill="1" applyBorder="1" applyAlignment="1">
      <alignment horizontal="center"/>
    </xf>
    <xf numFmtId="0" fontId="1" fillId="2" borderId="3" xfId="0" applyFont="1" applyFill="1" applyBorder="1" applyAlignment="1">
      <alignment horizontal="center"/>
    </xf>
    <xf numFmtId="0" fontId="11" fillId="2" borderId="0" xfId="0" applyFont="1" applyFill="1" applyAlignment="1">
      <alignment horizontal="center" vertical="center" wrapText="1"/>
    </xf>
    <xf numFmtId="0" fontId="3" fillId="2" borderId="6" xfId="0" applyFont="1" applyFill="1" applyBorder="1" applyAlignment="1">
      <alignment horizontal="center" vertical="center" wrapText="1"/>
    </xf>
  </cellXfs>
  <cellStyles count="1">
    <cellStyle name="Normal" xfId="0" builtinId="0"/>
  </cellStyles>
  <dxfs count="77">
    <dxf>
      <fill>
        <patternFill>
          <bgColor rgb="FFFF0000"/>
        </patternFill>
      </fill>
    </dxf>
    <dxf>
      <fill>
        <patternFill>
          <bgColor rgb="FF00B0F0"/>
        </patternFill>
      </fill>
    </dxf>
    <dxf>
      <font>
        <color rgb="FFFF0000"/>
      </font>
      <fill>
        <patternFill patternType="none">
          <bgColor auto="1"/>
        </patternFill>
      </fill>
    </dxf>
    <dxf>
      <fill>
        <patternFill>
          <bgColor rgb="FF00B0F0"/>
        </patternFill>
      </fill>
    </dxf>
    <dxf>
      <fill>
        <patternFill>
          <bgColor theme="1" tint="0.34998626667073579"/>
        </patternFill>
      </fill>
    </dxf>
    <dxf>
      <fill>
        <patternFill>
          <bgColor rgb="FFFF0000"/>
        </patternFill>
      </fill>
    </dxf>
    <dxf>
      <fill>
        <patternFill>
          <bgColor rgb="FF00B050"/>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border outline="0">
        <top style="thin">
          <color theme="1" tint="0.499984740745262"/>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dxf>
    <dxf>
      <font>
        <b/>
        <i val="0"/>
        <strike val="0"/>
        <condense val="0"/>
        <extend val="0"/>
        <outline val="0"/>
        <shadow val="0"/>
        <u val="none"/>
        <vertAlign val="baseline"/>
        <sz val="12"/>
        <color theme="0"/>
        <name val="Times New Roman"/>
        <family val="1"/>
        <scheme val="none"/>
      </font>
      <fill>
        <patternFill patternType="solid">
          <fgColor indexed="64"/>
          <bgColor theme="1"/>
        </patternFill>
      </fill>
      <alignment horizontal="left" vertical="bottom" textRotation="0" wrapText="0" indent="0" justifyLastLine="0" shrinkToFit="0" readingOrder="0"/>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right/>
        <top style="thin">
          <color theme="1" tint="0.499984740745262"/>
        </top>
        <bottom style="thin">
          <color theme="4" tint="0.39997558519241921"/>
        </bottom>
        <vertical/>
        <horizontal/>
      </border>
    </dxf>
    <dxf>
      <border outline="0">
        <left style="thin">
          <color theme="1" tint="0.499984740745262"/>
        </left>
        <top style="thin">
          <color theme="1" tint="0.499984740745262"/>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Times New Roman"/>
        <family val="1"/>
        <scheme val="none"/>
      </font>
      <fill>
        <patternFill patternType="solid">
          <fgColor indexed="64"/>
          <bgColor theme="1"/>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right/>
        <top style="thin">
          <color theme="1" tint="0.499984740745262"/>
        </top>
        <bottom style="thin">
          <color theme="4" tint="0.39997558519241921"/>
        </bottom>
        <vertical/>
        <horizontal/>
      </border>
    </dxf>
    <dxf>
      <border outline="0">
        <left style="thin">
          <color theme="1" tint="0.499984740745262"/>
        </left>
        <top style="thin">
          <color theme="1" tint="0.499984740745262"/>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dxf>
    <dxf>
      <border outline="0">
        <bottom style="thin">
          <color theme="4" tint="0.39997558519241921"/>
        </bottom>
      </border>
    </dxf>
    <dxf>
      <font>
        <b/>
        <i val="0"/>
        <strike val="0"/>
        <condense val="0"/>
        <extend val="0"/>
        <outline val="0"/>
        <shadow val="0"/>
        <u val="none"/>
        <vertAlign val="baseline"/>
        <sz val="12"/>
        <color theme="0"/>
        <name val="Times New Roman"/>
        <family val="1"/>
        <scheme val="none"/>
      </font>
      <fill>
        <patternFill patternType="solid">
          <fgColor indexed="64"/>
          <bgColor theme="1"/>
        </patternFill>
      </fill>
      <alignment horizontal="left" vertical="bottom" textRotation="0" wrapText="1" indent="0" justifyLastLine="0" shrinkToFit="0" readingOrder="0"/>
      <border diagonalUp="0" diagonalDown="0" outline="0">
        <left style="thin">
          <color theme="1" tint="0.499984740745262"/>
        </left>
        <right style="thin">
          <color theme="1" tint="0.499984740745262"/>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numFmt numFmtId="0" formatCode="General"/>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top style="thin">
          <color theme="1" tint="0.499984740745262"/>
        </top>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outline="0">
        <left/>
        <right/>
        <top style="thin">
          <color theme="1" tint="0.499984740745262"/>
        </top>
        <bottom/>
      </border>
    </dxf>
    <dxf>
      <font>
        <b val="0"/>
        <i val="0"/>
        <strike val="0"/>
        <condense val="0"/>
        <extend val="0"/>
        <outline val="0"/>
        <shadow val="0"/>
        <u val="none"/>
        <vertAlign val="baseline"/>
        <sz val="12"/>
        <color theme="1"/>
        <name val="Times New Roman"/>
        <family val="1"/>
        <scheme val="none"/>
      </font>
      <numFmt numFmtId="19" formatCode="dd/mm/yyyy"/>
      <fill>
        <patternFill patternType="solid">
          <fgColor indexed="64"/>
          <bgColor theme="2" tint="-9.9978637043366805E-2"/>
        </patternFill>
      </fill>
      <border diagonalUp="0" diagonalDown="0" outline="0">
        <left/>
        <right/>
        <top style="thin">
          <color theme="1" tint="0.499984740745262"/>
        </top>
        <bottom/>
      </border>
    </dxf>
    <dxf>
      <border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dxf>
    <dxf>
      <font>
        <b/>
        <i val="0"/>
        <strike val="0"/>
        <condense val="0"/>
        <extend val="0"/>
        <outline val="0"/>
        <shadow val="0"/>
        <u val="none"/>
        <vertAlign val="baseline"/>
        <sz val="12"/>
        <color theme="0"/>
        <name val="Times New Roman"/>
        <family val="1"/>
        <scheme val="none"/>
      </font>
      <fill>
        <patternFill patternType="solid">
          <fgColor indexed="64"/>
          <bgColor theme="1"/>
        </patternFill>
      </fill>
      <alignment horizontal="left" vertical="bottom" textRotation="0" wrapText="1" indent="0" justifyLastLine="0" shrinkToFit="0" readingOrder="0"/>
    </dxf>
    <dxf>
      <font>
        <sz val="12"/>
        <name val="Times New Roman"/>
        <family val="1"/>
      </font>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12"/>
        <name val="Times New Roman"/>
        <family val="1"/>
      </font>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12"/>
        <name val="Times New Roman"/>
        <family val="1"/>
      </font>
      <fill>
        <patternFill patternType="solid">
          <fgColor indexed="64"/>
          <bgColor theme="2" tint="-9.9978637043366805E-2"/>
        </patternFill>
      </fill>
      <alignment horizontal="center" vertical="bottom" textRotation="0" wrapText="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12"/>
        <name val="Times New Roman"/>
        <family val="1"/>
      </font>
      <fill>
        <patternFill patternType="solid">
          <fgColor indexed="64"/>
          <bgColor theme="2" tint="-9.9978637043366805E-2"/>
        </patternFill>
      </fill>
      <alignment horizontal="center" vertical="bottom" textRotation="0" wrapText="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12"/>
        <name val="Times New Roman"/>
        <family val="1"/>
      </font>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12"/>
        <name val="Times New Roman"/>
        <family val="1"/>
      </font>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12"/>
        <name val="Times New Roman"/>
        <family val="1"/>
      </font>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12"/>
        <name val="Times New Roman"/>
        <family val="1"/>
      </font>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sz val="12"/>
        <name val="Times New Roman"/>
        <family val="1"/>
      </font>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z val="12"/>
        <name val="Times New Roman"/>
        <family val="1"/>
      </font>
      <fill>
        <patternFill patternType="solid">
          <fgColor indexed="64"/>
          <bgColor theme="2" tint="-9.9978637043366805E-2"/>
        </patternFill>
      </fill>
    </dxf>
    <dxf>
      <border outline="0">
        <bottom style="thin">
          <color indexed="64"/>
        </bottom>
      </border>
    </dxf>
    <dxf>
      <font>
        <b/>
        <i val="0"/>
        <strike val="0"/>
        <condense val="0"/>
        <extend val="0"/>
        <outline val="0"/>
        <shadow val="0"/>
        <u val="none"/>
        <vertAlign val="baseline"/>
        <sz val="12"/>
        <color theme="0"/>
        <name val="Times New Roman"/>
        <family val="1"/>
        <scheme val="none"/>
      </font>
      <fill>
        <patternFill patternType="solid">
          <fgColor indexed="64"/>
          <bgColor theme="1"/>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outline="0">
        <left style="thin">
          <color theme="1" tint="0.499984740745262"/>
        </left>
        <right/>
        <top style="thin">
          <color theme="1" tint="0.499984740745262"/>
        </top>
        <bottom style="thin">
          <color theme="1" tint="0.499984740745262"/>
        </bottom>
      </border>
    </dxf>
    <dxf>
      <font>
        <b val="0"/>
        <i val="0"/>
        <strike val="0"/>
        <condense val="0"/>
        <extend val="0"/>
        <outline val="0"/>
        <shadow val="0"/>
        <u val="none"/>
        <vertAlign val="baseline"/>
        <sz val="12"/>
        <color theme="1"/>
        <name val="Times New Roman"/>
        <family val="1"/>
        <scheme val="none"/>
      </font>
      <numFmt numFmtId="2" formatCode="0.00"/>
      <fill>
        <patternFill patternType="solid">
          <fgColor indexed="64"/>
          <bgColor theme="2" tint="-9.9978637043366805E-2"/>
        </patternFill>
      </fill>
      <border diagonalUp="0" diagonalDown="0"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2"/>
        <color theme="1"/>
        <name val="Times New Roman"/>
        <family val="1"/>
        <scheme val="none"/>
      </font>
      <numFmt numFmtId="0" formatCode="General"/>
      <fill>
        <patternFill patternType="solid">
          <fgColor indexed="64"/>
          <bgColor theme="2" tint="-9.9978637043366805E-2"/>
        </patternFill>
      </fill>
      <border diagonalUp="0" diagonalDown="0" outline="0">
        <left style="thin">
          <color theme="1" tint="0.499984740745262"/>
        </left>
        <right/>
        <top style="thin">
          <color theme="1" tint="0.499984740745262"/>
        </top>
        <bottom style="thin">
          <color theme="1" tint="0.499984740745262"/>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2"/>
        <color theme="1"/>
        <name val="Times New Roman"/>
        <family val="1"/>
        <scheme val="none"/>
      </font>
      <numFmt numFmtId="19" formatCode="dd/mm/yyyy"/>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2"/>
        <color theme="1"/>
        <name val="Times New Roman"/>
        <family val="1"/>
        <scheme val="none"/>
      </font>
      <numFmt numFmtId="0" formatCode="General"/>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2"/>
        <color theme="1"/>
        <name val="Times New Roman"/>
        <family val="1"/>
        <scheme val="none"/>
      </font>
      <fill>
        <patternFill patternType="solid">
          <fgColor indexed="64"/>
          <bgColor theme="2" tint="-9.9978637043366805E-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border outline="0">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2"/>
        <color theme="0"/>
        <name val="Times New Roman"/>
        <family val="1"/>
        <scheme val="none"/>
      </font>
      <fill>
        <patternFill patternType="solid">
          <fgColor indexed="64"/>
          <bgColor theme="1"/>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21" Type="http://schemas.openxmlformats.org/officeDocument/2006/relationships/pivotCacheDefinition" Target="pivotCache/pivotCacheDefinition3.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microsoft.com/office/2007/relationships/slicerCache" Target="slicerCaches/slicerCache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microsoft.com/office/2007/relationships/slicerCache" Target="slicerCaches/slicerCache1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142876</xdr:rowOff>
    </xdr:from>
    <xdr:to>
      <xdr:col>11</xdr:col>
      <xdr:colOff>0</xdr:colOff>
      <xdr:row>8</xdr:row>
      <xdr:rowOff>9526</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FE50CDF8-8CF3-181D-0879-B2E75FA52EC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105400" y="238126"/>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9</xdr:row>
      <xdr:rowOff>28575</xdr:rowOff>
    </xdr:from>
    <xdr:to>
      <xdr:col>11</xdr:col>
      <xdr:colOff>0</xdr:colOff>
      <xdr:row>14</xdr:row>
      <xdr:rowOff>9525</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4F1F39FE-6015-2477-6794-042480C0DA2E}"/>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105400" y="1647825"/>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xdr:colOff>
      <xdr:row>9</xdr:row>
      <xdr:rowOff>19051</xdr:rowOff>
    </xdr:from>
    <xdr:to>
      <xdr:col>15</xdr:col>
      <xdr:colOff>9525</xdr:colOff>
      <xdr:row>14</xdr:row>
      <xdr:rowOff>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551F76F8-3D66-6C9A-B2F7-F46A5153ED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58025" y="1638301"/>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xdr:row>
      <xdr:rowOff>133350</xdr:rowOff>
    </xdr:from>
    <xdr:to>
      <xdr:col>15</xdr:col>
      <xdr:colOff>0</xdr:colOff>
      <xdr:row>8</xdr:row>
      <xdr:rowOff>9525</xdr:rowOff>
    </xdr:to>
    <mc:AlternateContent xmlns:mc="http://schemas.openxmlformats.org/markup-compatibility/2006" xmlns:a14="http://schemas.microsoft.com/office/drawing/2010/main">
      <mc:Choice Requires="a14">
        <xdr:graphicFrame macro="">
          <xdr:nvGraphicFramePr>
            <xdr:cNvPr id="5" name="Rating">
              <a:extLst>
                <a:ext uri="{FF2B5EF4-FFF2-40B4-BE49-F238E27FC236}">
                  <a16:creationId xmlns:a16="http://schemas.microsoft.com/office/drawing/2014/main" id="{22618B8D-553D-DA52-D928-F3222D59AD0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048500" y="228600"/>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28575</xdr:colOff>
      <xdr:row>1</xdr:row>
      <xdr:rowOff>9526</xdr:rowOff>
    </xdr:from>
    <xdr:to>
      <xdr:col>16</xdr:col>
      <xdr:colOff>28575</xdr:colOff>
      <xdr:row>12</xdr:row>
      <xdr:rowOff>180976</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31495295-A83F-F9DE-82BE-5CD2D995315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391525" y="133351"/>
              <a:ext cx="182880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xdr:row>
      <xdr:rowOff>19050</xdr:rowOff>
    </xdr:from>
    <xdr:to>
      <xdr:col>13</xdr:col>
      <xdr:colOff>0</xdr:colOff>
      <xdr:row>7</xdr:row>
      <xdr:rowOff>9525</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051F56C1-2256-646E-BECC-5DA73050D4C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534150" y="142875"/>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8</xdr:row>
      <xdr:rowOff>19050</xdr:rowOff>
    </xdr:from>
    <xdr:to>
      <xdr:col>13</xdr:col>
      <xdr:colOff>0</xdr:colOff>
      <xdr:row>13</xdr:row>
      <xdr:rowOff>19049</xdr:rowOff>
    </xdr:to>
    <mc:AlternateContent xmlns:mc="http://schemas.openxmlformats.org/markup-compatibility/2006" xmlns:a14="http://schemas.microsoft.com/office/drawing/2010/main">
      <mc:Choice Requires="a14">
        <xdr:graphicFrame macro="">
          <xdr:nvGraphicFramePr>
            <xdr:cNvPr id="4" name="Customer type 1">
              <a:extLst>
                <a:ext uri="{FF2B5EF4-FFF2-40B4-BE49-F238E27FC236}">
                  <a16:creationId xmlns:a16="http://schemas.microsoft.com/office/drawing/2014/main" id="{FFE3EA2C-CE27-F2C1-150A-C33D10F421D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6534150" y="1476375"/>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xdr:colOff>
      <xdr:row>1</xdr:row>
      <xdr:rowOff>0</xdr:rowOff>
    </xdr:from>
    <xdr:to>
      <xdr:col>19</xdr:col>
      <xdr:colOff>57150</xdr:colOff>
      <xdr:row>13</xdr:row>
      <xdr:rowOff>9525</xdr:rowOff>
    </xdr:to>
    <mc:AlternateContent xmlns:mc="http://schemas.openxmlformats.org/markup-compatibility/2006" xmlns:a14="http://schemas.microsoft.com/office/drawing/2010/main">
      <mc:Choice Requires="a14">
        <xdr:graphicFrame macro="">
          <xdr:nvGraphicFramePr>
            <xdr:cNvPr id="5" name="Rating 1">
              <a:extLst>
                <a:ext uri="{FF2B5EF4-FFF2-40B4-BE49-F238E27FC236}">
                  <a16:creationId xmlns:a16="http://schemas.microsoft.com/office/drawing/2014/main" id="{A4BDCD95-4FC1-9FE8-5980-57A1F5DA5874}"/>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0248900" y="123825"/>
              <a:ext cx="1828800" cy="2295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9525</xdr:colOff>
      <xdr:row>11</xdr:row>
      <xdr:rowOff>28575</xdr:rowOff>
    </xdr:from>
    <xdr:to>
      <xdr:col>12</xdr:col>
      <xdr:colOff>9525</xdr:colOff>
      <xdr:row>17</xdr:row>
      <xdr:rowOff>19050</xdr:rowOff>
    </xdr:to>
    <mc:AlternateContent xmlns:mc="http://schemas.openxmlformats.org/markup-compatibility/2006" xmlns:a14="http://schemas.microsoft.com/office/drawing/2010/main">
      <mc:Choice Requires="a14">
        <xdr:graphicFrame macro="">
          <xdr:nvGraphicFramePr>
            <xdr:cNvPr id="2" name="City 2">
              <a:extLst>
                <a:ext uri="{FF2B5EF4-FFF2-40B4-BE49-F238E27FC236}">
                  <a16:creationId xmlns:a16="http://schemas.microsoft.com/office/drawing/2014/main" id="{22B2CF10-BDE3-E469-637C-FB0515140841}"/>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598723" y="2041405"/>
              <a:ext cx="1833113" cy="1122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6</xdr:row>
      <xdr:rowOff>28576</xdr:rowOff>
    </xdr:from>
    <xdr:to>
      <xdr:col>12</xdr:col>
      <xdr:colOff>0</xdr:colOff>
      <xdr:row>10</xdr:row>
      <xdr:rowOff>180976</xdr:rowOff>
    </xdr:to>
    <mc:AlternateContent xmlns:mc="http://schemas.openxmlformats.org/markup-compatibility/2006" xmlns:a14="http://schemas.microsoft.com/office/drawing/2010/main">
      <mc:Choice Requires="a14">
        <xdr:graphicFrame macro="">
          <xdr:nvGraphicFramePr>
            <xdr:cNvPr id="3" name="Customer type 2">
              <a:extLst>
                <a:ext uri="{FF2B5EF4-FFF2-40B4-BE49-F238E27FC236}">
                  <a16:creationId xmlns:a16="http://schemas.microsoft.com/office/drawing/2014/main" id="{8F0E0499-9419-0431-E4C0-A1959F3F94BB}"/>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5589198" y="1097892"/>
              <a:ext cx="1833113" cy="907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xdr:row>
      <xdr:rowOff>9526</xdr:rowOff>
    </xdr:from>
    <xdr:to>
      <xdr:col>12</xdr:col>
      <xdr:colOff>0</xdr:colOff>
      <xdr:row>6</xdr:row>
      <xdr:rowOff>9526</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6891BB3B-E773-3655-6B31-6ACE8A7DBA8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589198" y="135328"/>
              <a:ext cx="1833113" cy="943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xdr:colOff>
      <xdr:row>1</xdr:row>
      <xdr:rowOff>0</xdr:rowOff>
    </xdr:from>
    <xdr:to>
      <xdr:col>15</xdr:col>
      <xdr:colOff>19050</xdr:colOff>
      <xdr:row>17</xdr:row>
      <xdr:rowOff>14882</xdr:rowOff>
    </xdr:to>
    <mc:AlternateContent xmlns:mc="http://schemas.openxmlformats.org/markup-compatibility/2006" xmlns:a14="http://schemas.microsoft.com/office/drawing/2010/main">
      <mc:Choice Requires="a14">
        <xdr:graphicFrame macro="">
          <xdr:nvGraphicFramePr>
            <xdr:cNvPr id="5" name="Rating 2">
              <a:extLst>
                <a:ext uri="{FF2B5EF4-FFF2-40B4-BE49-F238E27FC236}">
                  <a16:creationId xmlns:a16="http://schemas.microsoft.com/office/drawing/2014/main" id="{AF5D6EC0-C555-1225-9EE7-472E6C6EAD50}"/>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7441361" y="125802"/>
              <a:ext cx="1833114" cy="3034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astogi" refreshedDate="46129.803359259262" createdVersion="8" refreshedVersion="8" minRefreshableVersion="3" recordCount="78" xr:uid="{7A65FF61-EEDC-4AF8-8D10-7C044D16C9B5}">
  <cacheSource type="worksheet">
    <worksheetSource name="Table2"/>
  </cacheSource>
  <cacheFields count="9">
    <cacheField name="Emp Name" numFmtId="0">
      <sharedItems/>
    </cacheField>
    <cacheField name="Designation" numFmtId="0">
      <sharedItems count="9">
        <s v="PJM"/>
        <s v="Lead"/>
        <s v="Tester"/>
        <s v="Manager"/>
        <s v="Associate"/>
        <s v="Developer"/>
        <s v="DB"/>
        <s v="Analyst"/>
        <s v="CEO"/>
      </sharedItems>
    </cacheField>
    <cacheField name="Basic Salary" numFmtId="0">
      <sharedItems containsSemiMixedTypes="0" containsString="0" containsNumber="1" containsInteger="1" minValue="12300" maxValue="250000"/>
    </cacheField>
    <cacheField name="HRA" numFmtId="0">
      <sharedItems containsSemiMixedTypes="0" containsString="0" containsNumber="1" containsInteger="1" minValue="532" maxValue="194215"/>
    </cacheField>
    <cacheField name="Deductions" numFmtId="0">
      <sharedItems containsSemiMixedTypes="0" containsString="0" containsNumber="1" containsInteger="1" minValue="185" maxValue="146026"/>
    </cacheField>
    <cacheField name="No. of projects " numFmtId="0">
      <sharedItems containsSemiMixedTypes="0" containsString="0" containsNumber="1" containsInteger="1" minValue="1" maxValue="5" count="5">
        <n v="1"/>
        <n v="4"/>
        <n v="5"/>
        <n v="2"/>
        <n v="3"/>
      </sharedItems>
    </cacheField>
    <cacheField name="Additional pay for project" numFmtId="0">
      <sharedItems containsSemiMixedTypes="0" containsString="0" containsNumber="1" containsInteger="1" minValue="5000" maxValue="30000"/>
    </cacheField>
    <cacheField name="Work" numFmtId="0">
      <sharedItems count="2">
        <s v="Work from home"/>
        <s v="Office"/>
      </sharedItems>
    </cacheField>
    <cacheField name="Final Salary" numFmtId="0">
      <sharedItems containsSemiMixedTypes="0" containsString="0" containsNumber="1" containsInteger="1" minValue="18104" maxValue="330067" count="78">
        <n v="31411"/>
        <n v="279405"/>
        <n v="162966"/>
        <n v="330067"/>
        <n v="55000"/>
        <n v="38766"/>
        <n v="323521"/>
        <n v="293180"/>
        <n v="57340"/>
        <n v="126940"/>
        <n v="276308"/>
        <n v="296246"/>
        <n v="269829"/>
        <n v="190241"/>
        <n v="245680"/>
        <n v="136817"/>
        <n v="248484"/>
        <n v="167630"/>
        <n v="137093"/>
        <n v="161577"/>
        <n v="279457"/>
        <n v="58689"/>
        <n v="83071"/>
        <n v="216956"/>
        <n v="255000"/>
        <n v="187503"/>
        <n v="217053"/>
        <n v="118807"/>
        <n v="162003"/>
        <n v="160512"/>
        <n v="125444"/>
        <n v="269731"/>
        <n v="116630"/>
        <n v="202522"/>
        <n v="81714"/>
        <n v="279519"/>
        <n v="133361"/>
        <n v="93237"/>
        <n v="48912"/>
        <n v="228764"/>
        <n v="53966"/>
        <n v="201072"/>
        <n v="139196"/>
        <n v="87671"/>
        <n v="185009"/>
        <n v="196377"/>
        <n v="96847"/>
        <n v="75284"/>
        <n v="147875"/>
        <n v="38187"/>
        <n v="65975"/>
        <n v="75378"/>
        <n v="22503"/>
        <n v="233156"/>
        <n v="74968"/>
        <n v="56271"/>
        <n v="18104"/>
        <n v="76676"/>
        <n v="233749"/>
        <n v="72392"/>
        <n v="203463"/>
        <n v="29409"/>
        <n v="257499"/>
        <n v="264826"/>
        <n v="65410"/>
        <n v="38904"/>
        <n v="223345"/>
        <n v="136270"/>
        <n v="22000"/>
        <n v="99428"/>
        <n v="41456"/>
        <n v="101028"/>
        <n v="269403"/>
        <n v="276530"/>
        <n v="187666"/>
        <n v="35639"/>
        <n v="170889"/>
        <n v="6367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astogi" refreshedDate="46130.685659027775" createdVersion="8" refreshedVersion="8" minRefreshableVersion="3" recordCount="662" xr:uid="{0D75FC6A-9FE9-4883-9B3B-7293EECF5AC2}">
  <cacheSource type="worksheet">
    <worksheetSource name="Table6"/>
  </cacheSource>
  <cacheFields count="12">
    <cacheField name="Branch" numFmtId="0">
      <sharedItems/>
    </cacheField>
    <cacheField name="City" numFmtId="0">
      <sharedItems count="3">
        <s v="Chennai"/>
        <s v="Mumbai"/>
        <s v="Delhi"/>
      </sharedItems>
    </cacheField>
    <cacheField name="Customer type" numFmtId="0">
      <sharedItems count="2">
        <s v="Member"/>
        <s v="Normal"/>
      </sharedItems>
    </cacheField>
    <cacheField name="Gender" numFmtId="0">
      <sharedItems count="2">
        <s v="Female"/>
        <s v="Male"/>
      </sharedItems>
    </cacheField>
    <cacheField name="Product" numFmtId="0">
      <sharedItems count="28">
        <s v="Toner"/>
        <s v="USB"/>
        <s v="Serum"/>
        <s v="Basket Ball"/>
        <s v="Charger"/>
        <s v="Earplugs"/>
        <s v="Soap"/>
        <s v="Soda"/>
        <s v="Hard Disk"/>
        <s v="Bread"/>
        <s v="Body Lotion"/>
        <s v="Football"/>
        <s v="Shampoo"/>
        <s v="Gloves"/>
        <s v="Imported Tiffans"/>
        <s v="Skipping Rope"/>
        <s v="Chocolates"/>
        <s v="Face Wash"/>
        <s v="Tera Band"/>
        <s v="Pump"/>
        <s v="Deodrant"/>
        <s v="Biscuit"/>
        <s v="Tennis Ball"/>
        <s v="Table Tennis Ball"/>
        <s v="Energy Drink"/>
        <s v="Power bank"/>
        <s v="Wristband"/>
        <s v="Water"/>
      </sharedItems>
    </cacheField>
    <cacheField name="Category" numFmtId="0">
      <sharedItems count="5">
        <s v="Health and beauty"/>
        <s v="Electronic accessories"/>
        <s v="Sports"/>
        <s v=" "/>
        <s v="Food and beverages"/>
      </sharedItems>
    </cacheField>
    <cacheField name="Cost Price" numFmtId="0">
      <sharedItems containsSemiMixedTypes="0" containsString="0" containsNumber="1" minValue="10.08" maxValue="99.96"/>
    </cacheField>
    <cacheField name="Selling Price" numFmtId="0">
      <sharedItems containsSemiMixedTypes="0" containsString="0" containsNumber="1" minValue="10.584" maxValue="104.958"/>
    </cacheField>
    <cacheField name="Quantity" numFmtId="0">
      <sharedItems containsSemiMixedTypes="0" containsString="0" containsNumber="1" containsInteger="1" minValue="1" maxValue="10"/>
    </cacheField>
    <cacheField name="Payment" numFmtId="0">
      <sharedItems/>
    </cacheField>
    <cacheField name="Rating" numFmtId="0">
      <sharedItems containsSemiMixedTypes="0" containsString="0" containsNumber="1" minValue="4" maxValue="10" count="61">
        <n v="9.1"/>
        <n v="9.6"/>
        <n v="8.4"/>
        <n v="5.3"/>
        <n v="4.0999999999999996"/>
        <n v="5.8"/>
        <n v="7.2"/>
        <n v="5.9"/>
        <n v="6.8"/>
        <n v="7.1"/>
        <n v="8.1999999999999993"/>
        <n v="5.7"/>
        <n v="4.5"/>
        <n v="4.5999999999999996"/>
        <n v="6.9"/>
        <n v="8.6"/>
        <n v="4.8"/>
        <n v="5.0999999999999996"/>
        <n v="9.9"/>
        <n v="6"/>
        <n v="7.4"/>
        <n v="7.5"/>
        <n v="7"/>
        <n v="4.7"/>
        <n v="7.6"/>
        <n v="5.6"/>
        <n v="9.5"/>
        <n v="8.1"/>
        <n v="8.5"/>
        <n v="6.6"/>
        <n v="9.3000000000000007"/>
        <n v="10"/>
        <n v="6.7"/>
        <n v="6.4"/>
        <n v="4.3"/>
        <n v="4"/>
        <n v="8.6999999999999993"/>
        <n v="5.4"/>
        <n v="5.5"/>
        <n v="8.3000000000000007"/>
        <n v="7.3"/>
        <n v="6.1"/>
        <n v="4.9000000000000004"/>
        <n v="8"/>
        <n v="4.2"/>
        <n v="9.1999999999999993"/>
        <n v="7.8"/>
        <n v="5.2"/>
        <n v="6.5"/>
        <n v="9"/>
        <n v="8.8000000000000007"/>
        <n v="9.4"/>
        <n v="6.3"/>
        <n v="9.8000000000000007"/>
        <n v="4.4000000000000004"/>
        <n v="7.7"/>
        <n v="7.9"/>
        <n v="9.6999999999999993"/>
        <n v="6.2"/>
        <n v="5"/>
        <n v="8.9"/>
      </sharedItems>
    </cacheField>
    <cacheField name="Profit" numFmtId="0">
      <sharedItems containsSemiMixedTypes="0" containsString="0" containsNumber="1" minValue="0.50399999999999956" maxValue="4.9980000000000047"/>
    </cacheField>
  </cacheFields>
  <extLst>
    <ext xmlns:x14="http://schemas.microsoft.com/office/spreadsheetml/2009/9/main" uri="{725AE2AE-9491-48be-B2B4-4EB974FC3084}">
      <x14:pivotCacheDefinition pivotCacheId="206999019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astogi" refreshedDate="46130.714032870368" createdVersion="8" refreshedVersion="8" minRefreshableVersion="3" recordCount="662" xr:uid="{1960CE4D-3663-4CB4-BB2A-82046FC92776}">
  <cacheSource type="worksheet">
    <worksheetSource ref="B2:O664" sheet="Pivot Analyze"/>
  </cacheSource>
  <cacheFields count="14">
    <cacheField name="Invoice ID" numFmtId="0">
      <sharedItems/>
    </cacheField>
    <cacheField name="Date" numFmtId="14">
      <sharedItems containsSemiMixedTypes="0" containsNonDate="0" containsDate="1" containsString="0" minDate="2019-05-01T00:00:00" maxDate="2021-02-21T00:00:00" count="662">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sharedItems>
    </cacheField>
    <cacheField name="Branch" numFmtId="0">
      <sharedItems/>
    </cacheField>
    <cacheField name="City" numFmtId="0">
      <sharedItems count="3">
        <s v="Chennai"/>
        <s v="Mumbai"/>
        <s v="Delhi"/>
      </sharedItems>
    </cacheField>
    <cacheField name="Customer type" numFmtId="0">
      <sharedItems count="2">
        <s v="Member"/>
        <s v="Normal"/>
      </sharedItems>
    </cacheField>
    <cacheField name="Gender" numFmtId="0">
      <sharedItems count="2">
        <s v="Female"/>
        <s v="Male"/>
      </sharedItems>
    </cacheField>
    <cacheField name="Product" numFmtId="0">
      <sharedItems count="28">
        <s v="Toner"/>
        <s v="USB"/>
        <s v="Serum"/>
        <s v="Basket Ball"/>
        <s v="Charger"/>
        <s v="Earplugs"/>
        <s v="Soap"/>
        <s v="Soda"/>
        <s v="Hard Disk"/>
        <s v="Bread"/>
        <s v="Body Lotion"/>
        <s v="Football"/>
        <s v="Shampoo"/>
        <s v="Gloves"/>
        <s v="Imported Tiffans"/>
        <s v="Skipping Rope"/>
        <s v="Chocolates"/>
        <s v="Face Wash"/>
        <s v="Tera Band"/>
        <s v="Pump"/>
        <s v="Deodrant"/>
        <s v="Biscuit"/>
        <s v="Tennis Ball"/>
        <s v="Table Tennis Ball"/>
        <s v="Energy Drink"/>
        <s v="Power bank"/>
        <s v="Wristband"/>
        <s v="Water"/>
      </sharedItems>
    </cacheField>
    <cacheField name="Category" numFmtId="0">
      <sharedItems count="5">
        <s v="Health and beauty"/>
        <s v="Electronic accessories"/>
        <s v="Sports"/>
        <s v=" "/>
        <s v="Food and beverages"/>
      </sharedItems>
    </cacheField>
    <cacheField name="Cost Price" numFmtId="0">
      <sharedItems containsSemiMixedTypes="0" containsString="0" containsNumber="1" minValue="10.08" maxValue="99.96"/>
    </cacheField>
    <cacheField name="Selling Price" numFmtId="0">
      <sharedItems containsSemiMixedTypes="0" containsString="0" containsNumber="1" minValue="10.584" maxValue="104.958"/>
    </cacheField>
    <cacheField name="Quantity" numFmtId="0">
      <sharedItems containsSemiMixedTypes="0" containsString="0" containsNumber="1" containsInteger="1" minValue="1" maxValue="10"/>
    </cacheField>
    <cacheField name="Payment" numFmtId="0">
      <sharedItems/>
    </cacheField>
    <cacheField name="Rating" numFmtId="0">
      <sharedItems containsSemiMixedTypes="0" containsString="0" containsNumber="1" minValue="4" maxValue="10" count="61">
        <n v="9.1"/>
        <n v="9.6"/>
        <n v="8.4"/>
        <n v="5.3"/>
        <n v="4.0999999999999996"/>
        <n v="5.8"/>
        <n v="7.2"/>
        <n v="5.9"/>
        <n v="6.8"/>
        <n v="7.1"/>
        <n v="8.1999999999999993"/>
        <n v="5.7"/>
        <n v="4.5"/>
        <n v="4.5999999999999996"/>
        <n v="6.9"/>
        <n v="8.6"/>
        <n v="4.8"/>
        <n v="5.0999999999999996"/>
        <n v="9.9"/>
        <n v="6"/>
        <n v="7.4"/>
        <n v="7.5"/>
        <n v="7"/>
        <n v="4.7"/>
        <n v="7.6"/>
        <n v="5.6"/>
        <n v="9.5"/>
        <n v="8.1"/>
        <n v="8.5"/>
        <n v="6.6"/>
        <n v="9.3000000000000007"/>
        <n v="10"/>
        <n v="6.7"/>
        <n v="6.4"/>
        <n v="4.3"/>
        <n v="4"/>
        <n v="8.6999999999999993"/>
        <n v="5.4"/>
        <n v="5.5"/>
        <n v="8.3000000000000007"/>
        <n v="7.3"/>
        <n v="6.1"/>
        <n v="4.9000000000000004"/>
        <n v="8"/>
        <n v="4.2"/>
        <n v="9.1999999999999993"/>
        <n v="7.8"/>
        <n v="5.2"/>
        <n v="6.5"/>
        <n v="9"/>
        <n v="8.8000000000000007"/>
        <n v="9.4"/>
        <n v="6.3"/>
        <n v="9.8000000000000007"/>
        <n v="4.4000000000000004"/>
        <n v="7.7"/>
        <n v="7.9"/>
        <n v="9.6999999999999993"/>
        <n v="6.2"/>
        <n v="5"/>
        <n v="8.9"/>
      </sharedItems>
    </cacheField>
    <cacheField name="Profit" numFmtId="0">
      <sharedItems containsSemiMixedTypes="0" containsString="0" containsNumber="1" minValue="0.50399999999999956" maxValue="4.9980000000000047"/>
    </cacheField>
  </cacheFields>
  <extLst>
    <ext xmlns:x14="http://schemas.microsoft.com/office/spreadsheetml/2009/9/main" uri="{725AE2AE-9491-48be-B2B4-4EB974FC3084}">
      <x14:pivotCacheDefinition pivotCacheId="1304866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s v="Abhimanyu Pulugurtha"/>
    <x v="0"/>
    <n v="26100"/>
    <n v="7417"/>
    <n v="2106"/>
    <x v="0"/>
    <n v="7500"/>
    <x v="0"/>
    <x v="0"/>
  </r>
  <r>
    <s v="Girish Kumar"/>
    <x v="1"/>
    <n v="220800"/>
    <n v="149217"/>
    <n v="90612"/>
    <x v="1"/>
    <n v="15000"/>
    <x v="0"/>
    <x v="1"/>
  </r>
  <r>
    <s v="Aditya Kumar"/>
    <x v="2"/>
    <n v="150900"/>
    <n v="120695"/>
    <n v="108629"/>
    <x v="0"/>
    <n v="5000"/>
    <x v="1"/>
    <x v="2"/>
  </r>
  <r>
    <s v="Navin Prakash"/>
    <x v="3"/>
    <n v="247800"/>
    <n v="165246"/>
    <n v="82979"/>
    <x v="2"/>
    <n v="20000"/>
    <x v="1"/>
    <x v="3"/>
  </r>
  <r>
    <s v="Swathi Matam"/>
    <x v="2"/>
    <n v="50000"/>
    <n v="10000"/>
    <n v="5000"/>
    <x v="3"/>
    <n v="5000"/>
    <x v="0"/>
    <x v="4"/>
  </r>
  <r>
    <s v="Ankit Kushi"/>
    <x v="4"/>
    <n v="36900"/>
    <n v="10977"/>
    <n v="9111"/>
    <x v="4"/>
    <n v="7500"/>
    <x v="1"/>
    <x v="5"/>
  </r>
  <r>
    <s v="Aruna Sabavath"/>
    <x v="5"/>
    <n v="192300"/>
    <n v="131443"/>
    <n v="222"/>
    <x v="3"/>
    <n v="10000"/>
    <x v="1"/>
    <x v="6"/>
  </r>
  <r>
    <s v="Balaji rajakrishna"/>
    <x v="3"/>
    <n v="195900"/>
    <n v="143993"/>
    <n v="46713"/>
    <x v="1"/>
    <n v="20000"/>
    <x v="1"/>
    <x v="7"/>
  </r>
  <r>
    <s v="Pranathi Adem"/>
    <x v="6"/>
    <n v="55200"/>
    <n v="17868"/>
    <n v="15728"/>
    <x v="3"/>
    <n v="5000"/>
    <x v="0"/>
    <x v="8"/>
  </r>
  <r>
    <s v="Dasarath Daya"/>
    <x v="5"/>
    <n v="119400"/>
    <n v="17052"/>
    <n v="9512"/>
    <x v="3"/>
    <n v="10000"/>
    <x v="1"/>
    <x v="9"/>
  </r>
  <r>
    <s v="Dharani S"/>
    <x v="2"/>
    <n v="244200"/>
    <n v="39387"/>
    <n v="7279"/>
    <x v="3"/>
    <n v="5000"/>
    <x v="1"/>
    <x v="10"/>
  </r>
  <r>
    <s v="Maria Malini"/>
    <x v="7"/>
    <n v="236700"/>
    <n v="177157"/>
    <n v="117611"/>
    <x v="3"/>
    <n v="15000"/>
    <x v="0"/>
    <x v="11"/>
  </r>
  <r>
    <s v="Maharshi Patoju"/>
    <x v="7"/>
    <n v="201000"/>
    <n v="194215"/>
    <n v="125386"/>
    <x v="0"/>
    <n v="15000"/>
    <x v="1"/>
    <x v="12"/>
  </r>
  <r>
    <s v="Prajod P"/>
    <x v="1"/>
    <n v="189000"/>
    <n v="53015"/>
    <n v="51774"/>
    <x v="2"/>
    <n v="15000"/>
    <x v="0"/>
    <x v="13"/>
  </r>
  <r>
    <s v="Ujwal Chowdavaraj"/>
    <x v="1"/>
    <n v="185400"/>
    <n v="100352"/>
    <n v="40072"/>
    <x v="4"/>
    <n v="15000"/>
    <x v="0"/>
    <x v="14"/>
  </r>
  <r>
    <s v="Gundu Kumar"/>
    <x v="2"/>
    <n v="126000"/>
    <n v="13803"/>
    <n v="2986"/>
    <x v="1"/>
    <n v="5000"/>
    <x v="1"/>
    <x v="15"/>
  </r>
  <r>
    <s v="Imam Jani Shaik"/>
    <x v="6"/>
    <n v="219000"/>
    <n v="37955"/>
    <n v="8471"/>
    <x v="3"/>
    <n v="5000"/>
    <x v="1"/>
    <x v="16"/>
  </r>
  <r>
    <s v="Vani Golla"/>
    <x v="6"/>
    <n v="166200"/>
    <n v="119478"/>
    <n v="118048"/>
    <x v="4"/>
    <n v="5000"/>
    <x v="0"/>
    <x v="17"/>
  </r>
  <r>
    <s v="Jayathi Bargal"/>
    <x v="0"/>
    <n v="99300"/>
    <n v="90919"/>
    <n v="53126"/>
    <x v="1"/>
    <n v="7500"/>
    <x v="1"/>
    <x v="18"/>
  </r>
  <r>
    <s v="K Dhanesh"/>
    <x v="6"/>
    <n v="144600"/>
    <n v="101720"/>
    <n v="84743"/>
    <x v="1"/>
    <n v="5000"/>
    <x v="1"/>
    <x v="19"/>
  </r>
  <r>
    <s v="Kamal Chalamalasetti"/>
    <x v="6"/>
    <n v="190500"/>
    <n v="151281"/>
    <n v="62324"/>
    <x v="3"/>
    <n v="5000"/>
    <x v="1"/>
    <x v="20"/>
  </r>
  <r>
    <s v="Karthik Mulukutla"/>
    <x v="5"/>
    <n v="55500"/>
    <n v="10618"/>
    <n v="7429"/>
    <x v="0"/>
    <n v="10000"/>
    <x v="1"/>
    <x v="21"/>
  </r>
  <r>
    <s v="Kavita Bhatt"/>
    <x v="2"/>
    <n v="58500"/>
    <n v="47732"/>
    <n v="23161"/>
    <x v="3"/>
    <n v="5000"/>
    <x v="0"/>
    <x v="22"/>
  </r>
  <r>
    <s v="Rangarajan Subrajani"/>
    <x v="6"/>
    <n v="163200"/>
    <n v="64822"/>
    <n v="11066"/>
    <x v="4"/>
    <n v="5000"/>
    <x v="0"/>
    <x v="23"/>
  </r>
  <r>
    <s v="Khushi"/>
    <x v="8"/>
    <n v="250000"/>
    <n v="50000"/>
    <n v="45000"/>
    <x v="4"/>
    <n v="30000"/>
    <x v="1"/>
    <x v="24"/>
  </r>
  <r>
    <s v="Kiran Kunaparaju"/>
    <x v="0"/>
    <n v="132600"/>
    <n v="74377"/>
    <n v="19474"/>
    <x v="4"/>
    <n v="7500"/>
    <x v="0"/>
    <x v="25"/>
  </r>
  <r>
    <s v="Rajesh Nair"/>
    <x v="7"/>
    <n v="204900"/>
    <n v="76562"/>
    <n v="64409"/>
    <x v="3"/>
    <n v="15000"/>
    <x v="0"/>
    <x v="26"/>
  </r>
  <r>
    <s v="Raju Rani"/>
    <x v="0"/>
    <n v="105600"/>
    <n v="19154"/>
    <n v="5947"/>
    <x v="3"/>
    <n v="7500"/>
    <x v="0"/>
    <x v="27"/>
  </r>
  <r>
    <s v="Pawan N"/>
    <x v="7"/>
    <n v="117900"/>
    <n v="48118"/>
    <n v="4015"/>
    <x v="1"/>
    <n v="15000"/>
    <x v="0"/>
    <x v="28"/>
  </r>
  <r>
    <s v="Madhuri K"/>
    <x v="7"/>
    <n v="140100"/>
    <n v="71664"/>
    <n v="51252"/>
    <x v="2"/>
    <n v="15000"/>
    <x v="1"/>
    <x v="29"/>
  </r>
  <r>
    <s v="Naresh Bandari"/>
    <x v="7"/>
    <n v="123300"/>
    <n v="7863"/>
    <n v="5719"/>
    <x v="1"/>
    <n v="15000"/>
    <x v="0"/>
    <x v="30"/>
  </r>
  <r>
    <s v="Abdul Razzak"/>
    <x v="3"/>
    <n v="191400"/>
    <n v="113378"/>
    <n v="35047"/>
    <x v="4"/>
    <n v="20000"/>
    <x v="0"/>
    <x v="31"/>
  </r>
  <r>
    <s v="MalayMandal"/>
    <x v="7"/>
    <n v="71400"/>
    <n v="57605"/>
    <n v="12375"/>
    <x v="1"/>
    <n v="15000"/>
    <x v="1"/>
    <x v="32"/>
  </r>
  <r>
    <s v="Milan Mohapatra"/>
    <x v="0"/>
    <n v="123900"/>
    <n v="102042"/>
    <n v="23420"/>
    <x v="3"/>
    <n v="7500"/>
    <x v="1"/>
    <x v="33"/>
  </r>
  <r>
    <s v="Mohammed Shamil"/>
    <x v="7"/>
    <n v="57600"/>
    <n v="41628"/>
    <n v="17514"/>
    <x v="2"/>
    <n v="15000"/>
    <x v="1"/>
    <x v="34"/>
  </r>
  <r>
    <s v="Munmun Kapoor"/>
    <x v="4"/>
    <n v="201000"/>
    <n v="138693"/>
    <n v="60174"/>
    <x v="1"/>
    <n v="7500"/>
    <x v="1"/>
    <x v="35"/>
  </r>
  <r>
    <s v="Kaushik Kumar"/>
    <x v="2"/>
    <n v="116100"/>
    <n v="20868"/>
    <n v="3607"/>
    <x v="4"/>
    <n v="5000"/>
    <x v="0"/>
    <x v="36"/>
  </r>
  <r>
    <s v="Lakshma Reddy"/>
    <x v="2"/>
    <n v="87000"/>
    <n v="23471"/>
    <n v="17234"/>
    <x v="2"/>
    <n v="5000"/>
    <x v="0"/>
    <x v="37"/>
  </r>
  <r>
    <s v="Naresh Maka"/>
    <x v="1"/>
    <n v="39600"/>
    <n v="13300"/>
    <n v="3988"/>
    <x v="1"/>
    <n v="15000"/>
    <x v="1"/>
    <x v="38"/>
  </r>
  <r>
    <s v="Rajesh Uppala"/>
    <x v="3"/>
    <n v="226500"/>
    <n v="49437"/>
    <n v="47173"/>
    <x v="4"/>
    <n v="20000"/>
    <x v="1"/>
    <x v="39"/>
  </r>
  <r>
    <s v="Naveenkumar Sri"/>
    <x v="6"/>
    <n v="48000"/>
    <n v="38039"/>
    <n v="32073"/>
    <x v="3"/>
    <n v="5000"/>
    <x v="1"/>
    <x v="40"/>
  </r>
  <r>
    <s v="Sujith Kumar"/>
    <x v="3"/>
    <n v="175800"/>
    <n v="93318"/>
    <n v="68046"/>
    <x v="4"/>
    <n v="20000"/>
    <x v="1"/>
    <x v="41"/>
  </r>
  <r>
    <s v="Muteeb Qureshi"/>
    <x v="6"/>
    <n v="81300"/>
    <n v="77121"/>
    <n v="19225"/>
    <x v="2"/>
    <n v="5000"/>
    <x v="0"/>
    <x v="42"/>
  </r>
  <r>
    <s v="Shravan Kumar"/>
    <x v="2"/>
    <n v="72300"/>
    <n v="42346"/>
    <n v="26975"/>
    <x v="4"/>
    <n v="5000"/>
    <x v="0"/>
    <x v="43"/>
  </r>
  <r>
    <s v="Shashank P"/>
    <x v="2"/>
    <n v="158400"/>
    <n v="114099"/>
    <n v="87490"/>
    <x v="0"/>
    <n v="5000"/>
    <x v="0"/>
    <x v="44"/>
  </r>
  <r>
    <s v="Saharsh Dale"/>
    <x v="3"/>
    <n v="151200"/>
    <n v="103984"/>
    <n v="58807"/>
    <x v="4"/>
    <n v="20000"/>
    <x v="1"/>
    <x v="45"/>
  </r>
  <r>
    <s v="Rajendra S"/>
    <x v="1"/>
    <n v="72300"/>
    <n v="54637"/>
    <n v="30090"/>
    <x v="2"/>
    <n v="15000"/>
    <x v="0"/>
    <x v="46"/>
  </r>
  <r>
    <s v="Jagruti Arvind"/>
    <x v="0"/>
    <n v="66900"/>
    <n v="24383"/>
    <n v="15999"/>
    <x v="4"/>
    <n v="7500"/>
    <x v="0"/>
    <x v="47"/>
  </r>
  <r>
    <s v="Manish Tadepalli"/>
    <x v="3"/>
    <n v="140700"/>
    <n v="16595"/>
    <n v="9420"/>
    <x v="3"/>
    <n v="20000"/>
    <x v="1"/>
    <x v="48"/>
  </r>
  <r>
    <s v="Rajesh Chigurupati"/>
    <x v="0"/>
    <n v="23400"/>
    <n v="20330"/>
    <n v="5543"/>
    <x v="3"/>
    <n v="7500"/>
    <x v="1"/>
    <x v="49"/>
  </r>
  <r>
    <s v="Divya Sunidi"/>
    <x v="7"/>
    <n v="53700"/>
    <n v="48851"/>
    <n v="36576"/>
    <x v="3"/>
    <n v="15000"/>
    <x v="0"/>
    <x v="50"/>
  </r>
  <r>
    <s v="Nausheen Begum"/>
    <x v="3"/>
    <n v="66300"/>
    <n v="12424"/>
    <n v="3346"/>
    <x v="1"/>
    <n v="20000"/>
    <x v="1"/>
    <x v="51"/>
  </r>
  <r>
    <s v="RajKamal Vanka"/>
    <x v="6"/>
    <n v="16200"/>
    <n v="12647"/>
    <n v="6344"/>
    <x v="4"/>
    <n v="5000"/>
    <x v="1"/>
    <x v="52"/>
  </r>
  <r>
    <s v="Shaik Waheed"/>
    <x v="6"/>
    <n v="211200"/>
    <n v="24756"/>
    <n v="2800"/>
    <x v="3"/>
    <n v="5000"/>
    <x v="0"/>
    <x v="53"/>
  </r>
  <r>
    <s v="Nazneen Shaik"/>
    <x v="3"/>
    <n v="54600"/>
    <n v="23785"/>
    <n v="3417"/>
    <x v="1"/>
    <n v="20000"/>
    <x v="0"/>
    <x v="54"/>
  </r>
  <r>
    <s v="Ravi Kishore G"/>
    <x v="2"/>
    <n v="37500"/>
    <n v="35685"/>
    <n v="16914"/>
    <x v="3"/>
    <n v="5000"/>
    <x v="1"/>
    <x v="55"/>
  </r>
  <r>
    <s v="Rijoy Kapoor"/>
    <x v="0"/>
    <n v="12300"/>
    <n v="9558"/>
    <n v="3754"/>
    <x v="0"/>
    <n v="7500"/>
    <x v="1"/>
    <x v="56"/>
  </r>
  <r>
    <s v="Rupesh Koti"/>
    <x v="5"/>
    <n v="57000"/>
    <n v="35431"/>
    <n v="15755"/>
    <x v="4"/>
    <n v="10000"/>
    <x v="1"/>
    <x v="57"/>
  </r>
  <r>
    <s v="Saddula Tharun"/>
    <x v="2"/>
    <n v="183300"/>
    <n v="67378"/>
    <n v="16929"/>
    <x v="4"/>
    <n v="5000"/>
    <x v="1"/>
    <x v="58"/>
  </r>
  <r>
    <s v="Anil Biradar"/>
    <x v="3"/>
    <n v="59100"/>
    <n v="41616"/>
    <n v="28324"/>
    <x v="1"/>
    <n v="20000"/>
    <x v="0"/>
    <x v="59"/>
  </r>
  <r>
    <s v="Sanjana Choudary"/>
    <x v="2"/>
    <n v="161100"/>
    <n v="88942"/>
    <n v="46579"/>
    <x v="4"/>
    <n v="5000"/>
    <x v="1"/>
    <x v="60"/>
  </r>
  <r>
    <s v="Santhi Gudiseva"/>
    <x v="1"/>
    <n v="20100"/>
    <n v="14768"/>
    <n v="5459"/>
    <x v="2"/>
    <n v="15000"/>
    <x v="1"/>
    <x v="61"/>
  </r>
  <r>
    <s v="Lakshmi Vennela"/>
    <x v="2"/>
    <n v="204000"/>
    <n v="80954"/>
    <n v="27455"/>
    <x v="3"/>
    <n v="5000"/>
    <x v="0"/>
    <x v="62"/>
  </r>
  <r>
    <s v="Raja Kumar Yadagalla"/>
    <x v="0"/>
    <n v="204600"/>
    <n v="75039"/>
    <n v="14813"/>
    <x v="3"/>
    <n v="7500"/>
    <x v="0"/>
    <x v="63"/>
  </r>
  <r>
    <s v="Shobha Yelemy"/>
    <x v="0"/>
    <n v="53400"/>
    <n v="14002"/>
    <n v="1992"/>
    <x v="4"/>
    <n v="7500"/>
    <x v="1"/>
    <x v="64"/>
  </r>
  <r>
    <s v="Ginka Arjun"/>
    <x v="0"/>
    <n v="37500"/>
    <n v="19686"/>
    <n v="18282"/>
    <x v="1"/>
    <n v="7500"/>
    <x v="0"/>
    <x v="65"/>
  </r>
  <r>
    <s v="Shravan Surya"/>
    <x v="1"/>
    <n v="164700"/>
    <n v="87185"/>
    <n v="28540"/>
    <x v="2"/>
    <n v="15000"/>
    <x v="1"/>
    <x v="66"/>
  </r>
  <r>
    <s v="Sujana Kasturi"/>
    <x v="5"/>
    <n v="130200"/>
    <n v="68763"/>
    <n v="62693"/>
    <x v="3"/>
    <n v="10000"/>
    <x v="1"/>
    <x v="67"/>
  </r>
  <r>
    <s v="Prakash Ramanchandran"/>
    <x v="3"/>
    <n v="20000"/>
    <n v="4000"/>
    <n v="2000"/>
    <x v="3"/>
    <n v="20000"/>
    <x v="1"/>
    <x v="68"/>
  </r>
  <r>
    <s v="Sunil Kumar"/>
    <x v="5"/>
    <n v="87600"/>
    <n v="16030"/>
    <n v="4202"/>
    <x v="4"/>
    <n v="10000"/>
    <x v="1"/>
    <x v="69"/>
  </r>
  <r>
    <s v="Surendra Puri"/>
    <x v="5"/>
    <n v="29100"/>
    <n v="18130"/>
    <n v="5774"/>
    <x v="4"/>
    <n v="10000"/>
    <x v="1"/>
    <x v="70"/>
  </r>
  <r>
    <s v="Suresh Karne"/>
    <x v="4"/>
    <n v="98700"/>
    <n v="43618"/>
    <n v="41290"/>
    <x v="4"/>
    <n v="7500"/>
    <x v="1"/>
    <x v="71"/>
  </r>
  <r>
    <s v="Swamy Vennuthula"/>
    <x v="2"/>
    <n v="240600"/>
    <n v="174829"/>
    <n v="146026"/>
    <x v="4"/>
    <n v="5000"/>
    <x v="1"/>
    <x v="72"/>
  </r>
  <r>
    <s v="Cyril Godwin P"/>
    <x v="4"/>
    <n v="186600"/>
    <n v="90252"/>
    <n v="322"/>
    <x v="0"/>
    <n v="7500"/>
    <x v="0"/>
    <x v="73"/>
  </r>
  <r>
    <s v="Swetha Gogineni"/>
    <x v="1"/>
    <n v="130200"/>
    <n v="114728"/>
    <n v="57262"/>
    <x v="3"/>
    <n v="15000"/>
    <x v="1"/>
    <x v="74"/>
  </r>
  <r>
    <s v="Ankit Dah"/>
    <x v="2"/>
    <n v="35400"/>
    <n v="532"/>
    <n v="293"/>
    <x v="1"/>
    <n v="5000"/>
    <x v="0"/>
    <x v="75"/>
  </r>
  <r>
    <s v="V Gowthami"/>
    <x v="1"/>
    <n v="169800"/>
    <n v="37372"/>
    <n v="36283"/>
    <x v="1"/>
    <n v="15000"/>
    <x v="1"/>
    <x v="76"/>
  </r>
  <r>
    <s v="Gaurav Saurav"/>
    <x v="7"/>
    <n v="57300"/>
    <n v="6558"/>
    <n v="185"/>
    <x v="4"/>
    <n v="15000"/>
    <x v="1"/>
    <x v="7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2">
  <r>
    <s v="A"/>
    <x v="0"/>
    <x v="0"/>
    <x v="0"/>
    <x v="0"/>
    <x v="0"/>
    <n v="74.69"/>
    <n v="78.424499999999995"/>
    <n v="7"/>
    <s v="Ewallet"/>
    <x v="0"/>
    <n v="3.734499999999997"/>
  </r>
  <r>
    <s v="C"/>
    <x v="1"/>
    <x v="1"/>
    <x v="0"/>
    <x v="1"/>
    <x v="1"/>
    <n v="15.28"/>
    <n v="16.044"/>
    <n v="5"/>
    <s v="Cash"/>
    <x v="1"/>
    <n v="0.76400000000000112"/>
  </r>
  <r>
    <s v="A"/>
    <x v="0"/>
    <x v="0"/>
    <x v="0"/>
    <x v="2"/>
    <x v="0"/>
    <n v="58.22"/>
    <n v="61.131"/>
    <n v="8"/>
    <s v="Ewallet"/>
    <x v="2"/>
    <n v="2.9110000000000014"/>
  </r>
  <r>
    <s v="A"/>
    <x v="0"/>
    <x v="1"/>
    <x v="0"/>
    <x v="3"/>
    <x v="2"/>
    <n v="86.31"/>
    <n v="90.625500000000002"/>
    <n v="7"/>
    <s v="Ewallet"/>
    <x v="3"/>
    <n v="4.3155000000000001"/>
  </r>
  <r>
    <s v="C"/>
    <x v="1"/>
    <x v="1"/>
    <x v="0"/>
    <x v="4"/>
    <x v="3"/>
    <n v="85.39"/>
    <n v="89.659499999999994"/>
    <n v="7"/>
    <s v="Ewallet"/>
    <x v="4"/>
    <n v="4.2694999999999936"/>
  </r>
  <r>
    <s v="A"/>
    <x v="0"/>
    <x v="0"/>
    <x v="0"/>
    <x v="5"/>
    <x v="1"/>
    <n v="68.84"/>
    <n v="72.281999999999996"/>
    <n v="6"/>
    <s v="Ewallet"/>
    <x v="5"/>
    <n v="3.4419999999999931"/>
  </r>
  <r>
    <s v="A"/>
    <x v="0"/>
    <x v="0"/>
    <x v="0"/>
    <x v="6"/>
    <x v="0"/>
    <n v="36.26"/>
    <n v="38.073"/>
    <n v="2"/>
    <s v="Credit card"/>
    <x v="6"/>
    <n v="1.8130000000000024"/>
  </r>
  <r>
    <s v="B"/>
    <x v="2"/>
    <x v="0"/>
    <x v="0"/>
    <x v="7"/>
    <x v="4"/>
    <n v="54.84"/>
    <n v="57.582000000000001"/>
    <n v="3"/>
    <s v="Credit card"/>
    <x v="7"/>
    <n v="2.7419999999999973"/>
  </r>
  <r>
    <s v="B"/>
    <x v="2"/>
    <x v="0"/>
    <x v="0"/>
    <x v="8"/>
    <x v="1"/>
    <n v="25.51"/>
    <n v="26.785499999999999"/>
    <n v="4"/>
    <s v="Cash"/>
    <x v="8"/>
    <n v="1.2754999999999974"/>
  </r>
  <r>
    <s v="A"/>
    <x v="0"/>
    <x v="1"/>
    <x v="0"/>
    <x v="8"/>
    <x v="1"/>
    <n v="46.95"/>
    <n v="49.297499999999999"/>
    <n v="5"/>
    <s v="Ewallet"/>
    <x v="9"/>
    <n v="2.3474999999999966"/>
  </r>
  <r>
    <s v="A"/>
    <x v="0"/>
    <x v="1"/>
    <x v="0"/>
    <x v="9"/>
    <x v="4"/>
    <n v="43.19"/>
    <n v="45.349499999999999"/>
    <n v="10"/>
    <s v="Ewallet"/>
    <x v="10"/>
    <n v="2.1595000000000013"/>
  </r>
  <r>
    <s v="A"/>
    <x v="0"/>
    <x v="1"/>
    <x v="0"/>
    <x v="10"/>
    <x v="0"/>
    <n v="71.38"/>
    <n v="74.948999999999998"/>
    <n v="10"/>
    <s v="Cash"/>
    <x v="11"/>
    <n v="3.5690000000000026"/>
  </r>
  <r>
    <s v="B"/>
    <x v="2"/>
    <x v="0"/>
    <x v="0"/>
    <x v="11"/>
    <x v="2"/>
    <n v="93.72"/>
    <n v="98.406000000000006"/>
    <n v="6"/>
    <s v="Cash"/>
    <x v="12"/>
    <n v="4.686000000000007"/>
  </r>
  <r>
    <s v="A"/>
    <x v="0"/>
    <x v="0"/>
    <x v="0"/>
    <x v="12"/>
    <x v="0"/>
    <n v="68.930000000000007"/>
    <n v="72.376499999999993"/>
    <n v="7"/>
    <s v="Credit card"/>
    <x v="13"/>
    <n v="3.4464999999999861"/>
  </r>
  <r>
    <s v="A"/>
    <x v="0"/>
    <x v="1"/>
    <x v="0"/>
    <x v="13"/>
    <x v="2"/>
    <n v="72.61"/>
    <n v="76.240499999999997"/>
    <n v="6"/>
    <s v="Credit card"/>
    <x v="14"/>
    <n v="3.6304999999999978"/>
  </r>
  <r>
    <s v="A"/>
    <x v="0"/>
    <x v="1"/>
    <x v="0"/>
    <x v="14"/>
    <x v="4"/>
    <n v="54.67"/>
    <n v="57.403500000000001"/>
    <n v="3"/>
    <s v="Credit card"/>
    <x v="15"/>
    <n v="2.7334999999999994"/>
  </r>
  <r>
    <s v="C"/>
    <x v="1"/>
    <x v="0"/>
    <x v="0"/>
    <x v="5"/>
    <x v="1"/>
    <n v="86.04"/>
    <n v="90.341999999999999"/>
    <n v="5"/>
    <s v="Ewallet"/>
    <x v="16"/>
    <n v="4.3019999999999925"/>
  </r>
  <r>
    <s v="B"/>
    <x v="2"/>
    <x v="1"/>
    <x v="0"/>
    <x v="2"/>
    <x v="0"/>
    <n v="87.98"/>
    <n v="92.379000000000005"/>
    <n v="3"/>
    <s v="Ewallet"/>
    <x v="17"/>
    <n v="4.3990000000000009"/>
  </r>
  <r>
    <s v="A"/>
    <x v="0"/>
    <x v="1"/>
    <x v="0"/>
    <x v="8"/>
    <x v="1"/>
    <n v="34.56"/>
    <n v="36.287999999999997"/>
    <n v="5"/>
    <s v="Ewallet"/>
    <x v="18"/>
    <n v="1.7279999999999944"/>
  </r>
  <r>
    <s v="A"/>
    <x v="0"/>
    <x v="0"/>
    <x v="0"/>
    <x v="15"/>
    <x v="2"/>
    <n v="88.63"/>
    <n v="93.061500000000009"/>
    <n v="3"/>
    <s v="Ewallet"/>
    <x v="19"/>
    <n v="4.431500000000014"/>
  </r>
  <r>
    <s v="B"/>
    <x v="2"/>
    <x v="1"/>
    <x v="0"/>
    <x v="16"/>
    <x v="4"/>
    <n v="88.36"/>
    <n v="92.777999999999992"/>
    <n v="5"/>
    <s v="Cash"/>
    <x v="1"/>
    <n v="4.4179999999999922"/>
  </r>
  <r>
    <s v="A"/>
    <x v="0"/>
    <x v="1"/>
    <x v="0"/>
    <x v="17"/>
    <x v="0"/>
    <n v="24.89"/>
    <n v="26.134499999999999"/>
    <n v="9"/>
    <s v="Cash"/>
    <x v="20"/>
    <n v="1.2444999999999986"/>
  </r>
  <r>
    <s v="B"/>
    <x v="2"/>
    <x v="0"/>
    <x v="0"/>
    <x v="18"/>
    <x v="2"/>
    <n v="78.069999999999993"/>
    <n v="81.973500000000001"/>
    <n v="9"/>
    <s v="Cash"/>
    <x v="12"/>
    <n v="3.9035000000000082"/>
  </r>
  <r>
    <s v="B"/>
    <x v="2"/>
    <x v="1"/>
    <x v="0"/>
    <x v="19"/>
    <x v="2"/>
    <n v="83.78"/>
    <n v="87.968999999999994"/>
    <n v="8"/>
    <s v="Cash"/>
    <x v="17"/>
    <n v="4.188999999999993"/>
  </r>
  <r>
    <s v="A"/>
    <x v="0"/>
    <x v="1"/>
    <x v="0"/>
    <x v="20"/>
    <x v="0"/>
    <n v="96.58"/>
    <n v="101.40900000000001"/>
    <n v="2"/>
    <s v="Credit card"/>
    <x v="17"/>
    <n v="4.8290000000000077"/>
  </r>
  <r>
    <s v="C"/>
    <x v="1"/>
    <x v="0"/>
    <x v="0"/>
    <x v="21"/>
    <x v="4"/>
    <n v="99.42"/>
    <n v="104.39100000000001"/>
    <n v="4"/>
    <s v="Ewallet"/>
    <x v="21"/>
    <n v="4.9710000000000036"/>
  </r>
  <r>
    <s v="C"/>
    <x v="1"/>
    <x v="0"/>
    <x v="0"/>
    <x v="22"/>
    <x v="2"/>
    <n v="68.12"/>
    <n v="71.525999999999996"/>
    <n v="1"/>
    <s v="Ewallet"/>
    <x v="8"/>
    <n v="3.4059999999999917"/>
  </r>
  <r>
    <s v="A"/>
    <x v="0"/>
    <x v="0"/>
    <x v="0"/>
    <x v="23"/>
    <x v="2"/>
    <n v="62.62"/>
    <n v="65.751000000000005"/>
    <n v="5"/>
    <s v="Ewallet"/>
    <x v="22"/>
    <n v="3.1310000000000073"/>
  </r>
  <r>
    <s v="A"/>
    <x v="0"/>
    <x v="1"/>
    <x v="0"/>
    <x v="8"/>
    <x v="1"/>
    <n v="60.88"/>
    <n v="63.924000000000007"/>
    <n v="9"/>
    <s v="Ewallet"/>
    <x v="23"/>
    <n v="3.044000000000004"/>
  </r>
  <r>
    <s v="C"/>
    <x v="1"/>
    <x v="1"/>
    <x v="0"/>
    <x v="20"/>
    <x v="0"/>
    <n v="54.92"/>
    <n v="57.665999999999997"/>
    <n v="8"/>
    <s v="Ewallet"/>
    <x v="24"/>
    <n v="2.7459999999999951"/>
  </r>
  <r>
    <s v="B"/>
    <x v="2"/>
    <x v="0"/>
    <x v="0"/>
    <x v="11"/>
    <x v="2"/>
    <n v="69.12"/>
    <n v="72.576000000000008"/>
    <n v="6"/>
    <s v="Cash"/>
    <x v="25"/>
    <n v="3.4560000000000031"/>
  </r>
  <r>
    <s v="C"/>
    <x v="1"/>
    <x v="0"/>
    <x v="0"/>
    <x v="24"/>
    <x v="4"/>
    <n v="98.7"/>
    <n v="103.63500000000001"/>
    <n v="8"/>
    <s v="Cash"/>
    <x v="24"/>
    <n v="4.9350000000000023"/>
  </r>
  <r>
    <s v="C"/>
    <x v="1"/>
    <x v="0"/>
    <x v="0"/>
    <x v="10"/>
    <x v="0"/>
    <n v="15.37"/>
    <n v="16.138500000000001"/>
    <n v="2"/>
    <s v="Cash"/>
    <x v="6"/>
    <n v="0.76850000000000129"/>
  </r>
  <r>
    <s v="B"/>
    <x v="2"/>
    <x v="0"/>
    <x v="0"/>
    <x v="8"/>
    <x v="1"/>
    <n v="93.96"/>
    <n v="98.658000000000001"/>
    <n v="4"/>
    <s v="Cash"/>
    <x v="26"/>
    <n v="4.6980000000000075"/>
  </r>
  <r>
    <s v="B"/>
    <x v="2"/>
    <x v="0"/>
    <x v="0"/>
    <x v="20"/>
    <x v="0"/>
    <n v="56.69"/>
    <n v="59.524500000000003"/>
    <n v="9"/>
    <s v="Credit card"/>
    <x v="2"/>
    <n v="2.8345000000000056"/>
  </r>
  <r>
    <s v="B"/>
    <x v="2"/>
    <x v="0"/>
    <x v="0"/>
    <x v="21"/>
    <x v="4"/>
    <n v="20.010000000000002"/>
    <n v="21.0105"/>
    <n v="9"/>
    <s v="Ewallet"/>
    <x v="4"/>
    <n v="1.0004999999999988"/>
  </r>
  <r>
    <s v="B"/>
    <x v="2"/>
    <x v="0"/>
    <x v="0"/>
    <x v="8"/>
    <x v="1"/>
    <n v="18.93"/>
    <n v="19.8765"/>
    <n v="6"/>
    <s v="Credit card"/>
    <x v="27"/>
    <n v="0.94650000000000034"/>
  </r>
  <r>
    <s v="C"/>
    <x v="1"/>
    <x v="0"/>
    <x v="0"/>
    <x v="21"/>
    <x v="4"/>
    <n v="91.4"/>
    <n v="95.97"/>
    <n v="7"/>
    <s v="Cash"/>
    <x v="26"/>
    <n v="4.5699999999999932"/>
  </r>
  <r>
    <s v="A"/>
    <x v="0"/>
    <x v="0"/>
    <x v="0"/>
    <x v="21"/>
    <x v="4"/>
    <n v="44.59"/>
    <n v="46.819499999999998"/>
    <n v="5"/>
    <s v="Cash"/>
    <x v="28"/>
    <n v="2.2294999999999945"/>
  </r>
  <r>
    <s v="C"/>
    <x v="1"/>
    <x v="1"/>
    <x v="0"/>
    <x v="1"/>
    <x v="1"/>
    <n v="85.98"/>
    <n v="90.278999999999996"/>
    <n v="8"/>
    <s v="Cash"/>
    <x v="10"/>
    <n v="4.2989999999999924"/>
  </r>
  <r>
    <s v="A"/>
    <x v="0"/>
    <x v="1"/>
    <x v="0"/>
    <x v="20"/>
    <x v="0"/>
    <n v="89.6"/>
    <n v="94.08"/>
    <n v="8"/>
    <s v="Ewallet"/>
    <x v="29"/>
    <n v="4.480000000000004"/>
  </r>
  <r>
    <s v="C"/>
    <x v="1"/>
    <x v="1"/>
    <x v="0"/>
    <x v="1"/>
    <x v="1"/>
    <n v="30.61"/>
    <n v="32.140499999999996"/>
    <n v="6"/>
    <s v="Cash"/>
    <x v="30"/>
    <n v="1.5304999999999964"/>
  </r>
  <r>
    <s v="C"/>
    <x v="1"/>
    <x v="0"/>
    <x v="0"/>
    <x v="13"/>
    <x v="2"/>
    <n v="24.74"/>
    <n v="25.977"/>
    <n v="3"/>
    <s v="Credit card"/>
    <x v="31"/>
    <n v="1.2370000000000019"/>
  </r>
  <r>
    <s v="B"/>
    <x v="2"/>
    <x v="0"/>
    <x v="0"/>
    <x v="3"/>
    <x v="2"/>
    <n v="55.07"/>
    <n v="57.823500000000003"/>
    <n v="9"/>
    <s v="Ewallet"/>
    <x v="31"/>
    <n v="2.7535000000000025"/>
  </r>
  <r>
    <s v="A"/>
    <x v="0"/>
    <x v="0"/>
    <x v="0"/>
    <x v="22"/>
    <x v="2"/>
    <n v="15.81"/>
    <n v="16.6005"/>
    <n v="10"/>
    <s v="Credit card"/>
    <x v="15"/>
    <n v="0.79049999999999976"/>
  </r>
  <r>
    <s v="B"/>
    <x v="2"/>
    <x v="0"/>
    <x v="0"/>
    <x v="20"/>
    <x v="0"/>
    <n v="75.739999999999995"/>
    <n v="79.527000000000001"/>
    <n v="4"/>
    <s v="Cash"/>
    <x v="24"/>
    <n v="3.7870000000000061"/>
  </r>
  <r>
    <s v="A"/>
    <x v="0"/>
    <x v="0"/>
    <x v="0"/>
    <x v="10"/>
    <x v="0"/>
    <n v="15.87"/>
    <n v="16.663499999999999"/>
    <n v="10"/>
    <s v="Cash"/>
    <x v="5"/>
    <n v="0.79349999999999987"/>
  </r>
  <r>
    <s v="C"/>
    <x v="1"/>
    <x v="1"/>
    <x v="0"/>
    <x v="0"/>
    <x v="0"/>
    <n v="33.47"/>
    <n v="35.143500000000003"/>
    <n v="2"/>
    <s v="Ewallet"/>
    <x v="32"/>
    <n v="1.6735000000000042"/>
  </r>
  <r>
    <s v="A"/>
    <x v="0"/>
    <x v="1"/>
    <x v="1"/>
    <x v="22"/>
    <x v="2"/>
    <n v="78.77"/>
    <n v="82.708500000000001"/>
    <n v="10"/>
    <s v="Cash"/>
    <x v="33"/>
    <n v="3.9385000000000048"/>
  </r>
  <r>
    <s v="A"/>
    <x v="0"/>
    <x v="0"/>
    <x v="0"/>
    <x v="0"/>
    <x v="0"/>
    <n v="18.329999999999998"/>
    <n v="19.246500000000001"/>
    <n v="1"/>
    <s v="Cash"/>
    <x v="34"/>
    <n v="0.91650000000000276"/>
  </r>
  <r>
    <s v="C"/>
    <x v="1"/>
    <x v="1"/>
    <x v="1"/>
    <x v="21"/>
    <x v="4"/>
    <n v="89.48"/>
    <n v="93.953999999999994"/>
    <n v="10"/>
    <s v="Credit card"/>
    <x v="1"/>
    <n v="4.4739999999999895"/>
  </r>
  <r>
    <s v="B"/>
    <x v="2"/>
    <x v="0"/>
    <x v="0"/>
    <x v="24"/>
    <x v="4"/>
    <n v="48.52"/>
    <n v="50.945999999999998"/>
    <n v="3"/>
    <s v="Ewallet"/>
    <x v="35"/>
    <n v="2.4259999999999948"/>
  </r>
  <r>
    <s v="C"/>
    <x v="1"/>
    <x v="1"/>
    <x v="0"/>
    <x v="25"/>
    <x v="1"/>
    <n v="75.91"/>
    <n v="79.705500000000001"/>
    <n v="6"/>
    <s v="Cash"/>
    <x v="36"/>
    <n v="3.7955000000000041"/>
  </r>
  <r>
    <s v="C"/>
    <x v="1"/>
    <x v="1"/>
    <x v="0"/>
    <x v="5"/>
    <x v="1"/>
    <n v="41.65"/>
    <n v="43.732500000000002"/>
    <n v="10"/>
    <s v="Credit card"/>
    <x v="37"/>
    <n v="2.0825000000000031"/>
  </r>
  <r>
    <s v="C"/>
    <x v="1"/>
    <x v="0"/>
    <x v="0"/>
    <x v="9"/>
    <x v="4"/>
    <n v="78.31"/>
    <n v="82.225499999999997"/>
    <n v="10"/>
    <s v="Ewallet"/>
    <x v="29"/>
    <n v="3.9154999999999944"/>
  </r>
  <r>
    <s v="C"/>
    <x v="1"/>
    <x v="1"/>
    <x v="0"/>
    <x v="10"/>
    <x v="0"/>
    <n v="20.38"/>
    <n v="21.399000000000001"/>
    <n v="5"/>
    <s v="Cash"/>
    <x v="19"/>
    <n v="1.0190000000000019"/>
  </r>
  <r>
    <s v="C"/>
    <x v="1"/>
    <x v="1"/>
    <x v="0"/>
    <x v="0"/>
    <x v="0"/>
    <n v="99.19"/>
    <n v="104.1495"/>
    <n v="6"/>
    <s v="Credit card"/>
    <x v="38"/>
    <n v="4.9595000000000056"/>
  </r>
  <r>
    <s v="B"/>
    <x v="2"/>
    <x v="1"/>
    <x v="0"/>
    <x v="21"/>
    <x v="4"/>
    <n v="96.68"/>
    <n v="101.514"/>
    <n v="3"/>
    <s v="Ewallet"/>
    <x v="33"/>
    <n v="4.833999999999989"/>
  </r>
  <r>
    <s v="C"/>
    <x v="1"/>
    <x v="1"/>
    <x v="1"/>
    <x v="21"/>
    <x v="4"/>
    <n v="19.25"/>
    <n v="20.212499999999999"/>
    <n v="8"/>
    <s v="Ewallet"/>
    <x v="29"/>
    <n v="0.96249999999999858"/>
  </r>
  <r>
    <s v="C"/>
    <x v="1"/>
    <x v="0"/>
    <x v="0"/>
    <x v="21"/>
    <x v="4"/>
    <n v="80.36"/>
    <n v="84.378"/>
    <n v="4"/>
    <s v="Credit card"/>
    <x v="39"/>
    <n v="4.0180000000000007"/>
  </r>
  <r>
    <s v="C"/>
    <x v="1"/>
    <x v="0"/>
    <x v="1"/>
    <x v="13"/>
    <x v="2"/>
    <n v="48.91"/>
    <n v="51.355499999999992"/>
    <n v="5"/>
    <s v="Cash"/>
    <x v="29"/>
    <n v="2.4454999999999956"/>
  </r>
  <r>
    <s v="C"/>
    <x v="1"/>
    <x v="1"/>
    <x v="0"/>
    <x v="22"/>
    <x v="2"/>
    <n v="83.06"/>
    <n v="87.212999999999994"/>
    <n v="7"/>
    <s v="Ewallet"/>
    <x v="35"/>
    <n v="4.1529999999999916"/>
  </r>
  <r>
    <s v="A"/>
    <x v="0"/>
    <x v="0"/>
    <x v="1"/>
    <x v="14"/>
    <x v="4"/>
    <n v="49.38"/>
    <n v="51.848999999999997"/>
    <n v="7"/>
    <s v="Credit card"/>
    <x v="40"/>
    <n v="2.4689999999999941"/>
  </r>
  <r>
    <s v="A"/>
    <x v="0"/>
    <x v="1"/>
    <x v="1"/>
    <x v="15"/>
    <x v="2"/>
    <n v="42.47"/>
    <n v="44.593499999999999"/>
    <n v="1"/>
    <s v="Cash"/>
    <x v="11"/>
    <n v="2.1234999999999999"/>
  </r>
  <r>
    <s v="B"/>
    <x v="2"/>
    <x v="1"/>
    <x v="0"/>
    <x v="17"/>
    <x v="0"/>
    <n v="76.989999999999995"/>
    <n v="80.839500000000001"/>
    <n v="6"/>
    <s v="Cash"/>
    <x v="41"/>
    <n v="3.8495000000000061"/>
  </r>
  <r>
    <s v="C"/>
    <x v="1"/>
    <x v="1"/>
    <x v="0"/>
    <x v="22"/>
    <x v="2"/>
    <n v="44.86"/>
    <n v="47.102999999999994"/>
    <n v="10"/>
    <s v="Ewallet"/>
    <x v="10"/>
    <n v="2.242999999999995"/>
  </r>
  <r>
    <s v="A"/>
    <x v="0"/>
    <x v="0"/>
    <x v="0"/>
    <x v="11"/>
    <x v="2"/>
    <n v="21.98"/>
    <n v="23.079000000000001"/>
    <n v="7"/>
    <s v="Ewallet"/>
    <x v="17"/>
    <n v="1.0990000000000002"/>
  </r>
  <r>
    <s v="B"/>
    <x v="2"/>
    <x v="0"/>
    <x v="1"/>
    <x v="10"/>
    <x v="0"/>
    <n v="64.36"/>
    <n v="67.578000000000003"/>
    <n v="9"/>
    <s v="Credit card"/>
    <x v="15"/>
    <n v="3.2180000000000035"/>
  </r>
  <r>
    <s v="C"/>
    <x v="1"/>
    <x v="1"/>
    <x v="1"/>
    <x v="17"/>
    <x v="0"/>
    <n v="89.75"/>
    <n v="94.237499999999997"/>
    <n v="1"/>
    <s v="Credit card"/>
    <x v="29"/>
    <n v="4.4874999999999972"/>
  </r>
  <r>
    <s v="A"/>
    <x v="0"/>
    <x v="1"/>
    <x v="1"/>
    <x v="1"/>
    <x v="1"/>
    <n v="97.16"/>
    <n v="102.018"/>
    <n v="1"/>
    <s v="Ewallet"/>
    <x v="6"/>
    <n v="4.8580000000000041"/>
  </r>
  <r>
    <s v="B"/>
    <x v="2"/>
    <x v="1"/>
    <x v="1"/>
    <x v="17"/>
    <x v="0"/>
    <n v="87.87"/>
    <n v="92.263499999999993"/>
    <n v="10"/>
    <s v="Ewallet"/>
    <x v="17"/>
    <n v="4.3934999999999889"/>
  </r>
  <r>
    <s v="C"/>
    <x v="1"/>
    <x v="1"/>
    <x v="0"/>
    <x v="1"/>
    <x v="1"/>
    <n v="12.45"/>
    <n v="13.0725"/>
    <n v="6"/>
    <s v="Cash"/>
    <x v="4"/>
    <n v="0.6225000000000005"/>
  </r>
  <r>
    <s v="A"/>
    <x v="0"/>
    <x v="1"/>
    <x v="1"/>
    <x v="21"/>
    <x v="4"/>
    <n v="52.75"/>
    <n v="55.387499999999996"/>
    <n v="3"/>
    <s v="Ewallet"/>
    <x v="30"/>
    <n v="2.6374999999999957"/>
  </r>
  <r>
    <s v="C"/>
    <x v="1"/>
    <x v="1"/>
    <x v="0"/>
    <x v="1"/>
    <x v="1"/>
    <n v="23.07"/>
    <n v="24.223500000000001"/>
    <n v="9"/>
    <s v="Cash"/>
    <x v="42"/>
    <n v="1.1535000000000011"/>
  </r>
  <r>
    <s v="A"/>
    <x v="0"/>
    <x v="1"/>
    <x v="1"/>
    <x v="21"/>
    <x v="4"/>
    <n v="58.26"/>
    <n v="61.173000000000002"/>
    <n v="6"/>
    <s v="Cash"/>
    <x v="18"/>
    <n v="2.9130000000000038"/>
  </r>
  <r>
    <s v="B"/>
    <x v="2"/>
    <x v="1"/>
    <x v="1"/>
    <x v="0"/>
    <x v="0"/>
    <n v="30.35"/>
    <n v="31.8675"/>
    <n v="7"/>
    <s v="Cash"/>
    <x v="43"/>
    <n v="1.5174999999999983"/>
  </r>
  <r>
    <s v="A"/>
    <x v="0"/>
    <x v="0"/>
    <x v="1"/>
    <x v="4"/>
    <x v="1"/>
    <n v="88.67"/>
    <n v="93.103499999999997"/>
    <n v="10"/>
    <s v="Ewallet"/>
    <x v="40"/>
    <n v="4.4334999999999951"/>
  </r>
  <r>
    <s v="A"/>
    <x v="0"/>
    <x v="1"/>
    <x v="1"/>
    <x v="22"/>
    <x v="2"/>
    <n v="62.13"/>
    <n v="65.236499999999992"/>
    <n v="6"/>
    <s v="Cash"/>
    <x v="20"/>
    <n v="3.1064999999999898"/>
  </r>
  <r>
    <s v="C"/>
    <x v="1"/>
    <x v="1"/>
    <x v="0"/>
    <x v="7"/>
    <x v="4"/>
    <n v="33.979999999999997"/>
    <n v="35.679000000000002"/>
    <n v="9"/>
    <s v="Cash"/>
    <x v="44"/>
    <n v="1.6990000000000052"/>
  </r>
  <r>
    <s v="C"/>
    <x v="1"/>
    <x v="0"/>
    <x v="1"/>
    <x v="1"/>
    <x v="1"/>
    <n v="81.97"/>
    <n v="86.0685"/>
    <n v="10"/>
    <s v="Cash"/>
    <x v="45"/>
    <n v="4.0985000000000014"/>
  </r>
  <r>
    <s v="B"/>
    <x v="2"/>
    <x v="0"/>
    <x v="0"/>
    <x v="22"/>
    <x v="2"/>
    <n v="16.489999999999998"/>
    <n v="17.314499999999999"/>
    <n v="2"/>
    <s v="Ewallet"/>
    <x v="13"/>
    <n v="0.82450000000000045"/>
  </r>
  <r>
    <s v="C"/>
    <x v="1"/>
    <x v="0"/>
    <x v="0"/>
    <x v="10"/>
    <x v="0"/>
    <n v="98.21"/>
    <n v="103.12049999999999"/>
    <n v="3"/>
    <s v="Credit card"/>
    <x v="46"/>
    <n v="4.910499999999999"/>
  </r>
  <r>
    <s v="A"/>
    <x v="0"/>
    <x v="1"/>
    <x v="0"/>
    <x v="7"/>
    <x v="4"/>
    <n v="10.96"/>
    <n v="11.507999999999999"/>
    <n v="10"/>
    <s v="Ewallet"/>
    <x v="19"/>
    <n v="0.54799999999999827"/>
  </r>
  <r>
    <s v="A"/>
    <x v="0"/>
    <x v="1"/>
    <x v="0"/>
    <x v="1"/>
    <x v="1"/>
    <n v="99.56"/>
    <n v="104.538"/>
    <n v="8"/>
    <s v="Credit card"/>
    <x v="47"/>
    <n v="4.9779999999999944"/>
  </r>
  <r>
    <s v="C"/>
    <x v="1"/>
    <x v="0"/>
    <x v="1"/>
    <x v="22"/>
    <x v="2"/>
    <n v="57.12"/>
    <n v="59.975999999999999"/>
    <n v="7"/>
    <s v="Credit card"/>
    <x v="48"/>
    <n v="2.8560000000000016"/>
  </r>
  <r>
    <s v="B"/>
    <x v="2"/>
    <x v="0"/>
    <x v="1"/>
    <x v="22"/>
    <x v="2"/>
    <n v="99.96"/>
    <n v="104.958"/>
    <n v="9"/>
    <s v="Credit card"/>
    <x v="44"/>
    <n v="4.9980000000000047"/>
  </r>
  <r>
    <s v="A"/>
    <x v="0"/>
    <x v="1"/>
    <x v="0"/>
    <x v="22"/>
    <x v="2"/>
    <n v="32.25"/>
    <n v="33.862499999999997"/>
    <n v="5"/>
    <s v="Cash"/>
    <x v="49"/>
    <n v="1.6124999999999972"/>
  </r>
  <r>
    <s v="C"/>
    <x v="1"/>
    <x v="0"/>
    <x v="0"/>
    <x v="7"/>
    <x v="4"/>
    <n v="68.540000000000006"/>
    <n v="71.966999999999999"/>
    <n v="8"/>
    <s v="Ewallet"/>
    <x v="28"/>
    <n v="3.4269999999999925"/>
  </r>
  <r>
    <s v="B"/>
    <x v="2"/>
    <x v="1"/>
    <x v="0"/>
    <x v="15"/>
    <x v="2"/>
    <n v="90.28"/>
    <n v="94.793999999999997"/>
    <n v="9"/>
    <s v="Ewallet"/>
    <x v="6"/>
    <n v="4.5139999999999958"/>
  </r>
  <r>
    <s v="A"/>
    <x v="0"/>
    <x v="0"/>
    <x v="0"/>
    <x v="11"/>
    <x v="2"/>
    <n v="92.13"/>
    <n v="96.736499999999992"/>
    <n v="6"/>
    <s v="Cash"/>
    <x v="39"/>
    <n v="4.6064999999999969"/>
  </r>
  <r>
    <s v="B"/>
    <x v="2"/>
    <x v="1"/>
    <x v="0"/>
    <x v="3"/>
    <x v="2"/>
    <n v="34.840000000000003"/>
    <n v="36.582000000000001"/>
    <n v="4"/>
    <s v="Cash"/>
    <x v="20"/>
    <n v="1.7419999999999973"/>
  </r>
  <r>
    <s v="B"/>
    <x v="2"/>
    <x v="0"/>
    <x v="1"/>
    <x v="1"/>
    <x v="1"/>
    <n v="87.45"/>
    <n v="91.822499999999991"/>
    <n v="6"/>
    <s v="Credit card"/>
    <x v="50"/>
    <n v="4.3724999999999881"/>
  </r>
  <r>
    <s v="C"/>
    <x v="1"/>
    <x v="1"/>
    <x v="0"/>
    <x v="10"/>
    <x v="0"/>
    <n v="81.3"/>
    <n v="85.365000000000009"/>
    <n v="6"/>
    <s v="Ewallet"/>
    <x v="3"/>
    <n v="4.0650000000000119"/>
  </r>
  <r>
    <s v="A"/>
    <x v="0"/>
    <x v="1"/>
    <x v="0"/>
    <x v="5"/>
    <x v="1"/>
    <n v="26.31"/>
    <n v="27.625499999999999"/>
    <n v="5"/>
    <s v="Credit card"/>
    <x v="50"/>
    <n v="1.3155000000000001"/>
  </r>
  <r>
    <s v="B"/>
    <x v="2"/>
    <x v="1"/>
    <x v="1"/>
    <x v="18"/>
    <x v="2"/>
    <n v="51.91"/>
    <n v="54.505499999999998"/>
    <n v="10"/>
    <s v="Cash"/>
    <x v="10"/>
    <n v="2.5955000000000013"/>
  </r>
  <r>
    <s v="A"/>
    <x v="0"/>
    <x v="1"/>
    <x v="1"/>
    <x v="18"/>
    <x v="2"/>
    <n v="72.5"/>
    <n v="76.125"/>
    <n v="8"/>
    <s v="Ewallet"/>
    <x v="45"/>
    <n v="3.625"/>
  </r>
  <r>
    <s v="C"/>
    <x v="1"/>
    <x v="0"/>
    <x v="0"/>
    <x v="18"/>
    <x v="2"/>
    <n v="89.8"/>
    <n v="94.289999999999992"/>
    <n v="10"/>
    <s v="Credit card"/>
    <x v="37"/>
    <n v="4.4899999999999949"/>
  </r>
  <r>
    <s v="C"/>
    <x v="1"/>
    <x v="0"/>
    <x v="1"/>
    <x v="0"/>
    <x v="0"/>
    <n v="90.5"/>
    <n v="95.025000000000006"/>
    <n v="10"/>
    <s v="Cash"/>
    <x v="27"/>
    <n v="4.5250000000000057"/>
  </r>
  <r>
    <s v="C"/>
    <x v="1"/>
    <x v="0"/>
    <x v="0"/>
    <x v="0"/>
    <x v="0"/>
    <n v="68.599999999999994"/>
    <n v="72.03"/>
    <n v="10"/>
    <s v="Cash"/>
    <x v="0"/>
    <n v="3.4300000000000068"/>
  </r>
  <r>
    <s v="C"/>
    <x v="1"/>
    <x v="0"/>
    <x v="0"/>
    <x v="7"/>
    <x v="4"/>
    <n v="30.41"/>
    <n v="31.930499999999999"/>
    <n v="1"/>
    <s v="Credit card"/>
    <x v="2"/>
    <n v="1.5204999999999984"/>
  </r>
  <r>
    <s v="C"/>
    <x v="1"/>
    <x v="1"/>
    <x v="0"/>
    <x v="17"/>
    <x v="0"/>
    <n v="46.26"/>
    <n v="48.573"/>
    <n v="6"/>
    <s v="Credit card"/>
    <x v="26"/>
    <n v="2.3130000000000024"/>
  </r>
  <r>
    <s v="C"/>
    <x v="1"/>
    <x v="1"/>
    <x v="1"/>
    <x v="0"/>
    <x v="0"/>
    <n v="66.14"/>
    <n v="69.447000000000003"/>
    <n v="4"/>
    <s v="Credit card"/>
    <x v="25"/>
    <n v="3.3070000000000022"/>
  </r>
  <r>
    <s v="A"/>
    <x v="0"/>
    <x v="1"/>
    <x v="1"/>
    <x v="17"/>
    <x v="0"/>
    <n v="32.46"/>
    <n v="34.082999999999998"/>
    <n v="8"/>
    <s v="Credit card"/>
    <x v="42"/>
    <n v="1.6229999999999976"/>
  </r>
  <r>
    <s v="C"/>
    <x v="1"/>
    <x v="0"/>
    <x v="1"/>
    <x v="18"/>
    <x v="2"/>
    <n v="34.56"/>
    <n v="36.287999999999997"/>
    <n v="7"/>
    <s v="Credit card"/>
    <x v="40"/>
    <n v="1.7279999999999944"/>
  </r>
  <r>
    <s v="C"/>
    <x v="1"/>
    <x v="1"/>
    <x v="0"/>
    <x v="7"/>
    <x v="4"/>
    <n v="16.48"/>
    <n v="17.303999999999998"/>
    <n v="6"/>
    <s v="Ewallet"/>
    <x v="18"/>
    <n v="0.82399999999999807"/>
  </r>
  <r>
    <s v="C"/>
    <x v="1"/>
    <x v="1"/>
    <x v="0"/>
    <x v="18"/>
    <x v="2"/>
    <n v="80.97"/>
    <n v="85.018500000000003"/>
    <n v="8"/>
    <s v="Cash"/>
    <x v="30"/>
    <n v="4.0485000000000042"/>
  </r>
  <r>
    <s v="A"/>
    <x v="0"/>
    <x v="0"/>
    <x v="1"/>
    <x v="7"/>
    <x v="4"/>
    <n v="92.29"/>
    <n v="96.904499999999999"/>
    <n v="5"/>
    <s v="Credit card"/>
    <x v="49"/>
    <n v="4.6144999999999925"/>
  </r>
  <r>
    <s v="B"/>
    <x v="2"/>
    <x v="0"/>
    <x v="1"/>
    <x v="1"/>
    <x v="1"/>
    <n v="72.17"/>
    <n v="75.778499999999994"/>
    <n v="1"/>
    <s v="Cash"/>
    <x v="41"/>
    <n v="3.6084999999999923"/>
  </r>
  <r>
    <s v="B"/>
    <x v="2"/>
    <x v="0"/>
    <x v="1"/>
    <x v="17"/>
    <x v="0"/>
    <n v="97.22"/>
    <n v="102.081"/>
    <n v="9"/>
    <s v="Ewallet"/>
    <x v="19"/>
    <n v="4.8610000000000042"/>
  </r>
  <r>
    <s v="B"/>
    <x v="2"/>
    <x v="1"/>
    <x v="1"/>
    <x v="18"/>
    <x v="2"/>
    <n v="93.39"/>
    <n v="98.0595"/>
    <n v="6"/>
    <s v="Ewallet"/>
    <x v="31"/>
    <n v="4.6694999999999993"/>
  </r>
  <r>
    <s v="C"/>
    <x v="1"/>
    <x v="1"/>
    <x v="0"/>
    <x v="9"/>
    <x v="4"/>
    <n v="43.18"/>
    <n v="45.338999999999999"/>
    <n v="8"/>
    <s v="Credit card"/>
    <x v="39"/>
    <n v="2.1589999999999989"/>
  </r>
  <r>
    <s v="A"/>
    <x v="0"/>
    <x v="1"/>
    <x v="1"/>
    <x v="18"/>
    <x v="2"/>
    <n v="63.69"/>
    <n v="66.874499999999998"/>
    <n v="1"/>
    <s v="Cash"/>
    <x v="19"/>
    <n v="3.1844999999999999"/>
  </r>
  <r>
    <s v="A"/>
    <x v="0"/>
    <x v="1"/>
    <x v="1"/>
    <x v="7"/>
    <x v="4"/>
    <n v="45.79"/>
    <n v="48.079500000000003"/>
    <n v="7"/>
    <s v="Credit card"/>
    <x v="22"/>
    <n v="2.2895000000000039"/>
  </r>
  <r>
    <s v="C"/>
    <x v="1"/>
    <x v="1"/>
    <x v="1"/>
    <x v="11"/>
    <x v="2"/>
    <n v="76.400000000000006"/>
    <n v="80.22"/>
    <n v="2"/>
    <s v="Ewallet"/>
    <x v="48"/>
    <n v="3.8199999999999932"/>
  </r>
  <r>
    <s v="B"/>
    <x v="2"/>
    <x v="1"/>
    <x v="1"/>
    <x v="7"/>
    <x v="4"/>
    <n v="39.9"/>
    <n v="41.894999999999996"/>
    <n v="10"/>
    <s v="Credit card"/>
    <x v="7"/>
    <n v="1.9949999999999974"/>
  </r>
  <r>
    <s v="B"/>
    <x v="2"/>
    <x v="0"/>
    <x v="1"/>
    <x v="10"/>
    <x v="0"/>
    <n v="42.57"/>
    <n v="44.698500000000003"/>
    <n v="8"/>
    <s v="Ewallet"/>
    <x v="25"/>
    <n v="2.1285000000000025"/>
  </r>
  <r>
    <s v="A"/>
    <x v="0"/>
    <x v="1"/>
    <x v="1"/>
    <x v="7"/>
    <x v="4"/>
    <n v="51.28"/>
    <n v="53.844000000000001"/>
    <n v="6"/>
    <s v="Cash"/>
    <x v="48"/>
    <n v="2.5640000000000001"/>
  </r>
  <r>
    <s v="A"/>
    <x v="0"/>
    <x v="0"/>
    <x v="1"/>
    <x v="3"/>
    <x v="2"/>
    <n v="69.52"/>
    <n v="72.995999999999995"/>
    <n v="7"/>
    <s v="Credit card"/>
    <x v="28"/>
    <n v="3.4759999999999991"/>
  </r>
  <r>
    <s v="A"/>
    <x v="0"/>
    <x v="1"/>
    <x v="1"/>
    <x v="0"/>
    <x v="0"/>
    <n v="70.010000000000005"/>
    <n v="73.510500000000008"/>
    <n v="5"/>
    <s v="Ewallet"/>
    <x v="38"/>
    <n v="3.5005000000000024"/>
  </r>
  <r>
    <s v="B"/>
    <x v="2"/>
    <x v="0"/>
    <x v="1"/>
    <x v="7"/>
    <x v="4"/>
    <n v="80.05"/>
    <n v="84.052499999999995"/>
    <n v="5"/>
    <s v="Credit card"/>
    <x v="51"/>
    <n v="4.0024999999999977"/>
  </r>
  <r>
    <s v="C"/>
    <x v="1"/>
    <x v="1"/>
    <x v="1"/>
    <x v="1"/>
    <x v="1"/>
    <n v="20.85"/>
    <n v="21.892499999999998"/>
    <n v="8"/>
    <s v="Cash"/>
    <x v="52"/>
    <n v="1.0424999999999969"/>
  </r>
  <r>
    <s v="B"/>
    <x v="2"/>
    <x v="0"/>
    <x v="1"/>
    <x v="25"/>
    <x v="1"/>
    <n v="52.89"/>
    <n v="55.534500000000001"/>
    <n v="6"/>
    <s v="Credit card"/>
    <x v="53"/>
    <n v="2.6445000000000007"/>
  </r>
  <r>
    <s v="B"/>
    <x v="2"/>
    <x v="1"/>
    <x v="1"/>
    <x v="7"/>
    <x v="4"/>
    <n v="19.79"/>
    <n v="20.779499999999999"/>
    <n v="8"/>
    <s v="Ewallet"/>
    <x v="36"/>
    <n v="0.9894999999999996"/>
  </r>
  <r>
    <s v="A"/>
    <x v="0"/>
    <x v="0"/>
    <x v="1"/>
    <x v="7"/>
    <x v="4"/>
    <n v="22.17"/>
    <n v="23.278500000000001"/>
    <n v="8"/>
    <s v="Credit card"/>
    <x v="1"/>
    <n v="1.1084999999999994"/>
  </r>
  <r>
    <s v="A"/>
    <x v="0"/>
    <x v="1"/>
    <x v="1"/>
    <x v="9"/>
    <x v="4"/>
    <n v="73.88"/>
    <n v="77.573999999999998"/>
    <n v="6"/>
    <s v="Ewallet"/>
    <x v="54"/>
    <n v="3.6940000000000026"/>
  </r>
  <r>
    <s v="C"/>
    <x v="1"/>
    <x v="0"/>
    <x v="1"/>
    <x v="17"/>
    <x v="0"/>
    <n v="86.8"/>
    <n v="91.14"/>
    <n v="3"/>
    <s v="Ewallet"/>
    <x v="18"/>
    <n v="4.3400000000000034"/>
  </r>
  <r>
    <s v="C"/>
    <x v="1"/>
    <x v="0"/>
    <x v="1"/>
    <x v="7"/>
    <x v="4"/>
    <n v="38.47"/>
    <n v="40.393500000000003"/>
    <n v="8"/>
    <s v="Cash"/>
    <x v="55"/>
    <n v="1.9235000000000042"/>
  </r>
  <r>
    <s v="A"/>
    <x v="0"/>
    <x v="0"/>
    <x v="1"/>
    <x v="13"/>
    <x v="2"/>
    <n v="15.5"/>
    <n v="16.274999999999999"/>
    <n v="10"/>
    <s v="Ewallet"/>
    <x v="43"/>
    <n v="0.77499999999999858"/>
  </r>
  <r>
    <s v="C"/>
    <x v="1"/>
    <x v="1"/>
    <x v="1"/>
    <x v="0"/>
    <x v="0"/>
    <n v="34.31"/>
    <n v="36.025500000000001"/>
    <n v="8"/>
    <s v="Ewallet"/>
    <x v="11"/>
    <n v="1.7154999999999987"/>
  </r>
  <r>
    <s v="A"/>
    <x v="0"/>
    <x v="1"/>
    <x v="0"/>
    <x v="13"/>
    <x v="2"/>
    <n v="12.34"/>
    <n v="12.956999999999999"/>
    <n v="7"/>
    <s v="Credit card"/>
    <x v="32"/>
    <n v="0.6169999999999991"/>
  </r>
  <r>
    <s v="B"/>
    <x v="2"/>
    <x v="0"/>
    <x v="1"/>
    <x v="7"/>
    <x v="4"/>
    <n v="18.079999999999998"/>
    <n v="18.983999999999998"/>
    <n v="3"/>
    <s v="Ewallet"/>
    <x v="43"/>
    <n v="0.90399999999999991"/>
  </r>
  <r>
    <s v="C"/>
    <x v="1"/>
    <x v="1"/>
    <x v="0"/>
    <x v="7"/>
    <x v="4"/>
    <n v="87.8"/>
    <n v="92.19"/>
    <n v="9"/>
    <s v="Cash"/>
    <x v="45"/>
    <n v="4.3900000000000006"/>
  </r>
  <r>
    <s v="A"/>
    <x v="0"/>
    <x v="1"/>
    <x v="1"/>
    <x v="1"/>
    <x v="1"/>
    <n v="32.71"/>
    <n v="34.345500000000001"/>
    <n v="5"/>
    <s v="Credit card"/>
    <x v="18"/>
    <n v="1.6355000000000004"/>
  </r>
  <r>
    <s v="C"/>
    <x v="1"/>
    <x v="0"/>
    <x v="1"/>
    <x v="0"/>
    <x v="0"/>
    <n v="43.7"/>
    <n v="45.884999999999998"/>
    <n v="2"/>
    <s v="Cash"/>
    <x v="42"/>
    <n v="2.1849999999999952"/>
  </r>
  <r>
    <s v="C"/>
    <x v="1"/>
    <x v="1"/>
    <x v="1"/>
    <x v="0"/>
    <x v="0"/>
    <n v="41.5"/>
    <n v="43.575000000000003"/>
    <n v="4"/>
    <s v="Credit card"/>
    <x v="10"/>
    <n v="2.0750000000000028"/>
  </r>
  <r>
    <s v="C"/>
    <x v="1"/>
    <x v="0"/>
    <x v="0"/>
    <x v="7"/>
    <x v="4"/>
    <n v="71.39"/>
    <n v="74.959500000000006"/>
    <n v="5"/>
    <s v="Credit card"/>
    <x v="38"/>
    <n v="3.569500000000005"/>
  </r>
  <r>
    <s v="C"/>
    <x v="1"/>
    <x v="0"/>
    <x v="0"/>
    <x v="13"/>
    <x v="2"/>
    <n v="19.149999999999999"/>
    <n v="20.107499999999998"/>
    <n v="6"/>
    <s v="Credit card"/>
    <x v="8"/>
    <n v="0.95749999999999957"/>
  </r>
  <r>
    <s v="B"/>
    <x v="2"/>
    <x v="0"/>
    <x v="0"/>
    <x v="1"/>
    <x v="1"/>
    <n v="57.49"/>
    <n v="60.3645"/>
    <n v="4"/>
    <s v="Cash"/>
    <x v="29"/>
    <n v="2.8744999999999976"/>
  </r>
  <r>
    <s v="C"/>
    <x v="1"/>
    <x v="1"/>
    <x v="1"/>
    <x v="4"/>
    <x v="1"/>
    <n v="61.41"/>
    <n v="64.480499999999992"/>
    <n v="7"/>
    <s v="Cash"/>
    <x v="53"/>
    <n v="3.0704999999999956"/>
  </r>
  <r>
    <s v="B"/>
    <x v="2"/>
    <x v="0"/>
    <x v="1"/>
    <x v="17"/>
    <x v="0"/>
    <n v="25.9"/>
    <n v="27.195"/>
    <n v="10"/>
    <s v="Ewallet"/>
    <x v="36"/>
    <n v="1.2950000000000017"/>
  </r>
  <r>
    <s v="A"/>
    <x v="0"/>
    <x v="1"/>
    <x v="0"/>
    <x v="0"/>
    <x v="0"/>
    <n v="23.03"/>
    <n v="24.1815"/>
    <n v="9"/>
    <s v="Ewallet"/>
    <x v="56"/>
    <n v="1.1514999999999986"/>
  </r>
  <r>
    <s v="C"/>
    <x v="1"/>
    <x v="0"/>
    <x v="0"/>
    <x v="4"/>
    <x v="1"/>
    <n v="66.650000000000006"/>
    <n v="69.982500000000002"/>
    <n v="9"/>
    <s v="Credit card"/>
    <x v="57"/>
    <n v="3.332499999999996"/>
  </r>
  <r>
    <s v="B"/>
    <x v="2"/>
    <x v="1"/>
    <x v="0"/>
    <x v="4"/>
    <x v="1"/>
    <n v="99.73"/>
    <n v="104.7165"/>
    <n v="9"/>
    <s v="Credit card"/>
    <x v="48"/>
    <n v="4.9864999999999924"/>
  </r>
  <r>
    <s v="A"/>
    <x v="0"/>
    <x v="1"/>
    <x v="1"/>
    <x v="4"/>
    <x v="1"/>
    <n v="26.23"/>
    <n v="27.541499999999999"/>
    <n v="9"/>
    <s v="Ewallet"/>
    <x v="7"/>
    <n v="1.3114999999999988"/>
  </r>
  <r>
    <s v="C"/>
    <x v="1"/>
    <x v="1"/>
    <x v="0"/>
    <x v="7"/>
    <x v="4"/>
    <n v="93.26"/>
    <n v="97.923000000000002"/>
    <n v="9"/>
    <s v="Cash"/>
    <x v="50"/>
    <n v="4.6629999999999967"/>
  </r>
  <r>
    <s v="B"/>
    <x v="2"/>
    <x v="1"/>
    <x v="1"/>
    <x v="13"/>
    <x v="2"/>
    <n v="46.42"/>
    <n v="48.741000000000007"/>
    <n v="3"/>
    <s v="Credit card"/>
    <x v="54"/>
    <n v="2.3210000000000051"/>
  </r>
  <r>
    <s v="B"/>
    <x v="2"/>
    <x v="0"/>
    <x v="0"/>
    <x v="13"/>
    <x v="2"/>
    <n v="29.61"/>
    <n v="31.090499999999999"/>
    <n v="7"/>
    <s v="Cash"/>
    <x v="48"/>
    <n v="1.4804999999999993"/>
  </r>
  <r>
    <s v="B"/>
    <x v="2"/>
    <x v="1"/>
    <x v="0"/>
    <x v="18"/>
    <x v="2"/>
    <n v="24.77"/>
    <n v="26.008499999999998"/>
    <n v="5"/>
    <s v="Cash"/>
    <x v="28"/>
    <n v="1.2384999999999984"/>
  </r>
  <r>
    <s v="A"/>
    <x v="0"/>
    <x v="0"/>
    <x v="0"/>
    <x v="4"/>
    <x v="1"/>
    <n v="94.64"/>
    <n v="99.372"/>
    <n v="3"/>
    <s v="Cash"/>
    <x v="38"/>
    <n v="4.7319999999999993"/>
  </r>
  <r>
    <s v="B"/>
    <x v="2"/>
    <x v="1"/>
    <x v="0"/>
    <x v="7"/>
    <x v="4"/>
    <n v="57.34"/>
    <n v="60.207000000000001"/>
    <n v="3"/>
    <s v="Credit card"/>
    <x v="56"/>
    <n v="2.8669999999999973"/>
  </r>
  <r>
    <s v="B"/>
    <x v="2"/>
    <x v="1"/>
    <x v="1"/>
    <x v="5"/>
    <x v="1"/>
    <n v="45.35"/>
    <n v="47.6175"/>
    <n v="6"/>
    <s v="Ewallet"/>
    <x v="41"/>
    <n v="2.2674999999999983"/>
  </r>
  <r>
    <s v="B"/>
    <x v="2"/>
    <x v="1"/>
    <x v="1"/>
    <x v="24"/>
    <x v="4"/>
    <n v="62.08"/>
    <n v="65.183999999999997"/>
    <n v="7"/>
    <s v="Ewallet"/>
    <x v="37"/>
    <n v="3.1039999999999992"/>
  </r>
  <r>
    <s v="C"/>
    <x v="1"/>
    <x v="1"/>
    <x v="1"/>
    <x v="4"/>
    <x v="1"/>
    <n v="11.81"/>
    <n v="12.400499999999999"/>
    <n v="5"/>
    <s v="Cash"/>
    <x v="51"/>
    <n v="0.59049999999999869"/>
  </r>
  <r>
    <s v="A"/>
    <x v="0"/>
    <x v="1"/>
    <x v="1"/>
    <x v="24"/>
    <x v="4"/>
    <n v="43.25"/>
    <n v="45.412500000000001"/>
    <n v="2"/>
    <s v="Cash"/>
    <x v="58"/>
    <n v="2.1625000000000014"/>
  </r>
  <r>
    <s v="C"/>
    <x v="1"/>
    <x v="0"/>
    <x v="0"/>
    <x v="3"/>
    <x v="2"/>
    <n v="87.16"/>
    <n v="91.518000000000001"/>
    <n v="2"/>
    <s v="Credit card"/>
    <x v="57"/>
    <n v="4.3580000000000041"/>
  </r>
  <r>
    <s v="B"/>
    <x v="2"/>
    <x v="0"/>
    <x v="1"/>
    <x v="17"/>
    <x v="0"/>
    <n v="69.37"/>
    <n v="72.83850000000001"/>
    <n v="9"/>
    <s v="Ewallet"/>
    <x v="35"/>
    <n v="3.4685000000000059"/>
  </r>
  <r>
    <s v="C"/>
    <x v="1"/>
    <x v="0"/>
    <x v="1"/>
    <x v="4"/>
    <x v="1"/>
    <n v="37.06"/>
    <n v="38.912999999999997"/>
    <n v="4"/>
    <s v="Ewallet"/>
    <x v="57"/>
    <n v="1.8529999999999944"/>
  </r>
  <r>
    <s v="B"/>
    <x v="2"/>
    <x v="0"/>
    <x v="0"/>
    <x v="4"/>
    <x v="1"/>
    <n v="90.7"/>
    <n v="95.234999999999999"/>
    <n v="6"/>
    <s v="Cash"/>
    <x v="3"/>
    <n v="4.5349999999999966"/>
  </r>
  <r>
    <s v="B"/>
    <x v="2"/>
    <x v="0"/>
    <x v="0"/>
    <x v="4"/>
    <x v="1"/>
    <n v="10.59"/>
    <n v="11.1195"/>
    <n v="3"/>
    <s v="Credit card"/>
    <x v="36"/>
    <n v="0.52950000000000053"/>
  </r>
  <r>
    <s v="B"/>
    <x v="2"/>
    <x v="1"/>
    <x v="0"/>
    <x v="0"/>
    <x v="0"/>
    <n v="84.09"/>
    <n v="88.294499999999999"/>
    <n v="9"/>
    <s v="Cash"/>
    <x v="43"/>
    <n v="4.2044999999999959"/>
  </r>
  <r>
    <s v="A"/>
    <x v="0"/>
    <x v="0"/>
    <x v="1"/>
    <x v="17"/>
    <x v="0"/>
    <n v="51.94"/>
    <n v="54.536999999999999"/>
    <n v="10"/>
    <s v="Ewallet"/>
    <x v="48"/>
    <n v="2.5970000000000013"/>
  </r>
  <r>
    <s v="A"/>
    <x v="0"/>
    <x v="1"/>
    <x v="0"/>
    <x v="11"/>
    <x v="2"/>
    <n v="93.14"/>
    <n v="97.796999999999997"/>
    <n v="2"/>
    <s v="Ewallet"/>
    <x v="4"/>
    <n v="4.6569999999999965"/>
  </r>
  <r>
    <s v="C"/>
    <x v="1"/>
    <x v="1"/>
    <x v="1"/>
    <x v="0"/>
    <x v="0"/>
    <n v="17.41"/>
    <n v="18.2805"/>
    <n v="5"/>
    <s v="Credit card"/>
    <x v="42"/>
    <n v="0.87049999999999983"/>
  </r>
  <r>
    <s v="B"/>
    <x v="2"/>
    <x v="0"/>
    <x v="0"/>
    <x v="4"/>
    <x v="1"/>
    <n v="13.22"/>
    <n v="13.881"/>
    <n v="5"/>
    <s v="Cash"/>
    <x v="34"/>
    <n v="0.66099999999999959"/>
  </r>
  <r>
    <s v="A"/>
    <x v="0"/>
    <x v="1"/>
    <x v="1"/>
    <x v="9"/>
    <x v="4"/>
    <n v="24.94"/>
    <n v="26.186999999999998"/>
    <n v="9"/>
    <s v="Credit card"/>
    <x v="25"/>
    <n v="1.2469999999999963"/>
  </r>
  <r>
    <s v="A"/>
    <x v="0"/>
    <x v="1"/>
    <x v="1"/>
    <x v="17"/>
    <x v="0"/>
    <n v="59.77"/>
    <n v="62.758499999999998"/>
    <n v="2"/>
    <s v="Credit card"/>
    <x v="5"/>
    <n v="2.9884999999999948"/>
  </r>
  <r>
    <s v="B"/>
    <x v="2"/>
    <x v="0"/>
    <x v="0"/>
    <x v="4"/>
    <x v="1"/>
    <n v="81.400000000000006"/>
    <n v="85.470000000000013"/>
    <n v="3"/>
    <s v="Cash"/>
    <x v="16"/>
    <n v="4.0700000000000074"/>
  </r>
  <r>
    <s v="A"/>
    <x v="0"/>
    <x v="0"/>
    <x v="1"/>
    <x v="4"/>
    <x v="1"/>
    <n v="77.72"/>
    <n v="81.605999999999995"/>
    <n v="4"/>
    <s v="Credit card"/>
    <x v="50"/>
    <n v="3.8859999999999957"/>
  </r>
  <r>
    <s v="B"/>
    <x v="2"/>
    <x v="1"/>
    <x v="1"/>
    <x v="24"/>
    <x v="4"/>
    <n v="73.06"/>
    <n v="76.712999999999994"/>
    <n v="7"/>
    <s v="Credit card"/>
    <x v="44"/>
    <n v="3.6529999999999916"/>
  </r>
  <r>
    <s v="B"/>
    <x v="2"/>
    <x v="0"/>
    <x v="1"/>
    <x v="24"/>
    <x v="4"/>
    <n v="46.55"/>
    <n v="48.877499999999998"/>
    <n v="9"/>
    <s v="Ewallet"/>
    <x v="33"/>
    <n v="2.3275000000000006"/>
  </r>
  <r>
    <s v="C"/>
    <x v="1"/>
    <x v="1"/>
    <x v="0"/>
    <x v="18"/>
    <x v="2"/>
    <n v="14.39"/>
    <n v="15.109500000000001"/>
    <n v="2"/>
    <s v="Credit card"/>
    <x v="6"/>
    <n v="0.71950000000000003"/>
  </r>
  <r>
    <s v="A"/>
    <x v="0"/>
    <x v="0"/>
    <x v="1"/>
    <x v="4"/>
    <x v="1"/>
    <n v="66.349999999999994"/>
    <n v="69.667500000000004"/>
    <n v="1"/>
    <s v="Credit card"/>
    <x v="57"/>
    <n v="3.3175000000000097"/>
  </r>
  <r>
    <s v="A"/>
    <x v="0"/>
    <x v="0"/>
    <x v="1"/>
    <x v="4"/>
    <x v="1"/>
    <n v="32.25"/>
    <n v="33.862499999999997"/>
    <n v="4"/>
    <s v="Ewallet"/>
    <x v="48"/>
    <n v="1.6124999999999972"/>
  </r>
  <r>
    <s v="C"/>
    <x v="1"/>
    <x v="0"/>
    <x v="1"/>
    <x v="4"/>
    <x v="1"/>
    <n v="65.94"/>
    <n v="69.236999999999995"/>
    <n v="4"/>
    <s v="Credit card"/>
    <x v="14"/>
    <n v="3.296999999999997"/>
  </r>
  <r>
    <s v="A"/>
    <x v="0"/>
    <x v="1"/>
    <x v="0"/>
    <x v="5"/>
    <x v="1"/>
    <n v="75.06"/>
    <n v="78.813000000000002"/>
    <n v="9"/>
    <s v="Ewallet"/>
    <x v="58"/>
    <n v="3.7530000000000001"/>
  </r>
  <r>
    <s v="A"/>
    <x v="0"/>
    <x v="0"/>
    <x v="0"/>
    <x v="18"/>
    <x v="2"/>
    <n v="22.24"/>
    <n v="23.352"/>
    <n v="10"/>
    <s v="Cash"/>
    <x v="44"/>
    <n v="1.1120000000000019"/>
  </r>
  <r>
    <s v="B"/>
    <x v="2"/>
    <x v="1"/>
    <x v="1"/>
    <x v="15"/>
    <x v="2"/>
    <n v="54.45"/>
    <n v="57.172499999999999"/>
    <n v="1"/>
    <s v="Ewallet"/>
    <x v="56"/>
    <n v="2.7224999999999966"/>
  </r>
  <r>
    <s v="A"/>
    <x v="0"/>
    <x v="0"/>
    <x v="0"/>
    <x v="18"/>
    <x v="2"/>
    <n v="98.4"/>
    <n v="103.32000000000001"/>
    <n v="7"/>
    <s v="Credit card"/>
    <x v="36"/>
    <n v="4.9200000000000017"/>
  </r>
  <r>
    <s v="B"/>
    <x v="2"/>
    <x v="0"/>
    <x v="0"/>
    <x v="24"/>
    <x v="4"/>
    <n v="74.599999999999994"/>
    <n v="78.33"/>
    <n v="10"/>
    <s v="Cash"/>
    <x v="26"/>
    <n v="3.730000000000004"/>
  </r>
  <r>
    <s v="B"/>
    <x v="2"/>
    <x v="1"/>
    <x v="0"/>
    <x v="18"/>
    <x v="2"/>
    <n v="67.430000000000007"/>
    <n v="70.801500000000004"/>
    <n v="5"/>
    <s v="Ewallet"/>
    <x v="52"/>
    <n v="3.3714999999999975"/>
  </r>
  <r>
    <s v="C"/>
    <x v="1"/>
    <x v="0"/>
    <x v="0"/>
    <x v="17"/>
    <x v="0"/>
    <n v="21.12"/>
    <n v="22.175999999999998"/>
    <n v="2"/>
    <s v="Cash"/>
    <x v="57"/>
    <n v="1.0559999999999974"/>
  </r>
  <r>
    <s v="B"/>
    <x v="2"/>
    <x v="1"/>
    <x v="0"/>
    <x v="0"/>
    <x v="0"/>
    <n v="99.71"/>
    <n v="104.6955"/>
    <n v="6"/>
    <s v="Ewallet"/>
    <x v="56"/>
    <n v="4.9855000000000018"/>
  </r>
  <r>
    <s v="A"/>
    <x v="0"/>
    <x v="0"/>
    <x v="1"/>
    <x v="3"/>
    <x v="2"/>
    <n v="44.02"/>
    <n v="46.220999999999997"/>
    <n v="10"/>
    <s v="Credit card"/>
    <x v="1"/>
    <n v="2.2009999999999934"/>
  </r>
  <r>
    <s v="A"/>
    <x v="0"/>
    <x v="1"/>
    <x v="0"/>
    <x v="18"/>
    <x v="2"/>
    <n v="15.34"/>
    <n v="16.106999999999999"/>
    <n v="1"/>
    <s v="Cash"/>
    <x v="48"/>
    <n v="0.76699999999999946"/>
  </r>
  <r>
    <s v="A"/>
    <x v="0"/>
    <x v="0"/>
    <x v="1"/>
    <x v="10"/>
    <x v="0"/>
    <n v="99.83"/>
    <n v="104.8215"/>
    <n v="6"/>
    <s v="Ewallet"/>
    <x v="28"/>
    <n v="4.991500000000002"/>
  </r>
  <r>
    <s v="A"/>
    <x v="0"/>
    <x v="0"/>
    <x v="0"/>
    <x v="12"/>
    <x v="0"/>
    <n v="47.67"/>
    <n v="50.0535"/>
    <n v="4"/>
    <s v="Cash"/>
    <x v="0"/>
    <n v="2.383499999999998"/>
  </r>
  <r>
    <s v="B"/>
    <x v="2"/>
    <x v="1"/>
    <x v="1"/>
    <x v="20"/>
    <x v="0"/>
    <n v="66.680000000000007"/>
    <n v="70.013999999999996"/>
    <n v="5"/>
    <s v="Cash"/>
    <x v="24"/>
    <n v="3.333999999999989"/>
  </r>
  <r>
    <s v="C"/>
    <x v="1"/>
    <x v="1"/>
    <x v="0"/>
    <x v="13"/>
    <x v="2"/>
    <n v="23.75"/>
    <n v="24.9375"/>
    <n v="9"/>
    <s v="Cash"/>
    <x v="26"/>
    <n v="1.1875"/>
  </r>
  <r>
    <s v="B"/>
    <x v="2"/>
    <x v="1"/>
    <x v="0"/>
    <x v="24"/>
    <x v="4"/>
    <n v="48.51"/>
    <n v="50.935499999999998"/>
    <n v="7"/>
    <s v="Credit card"/>
    <x v="47"/>
    <n v="2.4254999999999995"/>
  </r>
  <r>
    <s v="B"/>
    <x v="2"/>
    <x v="0"/>
    <x v="1"/>
    <x v="4"/>
    <x v="1"/>
    <n v="40.299999999999997"/>
    <n v="42.314999999999998"/>
    <n v="10"/>
    <s v="Credit card"/>
    <x v="22"/>
    <n v="2.0150000000000006"/>
  </r>
  <r>
    <s v="C"/>
    <x v="1"/>
    <x v="1"/>
    <x v="1"/>
    <x v="5"/>
    <x v="1"/>
    <n v="27.85"/>
    <n v="29.2425"/>
    <n v="7"/>
    <s v="Ewallet"/>
    <x v="19"/>
    <n v="1.3924999999999983"/>
  </r>
  <r>
    <s v="A"/>
    <x v="0"/>
    <x v="0"/>
    <x v="0"/>
    <x v="4"/>
    <x v="1"/>
    <n v="62.48"/>
    <n v="65.603999999999999"/>
    <n v="1"/>
    <s v="Cash"/>
    <x v="23"/>
    <n v="3.1240000000000023"/>
  </r>
  <r>
    <s v="A"/>
    <x v="0"/>
    <x v="0"/>
    <x v="0"/>
    <x v="24"/>
    <x v="4"/>
    <n v="36.36"/>
    <n v="38.177999999999997"/>
    <n v="2"/>
    <s v="Cash"/>
    <x v="9"/>
    <n v="1.8179999999999978"/>
  </r>
  <r>
    <s v="B"/>
    <x v="2"/>
    <x v="1"/>
    <x v="1"/>
    <x v="20"/>
    <x v="0"/>
    <n v="18.11"/>
    <n v="19.015499999999999"/>
    <n v="10"/>
    <s v="Ewallet"/>
    <x v="7"/>
    <n v="0.90549999999999997"/>
  </r>
  <r>
    <s v="C"/>
    <x v="1"/>
    <x v="0"/>
    <x v="0"/>
    <x v="4"/>
    <x v="1"/>
    <n v="51.92"/>
    <n v="54.515999999999998"/>
    <n v="5"/>
    <s v="Cash"/>
    <x v="21"/>
    <n v="2.5959999999999965"/>
  </r>
  <r>
    <s v="C"/>
    <x v="1"/>
    <x v="1"/>
    <x v="1"/>
    <x v="4"/>
    <x v="1"/>
    <n v="28.84"/>
    <n v="30.282"/>
    <n v="4"/>
    <s v="Cash"/>
    <x v="33"/>
    <n v="1.4420000000000002"/>
  </r>
  <r>
    <s v="B"/>
    <x v="2"/>
    <x v="0"/>
    <x v="1"/>
    <x v="10"/>
    <x v="0"/>
    <n v="39.01"/>
    <n v="40.960500000000003"/>
    <n v="1"/>
    <s v="Credit card"/>
    <x v="23"/>
    <n v="1.9505000000000052"/>
  </r>
  <r>
    <s v="C"/>
    <x v="1"/>
    <x v="1"/>
    <x v="1"/>
    <x v="24"/>
    <x v="4"/>
    <n v="48.61"/>
    <n v="51.040500000000002"/>
    <n v="1"/>
    <s v="Cash"/>
    <x v="54"/>
    <n v="2.4305000000000021"/>
  </r>
  <r>
    <s v="A"/>
    <x v="0"/>
    <x v="1"/>
    <x v="0"/>
    <x v="4"/>
    <x v="1"/>
    <n v="51.19"/>
    <n v="53.749499999999998"/>
    <n v="4"/>
    <s v="Credit card"/>
    <x v="23"/>
    <n v="2.5594999999999999"/>
  </r>
  <r>
    <s v="B"/>
    <x v="2"/>
    <x v="1"/>
    <x v="0"/>
    <x v="4"/>
    <x v="1"/>
    <n v="14.96"/>
    <n v="15.708"/>
    <n v="8"/>
    <s v="Cash"/>
    <x v="15"/>
    <n v="0.74799999999999933"/>
  </r>
  <r>
    <s v="A"/>
    <x v="0"/>
    <x v="0"/>
    <x v="1"/>
    <x v="4"/>
    <x v="1"/>
    <n v="72.2"/>
    <n v="75.809999999999988"/>
    <n v="7"/>
    <s v="Ewallet"/>
    <x v="34"/>
    <n v="3.6099999999999852"/>
  </r>
  <r>
    <s v="A"/>
    <x v="0"/>
    <x v="1"/>
    <x v="0"/>
    <x v="13"/>
    <x v="2"/>
    <n v="40.229999999999997"/>
    <n v="42.241499999999995"/>
    <n v="7"/>
    <s v="Cash"/>
    <x v="1"/>
    <n v="2.0114999999999981"/>
  </r>
  <r>
    <s v="A"/>
    <x v="0"/>
    <x v="0"/>
    <x v="0"/>
    <x v="4"/>
    <x v="1"/>
    <n v="26.48"/>
    <n v="27.804000000000002"/>
    <n v="3"/>
    <s v="Ewallet"/>
    <x v="23"/>
    <n v="1.3240000000000016"/>
  </r>
  <r>
    <s v="B"/>
    <x v="2"/>
    <x v="0"/>
    <x v="1"/>
    <x v="13"/>
    <x v="2"/>
    <n v="79.930000000000007"/>
    <n v="83.926500000000004"/>
    <n v="6"/>
    <s v="Cash"/>
    <x v="38"/>
    <n v="3.9964999999999975"/>
  </r>
  <r>
    <s v="A"/>
    <x v="0"/>
    <x v="0"/>
    <x v="0"/>
    <x v="24"/>
    <x v="4"/>
    <n v="14.23"/>
    <n v="14.9415"/>
    <n v="5"/>
    <s v="Credit card"/>
    <x v="54"/>
    <n v="0.71149999999999913"/>
  </r>
  <r>
    <s v="A"/>
    <x v="0"/>
    <x v="0"/>
    <x v="0"/>
    <x v="20"/>
    <x v="0"/>
    <n v="15.55"/>
    <n v="16.327500000000001"/>
    <n v="9"/>
    <s v="Cash"/>
    <x v="59"/>
    <n v="0.77749999999999986"/>
  </r>
  <r>
    <s v="C"/>
    <x v="1"/>
    <x v="0"/>
    <x v="0"/>
    <x v="4"/>
    <x v="1"/>
    <n v="78.13"/>
    <n v="82.036500000000004"/>
    <n v="10"/>
    <s v="Cash"/>
    <x v="54"/>
    <n v="3.9065000000000083"/>
  </r>
  <r>
    <s v="C"/>
    <x v="1"/>
    <x v="0"/>
    <x v="1"/>
    <x v="24"/>
    <x v="4"/>
    <n v="99.37"/>
    <n v="104.3385"/>
    <n v="2"/>
    <s v="Cash"/>
    <x v="47"/>
    <n v="4.9684999999999917"/>
  </r>
  <r>
    <s v="C"/>
    <x v="1"/>
    <x v="0"/>
    <x v="0"/>
    <x v="9"/>
    <x v="4"/>
    <n v="21.08"/>
    <n v="22.134"/>
    <n v="3"/>
    <s v="Cash"/>
    <x v="40"/>
    <n v="1.054000000000002"/>
  </r>
  <r>
    <s v="C"/>
    <x v="1"/>
    <x v="0"/>
    <x v="1"/>
    <x v="1"/>
    <x v="1"/>
    <n v="74.790000000000006"/>
    <n v="78.529499999999999"/>
    <n v="5"/>
    <s v="Cash"/>
    <x v="42"/>
    <n v="3.7394999999999925"/>
  </r>
  <r>
    <s v="C"/>
    <x v="1"/>
    <x v="0"/>
    <x v="0"/>
    <x v="20"/>
    <x v="0"/>
    <n v="29.67"/>
    <n v="31.153500000000001"/>
    <n v="7"/>
    <s v="Credit card"/>
    <x v="27"/>
    <n v="1.4834999999999994"/>
  </r>
  <r>
    <s v="C"/>
    <x v="1"/>
    <x v="0"/>
    <x v="1"/>
    <x v="17"/>
    <x v="0"/>
    <n v="44.07"/>
    <n v="46.273499999999999"/>
    <n v="4"/>
    <s v="Ewallet"/>
    <x v="2"/>
    <n v="2.2034999999999982"/>
  </r>
  <r>
    <s v="C"/>
    <x v="1"/>
    <x v="1"/>
    <x v="0"/>
    <x v="24"/>
    <x v="4"/>
    <n v="22.93"/>
    <n v="24.076499999999999"/>
    <n v="9"/>
    <s v="Cash"/>
    <x v="38"/>
    <n v="1.1464999999999996"/>
  </r>
  <r>
    <s v="C"/>
    <x v="1"/>
    <x v="1"/>
    <x v="0"/>
    <x v="6"/>
    <x v="0"/>
    <n v="39.42"/>
    <n v="41.390999999999998"/>
    <n v="1"/>
    <s v="Cash"/>
    <x v="2"/>
    <n v="1.9709999999999965"/>
  </r>
  <r>
    <s v="A"/>
    <x v="0"/>
    <x v="1"/>
    <x v="1"/>
    <x v="20"/>
    <x v="0"/>
    <n v="15.26"/>
    <n v="16.023"/>
    <n v="6"/>
    <s v="Ewallet"/>
    <x v="53"/>
    <n v="0.7629999999999999"/>
  </r>
  <r>
    <s v="B"/>
    <x v="2"/>
    <x v="1"/>
    <x v="1"/>
    <x v="11"/>
    <x v="2"/>
    <n v="97.74"/>
    <n v="102.627"/>
    <n v="4"/>
    <s v="Ewallet"/>
    <x v="33"/>
    <n v="4.8870000000000005"/>
  </r>
  <r>
    <s v="A"/>
    <x v="0"/>
    <x v="0"/>
    <x v="1"/>
    <x v="24"/>
    <x v="4"/>
    <n v="99.78"/>
    <n v="104.76900000000001"/>
    <n v="5"/>
    <s v="Cash"/>
    <x v="37"/>
    <n v="4.9890000000000043"/>
  </r>
  <r>
    <s v="C"/>
    <x v="1"/>
    <x v="0"/>
    <x v="1"/>
    <x v="24"/>
    <x v="4"/>
    <n v="94.26"/>
    <n v="98.972999999999999"/>
    <n v="4"/>
    <s v="Cash"/>
    <x v="15"/>
    <n v="4.7129999999999939"/>
  </r>
  <r>
    <s v="B"/>
    <x v="2"/>
    <x v="0"/>
    <x v="1"/>
    <x v="12"/>
    <x v="0"/>
    <n v="51.13"/>
    <n v="53.686500000000002"/>
    <n v="4"/>
    <s v="Credit card"/>
    <x v="35"/>
    <n v="2.5564999999999998"/>
  </r>
  <r>
    <s v="A"/>
    <x v="0"/>
    <x v="0"/>
    <x v="1"/>
    <x v="1"/>
    <x v="1"/>
    <n v="36.36"/>
    <n v="38.177999999999997"/>
    <n v="4"/>
    <s v="Cash"/>
    <x v="24"/>
    <n v="1.8179999999999978"/>
  </r>
  <r>
    <s v="A"/>
    <x v="0"/>
    <x v="1"/>
    <x v="1"/>
    <x v="24"/>
    <x v="4"/>
    <n v="32.9"/>
    <n v="34.545000000000002"/>
    <n v="3"/>
    <s v="Credit card"/>
    <x v="0"/>
    <n v="1.6450000000000031"/>
  </r>
  <r>
    <s v="A"/>
    <x v="0"/>
    <x v="0"/>
    <x v="1"/>
    <x v="24"/>
    <x v="4"/>
    <n v="23.48"/>
    <n v="24.654"/>
    <n v="2"/>
    <s v="Credit card"/>
    <x v="56"/>
    <n v="1.1739999999999995"/>
  </r>
  <r>
    <s v="C"/>
    <x v="1"/>
    <x v="0"/>
    <x v="1"/>
    <x v="18"/>
    <x v="2"/>
    <n v="14.7"/>
    <n v="15.434999999999999"/>
    <n v="5"/>
    <s v="Ewallet"/>
    <x v="28"/>
    <n v="0.73499999999999943"/>
  </r>
  <r>
    <s v="A"/>
    <x v="0"/>
    <x v="0"/>
    <x v="0"/>
    <x v="1"/>
    <x v="1"/>
    <n v="28.45"/>
    <n v="29.872500000000002"/>
    <n v="5"/>
    <s v="Credit card"/>
    <x v="0"/>
    <n v="1.422500000000003"/>
  </r>
  <r>
    <s v="B"/>
    <x v="2"/>
    <x v="1"/>
    <x v="0"/>
    <x v="18"/>
    <x v="2"/>
    <n v="57.95"/>
    <n v="60.847499999999997"/>
    <n v="6"/>
    <s v="Cash"/>
    <x v="47"/>
    <n v="2.8974999999999937"/>
  </r>
  <r>
    <s v="C"/>
    <x v="1"/>
    <x v="1"/>
    <x v="0"/>
    <x v="25"/>
    <x v="1"/>
    <n v="47.65"/>
    <n v="50.032499999999999"/>
    <n v="3"/>
    <s v="Credit card"/>
    <x v="26"/>
    <n v="2.3825000000000003"/>
  </r>
  <r>
    <s v="B"/>
    <x v="2"/>
    <x v="0"/>
    <x v="0"/>
    <x v="16"/>
    <x v="4"/>
    <n v="42.82"/>
    <n v="44.960999999999999"/>
    <n v="9"/>
    <s v="Credit card"/>
    <x v="60"/>
    <n v="2.1409999999999982"/>
  </r>
  <r>
    <s v="B"/>
    <x v="2"/>
    <x v="0"/>
    <x v="1"/>
    <x v="1"/>
    <x v="1"/>
    <n v="48.09"/>
    <n v="50.494499999999995"/>
    <n v="3"/>
    <s v="Credit card"/>
    <x v="46"/>
    <n v="2.4044999999999916"/>
  </r>
  <r>
    <s v="B"/>
    <x v="2"/>
    <x v="0"/>
    <x v="0"/>
    <x v="12"/>
    <x v="0"/>
    <n v="55.97"/>
    <n v="58.768500000000003"/>
    <n v="7"/>
    <s v="Ewallet"/>
    <x v="60"/>
    <n v="2.7985000000000042"/>
  </r>
  <r>
    <s v="B"/>
    <x v="2"/>
    <x v="0"/>
    <x v="0"/>
    <x v="20"/>
    <x v="0"/>
    <n v="76.900000000000006"/>
    <n v="80.745000000000005"/>
    <n v="7"/>
    <s v="Cash"/>
    <x v="55"/>
    <n v="3.8449999999999989"/>
  </r>
  <r>
    <s v="C"/>
    <x v="1"/>
    <x v="1"/>
    <x v="0"/>
    <x v="9"/>
    <x v="4"/>
    <n v="97.03"/>
    <n v="101.8815"/>
    <n v="5"/>
    <s v="Ewallet"/>
    <x v="30"/>
    <n v="4.8515000000000015"/>
  </r>
  <r>
    <s v="A"/>
    <x v="0"/>
    <x v="1"/>
    <x v="1"/>
    <x v="3"/>
    <x v="2"/>
    <n v="44.65"/>
    <n v="46.8825"/>
    <n v="3"/>
    <s v="Cash"/>
    <x v="58"/>
    <n v="2.2325000000000017"/>
  </r>
  <r>
    <s v="A"/>
    <x v="0"/>
    <x v="0"/>
    <x v="1"/>
    <x v="25"/>
    <x v="1"/>
    <n v="71.95"/>
    <n v="75.547499999999999"/>
    <n v="1"/>
    <s v="Cash"/>
    <x v="40"/>
    <n v="3.5974999999999966"/>
  </r>
  <r>
    <s v="A"/>
    <x v="0"/>
    <x v="1"/>
    <x v="1"/>
    <x v="1"/>
    <x v="1"/>
    <n v="26.02"/>
    <n v="27.321000000000002"/>
    <n v="7"/>
    <s v="Cash"/>
    <x v="17"/>
    <n v="1.3010000000000019"/>
  </r>
  <r>
    <s v="B"/>
    <x v="2"/>
    <x v="1"/>
    <x v="0"/>
    <x v="10"/>
    <x v="0"/>
    <n v="13.5"/>
    <n v="14.175000000000001"/>
    <n v="10"/>
    <s v="Credit card"/>
    <x v="16"/>
    <n v="0.67500000000000071"/>
  </r>
  <r>
    <s v="A"/>
    <x v="0"/>
    <x v="1"/>
    <x v="1"/>
    <x v="1"/>
    <x v="1"/>
    <n v="51.69"/>
    <n v="54.274499999999996"/>
    <n v="7"/>
    <s v="Cash"/>
    <x v="38"/>
    <n v="2.5844999999999985"/>
  </r>
  <r>
    <s v="C"/>
    <x v="1"/>
    <x v="1"/>
    <x v="0"/>
    <x v="1"/>
    <x v="1"/>
    <n v="30.24"/>
    <n v="31.751999999999999"/>
    <n v="1"/>
    <s v="Cash"/>
    <x v="2"/>
    <n v="1.5120000000000005"/>
  </r>
  <r>
    <s v="B"/>
    <x v="2"/>
    <x v="0"/>
    <x v="0"/>
    <x v="16"/>
    <x v="4"/>
    <n v="89.14"/>
    <n v="93.596999999999994"/>
    <n v="4"/>
    <s v="Credit card"/>
    <x v="46"/>
    <n v="4.4569999999999936"/>
  </r>
  <r>
    <s v="C"/>
    <x v="1"/>
    <x v="1"/>
    <x v="0"/>
    <x v="18"/>
    <x v="2"/>
    <n v="95.44"/>
    <n v="100.212"/>
    <n v="10"/>
    <s v="Cash"/>
    <x v="47"/>
    <n v="4.7720000000000056"/>
  </r>
  <r>
    <s v="B"/>
    <x v="2"/>
    <x v="1"/>
    <x v="1"/>
    <x v="25"/>
    <x v="1"/>
    <n v="27.5"/>
    <n v="28.875"/>
    <n v="3"/>
    <s v="Ewallet"/>
    <x v="48"/>
    <n v="1.375"/>
  </r>
  <r>
    <s v="B"/>
    <x v="2"/>
    <x v="1"/>
    <x v="1"/>
    <x v="18"/>
    <x v="2"/>
    <n v="74.97"/>
    <n v="78.718500000000006"/>
    <n v="1"/>
    <s v="Cash"/>
    <x v="25"/>
    <n v="3.748500000000007"/>
  </r>
  <r>
    <s v="A"/>
    <x v="0"/>
    <x v="0"/>
    <x v="1"/>
    <x v="16"/>
    <x v="4"/>
    <n v="80.959999999999994"/>
    <n v="85.007999999999996"/>
    <n v="8"/>
    <s v="Credit card"/>
    <x v="20"/>
    <n v="4.0480000000000018"/>
  </r>
  <r>
    <s v="C"/>
    <x v="1"/>
    <x v="1"/>
    <x v="0"/>
    <x v="16"/>
    <x v="4"/>
    <n v="94.47"/>
    <n v="99.1935"/>
    <n v="8"/>
    <s v="Cash"/>
    <x v="0"/>
    <n v="4.7235000000000014"/>
  </r>
  <r>
    <s v="C"/>
    <x v="1"/>
    <x v="1"/>
    <x v="1"/>
    <x v="9"/>
    <x v="4"/>
    <n v="99.79"/>
    <n v="104.7795"/>
    <n v="2"/>
    <s v="Ewallet"/>
    <x v="43"/>
    <n v="4.9894999999999925"/>
  </r>
  <r>
    <s v="C"/>
    <x v="1"/>
    <x v="1"/>
    <x v="0"/>
    <x v="9"/>
    <x v="4"/>
    <n v="41.24"/>
    <n v="43.302"/>
    <n v="4"/>
    <s v="Cash"/>
    <x v="9"/>
    <n v="2.0619999999999976"/>
  </r>
  <r>
    <s v="C"/>
    <x v="1"/>
    <x v="1"/>
    <x v="0"/>
    <x v="1"/>
    <x v="1"/>
    <n v="51.32"/>
    <n v="53.885999999999996"/>
    <n v="9"/>
    <s v="Cash"/>
    <x v="25"/>
    <n v="2.5659999999999954"/>
  </r>
  <r>
    <s v="C"/>
    <x v="1"/>
    <x v="1"/>
    <x v="0"/>
    <x v="18"/>
    <x v="2"/>
    <n v="14.36"/>
    <n v="15.077999999999999"/>
    <n v="10"/>
    <s v="Cash"/>
    <x v="37"/>
    <n v="0.71799999999999997"/>
  </r>
  <r>
    <s v="A"/>
    <x v="0"/>
    <x v="0"/>
    <x v="1"/>
    <x v="1"/>
    <x v="1"/>
    <n v="21.5"/>
    <n v="22.575000000000003"/>
    <n v="9"/>
    <s v="Credit card"/>
    <x v="46"/>
    <n v="1.0750000000000028"/>
  </r>
  <r>
    <s v="B"/>
    <x v="2"/>
    <x v="0"/>
    <x v="0"/>
    <x v="1"/>
    <x v="1"/>
    <n v="26.26"/>
    <n v="27.573"/>
    <n v="7"/>
    <s v="Cash"/>
    <x v="18"/>
    <n v="1.3129999999999988"/>
  </r>
  <r>
    <s v="C"/>
    <x v="1"/>
    <x v="1"/>
    <x v="1"/>
    <x v="15"/>
    <x v="2"/>
    <n v="95.49"/>
    <n v="100.2645"/>
    <n v="7"/>
    <s v="Ewallet"/>
    <x v="36"/>
    <n v="4.7745000000000033"/>
  </r>
  <r>
    <s v="B"/>
    <x v="2"/>
    <x v="1"/>
    <x v="0"/>
    <x v="25"/>
    <x v="1"/>
    <n v="23.65"/>
    <n v="24.8325"/>
    <n v="4"/>
    <s v="Credit card"/>
    <x v="35"/>
    <n v="1.182500000000001"/>
  </r>
  <r>
    <s v="A"/>
    <x v="0"/>
    <x v="0"/>
    <x v="1"/>
    <x v="18"/>
    <x v="2"/>
    <n v="82.33"/>
    <n v="86.4465"/>
    <n v="4"/>
    <s v="Credit card"/>
    <x v="21"/>
    <n v="4.116500000000002"/>
  </r>
  <r>
    <s v="C"/>
    <x v="1"/>
    <x v="1"/>
    <x v="0"/>
    <x v="1"/>
    <x v="1"/>
    <n v="26.61"/>
    <n v="27.9405"/>
    <n v="2"/>
    <s v="Cash"/>
    <x v="44"/>
    <n v="1.3305000000000007"/>
  </r>
  <r>
    <s v="B"/>
    <x v="2"/>
    <x v="1"/>
    <x v="0"/>
    <x v="9"/>
    <x v="4"/>
    <n v="99.69"/>
    <n v="104.67449999999999"/>
    <n v="5"/>
    <s v="Cash"/>
    <x v="18"/>
    <n v="4.984499999999997"/>
  </r>
  <r>
    <s v="C"/>
    <x v="1"/>
    <x v="0"/>
    <x v="0"/>
    <x v="9"/>
    <x v="4"/>
    <n v="74.89"/>
    <n v="78.634500000000003"/>
    <n v="4"/>
    <s v="Ewallet"/>
    <x v="44"/>
    <n v="3.7445000000000022"/>
  </r>
  <r>
    <s v="A"/>
    <x v="0"/>
    <x v="1"/>
    <x v="0"/>
    <x v="9"/>
    <x v="4"/>
    <n v="40.94"/>
    <n v="42.987000000000002"/>
    <n v="5"/>
    <s v="Ewallet"/>
    <x v="18"/>
    <n v="2.0470000000000041"/>
  </r>
  <r>
    <s v="B"/>
    <x v="2"/>
    <x v="0"/>
    <x v="1"/>
    <x v="18"/>
    <x v="2"/>
    <n v="75.819999999999993"/>
    <n v="79.611000000000004"/>
    <n v="1"/>
    <s v="Cash"/>
    <x v="5"/>
    <n v="3.791000000000011"/>
  </r>
  <r>
    <s v="C"/>
    <x v="1"/>
    <x v="1"/>
    <x v="1"/>
    <x v="9"/>
    <x v="4"/>
    <n v="46.77"/>
    <n v="49.108499999999999"/>
    <n v="6"/>
    <s v="Cash"/>
    <x v="19"/>
    <n v="2.3384999999999962"/>
  </r>
  <r>
    <s v="A"/>
    <x v="0"/>
    <x v="1"/>
    <x v="0"/>
    <x v="17"/>
    <x v="0"/>
    <n v="32.32"/>
    <n v="33.936"/>
    <n v="10"/>
    <s v="Credit card"/>
    <x v="31"/>
    <n v="1.6159999999999997"/>
  </r>
  <r>
    <s v="B"/>
    <x v="2"/>
    <x v="1"/>
    <x v="1"/>
    <x v="9"/>
    <x v="4"/>
    <n v="18.22"/>
    <n v="19.131"/>
    <n v="7"/>
    <s v="Credit card"/>
    <x v="29"/>
    <n v="0.91100000000000136"/>
  </r>
  <r>
    <s v="A"/>
    <x v="0"/>
    <x v="0"/>
    <x v="1"/>
    <x v="1"/>
    <x v="1"/>
    <n v="76.819999999999993"/>
    <n v="80.661000000000001"/>
    <n v="1"/>
    <s v="Ewallet"/>
    <x v="6"/>
    <n v="3.8410000000000082"/>
  </r>
  <r>
    <s v="A"/>
    <x v="0"/>
    <x v="0"/>
    <x v="0"/>
    <x v="18"/>
    <x v="2"/>
    <n v="52.26"/>
    <n v="54.873000000000005"/>
    <n v="10"/>
    <s v="Credit card"/>
    <x v="58"/>
    <n v="2.6130000000000067"/>
  </r>
  <r>
    <s v="A"/>
    <x v="0"/>
    <x v="1"/>
    <x v="0"/>
    <x v="17"/>
    <x v="0"/>
    <n v="79.739999999999995"/>
    <n v="83.727000000000004"/>
    <n v="1"/>
    <s v="Ewallet"/>
    <x v="40"/>
    <n v="3.987000000000009"/>
  </r>
  <r>
    <s v="A"/>
    <x v="0"/>
    <x v="1"/>
    <x v="0"/>
    <x v="17"/>
    <x v="0"/>
    <n v="77.5"/>
    <n v="81.375"/>
    <n v="5"/>
    <s v="Ewallet"/>
    <x v="34"/>
    <n v="3.875"/>
  </r>
  <r>
    <s v="A"/>
    <x v="0"/>
    <x v="1"/>
    <x v="0"/>
    <x v="9"/>
    <x v="4"/>
    <n v="54.27"/>
    <n v="56.983500000000006"/>
    <n v="5"/>
    <s v="Ewallet"/>
    <x v="13"/>
    <n v="2.7135000000000034"/>
  </r>
  <r>
    <s v="B"/>
    <x v="2"/>
    <x v="0"/>
    <x v="0"/>
    <x v="17"/>
    <x v="0"/>
    <n v="41.06"/>
    <n v="43.113"/>
    <n v="6"/>
    <s v="Credit card"/>
    <x v="39"/>
    <n v="2.0529999999999973"/>
  </r>
  <r>
    <s v="B"/>
    <x v="2"/>
    <x v="0"/>
    <x v="1"/>
    <x v="1"/>
    <x v="1"/>
    <n v="19.239999999999998"/>
    <n v="20.202000000000002"/>
    <n v="9"/>
    <s v="Cash"/>
    <x v="43"/>
    <n v="0.9620000000000033"/>
  </r>
  <r>
    <s v="C"/>
    <x v="1"/>
    <x v="1"/>
    <x v="0"/>
    <x v="9"/>
    <x v="4"/>
    <n v="39.43"/>
    <n v="41.401499999999999"/>
    <n v="6"/>
    <s v="Credit card"/>
    <x v="51"/>
    <n v="1.9714999999999989"/>
  </r>
  <r>
    <s v="A"/>
    <x v="0"/>
    <x v="0"/>
    <x v="1"/>
    <x v="3"/>
    <x v="2"/>
    <n v="67.260000000000005"/>
    <n v="70.623000000000005"/>
    <n v="4"/>
    <s v="Credit card"/>
    <x v="43"/>
    <n v="3.3629999999999995"/>
  </r>
  <r>
    <s v="A"/>
    <x v="0"/>
    <x v="1"/>
    <x v="1"/>
    <x v="9"/>
    <x v="4"/>
    <n v="13.79"/>
    <n v="14.479499999999998"/>
    <n v="5"/>
    <s v="Credit card"/>
    <x v="46"/>
    <n v="0.68949999999999889"/>
  </r>
  <r>
    <s v="B"/>
    <x v="2"/>
    <x v="1"/>
    <x v="0"/>
    <x v="10"/>
    <x v="0"/>
    <n v="34.21"/>
    <n v="35.920499999999997"/>
    <n v="10"/>
    <s v="Cash"/>
    <x v="17"/>
    <n v="1.7104999999999961"/>
  </r>
  <r>
    <s v="B"/>
    <x v="2"/>
    <x v="1"/>
    <x v="1"/>
    <x v="19"/>
    <x v="2"/>
    <n v="21.87"/>
    <n v="22.9635"/>
    <n v="2"/>
    <s v="Ewallet"/>
    <x v="14"/>
    <n v="1.0934999999999988"/>
  </r>
  <r>
    <s v="A"/>
    <x v="0"/>
    <x v="0"/>
    <x v="1"/>
    <x v="17"/>
    <x v="0"/>
    <n v="20.97"/>
    <n v="22.0185"/>
    <n v="5"/>
    <s v="Cash"/>
    <x v="46"/>
    <n v="1.0485000000000007"/>
  </r>
  <r>
    <s v="A"/>
    <x v="0"/>
    <x v="1"/>
    <x v="1"/>
    <x v="11"/>
    <x v="2"/>
    <n v="25.84"/>
    <n v="27.132000000000001"/>
    <n v="3"/>
    <s v="Ewallet"/>
    <x v="29"/>
    <n v="1.2920000000000016"/>
  </r>
  <r>
    <s v="B"/>
    <x v="2"/>
    <x v="1"/>
    <x v="1"/>
    <x v="17"/>
    <x v="0"/>
    <n v="96.11"/>
    <n v="100.91549999999999"/>
    <n v="1"/>
    <s v="Ewallet"/>
    <x v="46"/>
    <n v="4.805499999999995"/>
  </r>
  <r>
    <s v="C"/>
    <x v="1"/>
    <x v="0"/>
    <x v="0"/>
    <x v="17"/>
    <x v="0"/>
    <n v="81.510000000000005"/>
    <n v="85.585499999999996"/>
    <n v="1"/>
    <s v="Ewallet"/>
    <x v="45"/>
    <n v="4.075499999999991"/>
  </r>
  <r>
    <s v="B"/>
    <x v="2"/>
    <x v="1"/>
    <x v="0"/>
    <x v="17"/>
    <x v="0"/>
    <n v="57.22"/>
    <n v="60.081000000000003"/>
    <n v="2"/>
    <s v="Ewallet"/>
    <x v="39"/>
    <n v="2.8610000000000042"/>
  </r>
  <r>
    <s v="A"/>
    <x v="0"/>
    <x v="0"/>
    <x v="0"/>
    <x v="25"/>
    <x v="1"/>
    <n v="25.22"/>
    <n v="26.480999999999998"/>
    <n v="7"/>
    <s v="Cash"/>
    <x v="10"/>
    <n v="1.2609999999999992"/>
  </r>
  <r>
    <s v="C"/>
    <x v="1"/>
    <x v="0"/>
    <x v="0"/>
    <x v="9"/>
    <x v="4"/>
    <n v="38.6"/>
    <n v="40.53"/>
    <n v="3"/>
    <s v="Ewallet"/>
    <x v="21"/>
    <n v="1.9299999999999997"/>
  </r>
  <r>
    <s v="C"/>
    <x v="1"/>
    <x v="1"/>
    <x v="0"/>
    <x v="25"/>
    <x v="1"/>
    <n v="84.05"/>
    <n v="88.252499999999998"/>
    <n v="3"/>
    <s v="Cash"/>
    <x v="53"/>
    <n v="4.2025000000000006"/>
  </r>
  <r>
    <s v="A"/>
    <x v="0"/>
    <x v="0"/>
    <x v="1"/>
    <x v="10"/>
    <x v="0"/>
    <n v="53.17"/>
    <n v="55.828500000000005"/>
    <n v="7"/>
    <s v="Cash"/>
    <x v="60"/>
    <n v="2.6585000000000036"/>
  </r>
  <r>
    <s v="B"/>
    <x v="2"/>
    <x v="0"/>
    <x v="0"/>
    <x v="9"/>
    <x v="4"/>
    <n v="20.87"/>
    <n v="21.913499999999999"/>
    <n v="3"/>
    <s v="Credit card"/>
    <x v="43"/>
    <n v="1.0434999999999981"/>
  </r>
  <r>
    <s v="B"/>
    <x v="2"/>
    <x v="1"/>
    <x v="1"/>
    <x v="19"/>
    <x v="2"/>
    <n v="67.27"/>
    <n v="70.633499999999998"/>
    <n v="5"/>
    <s v="Cash"/>
    <x v="14"/>
    <n v="3.3635000000000019"/>
  </r>
  <r>
    <s v="C"/>
    <x v="1"/>
    <x v="1"/>
    <x v="1"/>
    <x v="16"/>
    <x v="4"/>
    <n v="43.27"/>
    <n v="45.433500000000002"/>
    <n v="2"/>
    <s v="Ewallet"/>
    <x v="11"/>
    <n v="2.1634999999999991"/>
  </r>
  <r>
    <s v="A"/>
    <x v="0"/>
    <x v="1"/>
    <x v="0"/>
    <x v="1"/>
    <x v="1"/>
    <n v="23.46"/>
    <n v="24.632999999999999"/>
    <n v="6"/>
    <s v="Ewallet"/>
    <x v="33"/>
    <n v="1.1729999999999983"/>
  </r>
  <r>
    <s v="C"/>
    <x v="1"/>
    <x v="1"/>
    <x v="1"/>
    <x v="19"/>
    <x v="2"/>
    <n v="99.24"/>
    <n v="104.202"/>
    <n v="9"/>
    <s v="Ewallet"/>
    <x v="49"/>
    <n v="4.9620000000000033"/>
  </r>
  <r>
    <s v="C"/>
    <x v="1"/>
    <x v="0"/>
    <x v="1"/>
    <x v="19"/>
    <x v="2"/>
    <n v="82.93"/>
    <n v="87.076499999999996"/>
    <n v="4"/>
    <s v="Ewallet"/>
    <x v="1"/>
    <n v="4.146499999999989"/>
  </r>
  <r>
    <s v="C"/>
    <x v="1"/>
    <x v="0"/>
    <x v="1"/>
    <x v="16"/>
    <x v="4"/>
    <n v="17.04"/>
    <n v="17.891999999999999"/>
    <n v="4"/>
    <s v="Ewallet"/>
    <x v="22"/>
    <n v="0.85200000000000031"/>
  </r>
  <r>
    <s v="C"/>
    <x v="1"/>
    <x v="1"/>
    <x v="0"/>
    <x v="1"/>
    <x v="1"/>
    <n v="40.86"/>
    <n v="42.902999999999999"/>
    <n v="8"/>
    <s v="Credit card"/>
    <x v="48"/>
    <n v="2.0429999999999993"/>
  </r>
  <r>
    <s v="C"/>
    <x v="1"/>
    <x v="0"/>
    <x v="1"/>
    <x v="16"/>
    <x v="4"/>
    <n v="17.440000000000001"/>
    <n v="18.312000000000001"/>
    <n v="5"/>
    <s v="Cash"/>
    <x v="27"/>
    <n v="0.87199999999999989"/>
  </r>
  <r>
    <s v="B"/>
    <x v="2"/>
    <x v="0"/>
    <x v="0"/>
    <x v="19"/>
    <x v="2"/>
    <n v="88.43"/>
    <n v="92.851500000000001"/>
    <n v="8"/>
    <s v="Credit card"/>
    <x v="34"/>
    <n v="4.4214999999999947"/>
  </r>
  <r>
    <s v="A"/>
    <x v="0"/>
    <x v="1"/>
    <x v="0"/>
    <x v="15"/>
    <x v="2"/>
    <n v="19.100000000000001"/>
    <n v="20.055"/>
    <n v="7"/>
    <s v="Cash"/>
    <x v="57"/>
    <n v="0.95499999999999829"/>
  </r>
  <r>
    <s v="B"/>
    <x v="2"/>
    <x v="0"/>
    <x v="0"/>
    <x v="17"/>
    <x v="0"/>
    <n v="19.149999999999999"/>
    <n v="20.107500000000002"/>
    <n v="1"/>
    <s v="Credit card"/>
    <x v="26"/>
    <n v="0.95750000000000313"/>
  </r>
  <r>
    <s v="C"/>
    <x v="1"/>
    <x v="0"/>
    <x v="1"/>
    <x v="16"/>
    <x v="4"/>
    <n v="27.66"/>
    <n v="29.042999999999999"/>
    <n v="10"/>
    <s v="Credit card"/>
    <x v="60"/>
    <n v="1.3829999999999991"/>
  </r>
  <r>
    <s v="B"/>
    <x v="2"/>
    <x v="0"/>
    <x v="0"/>
    <x v="17"/>
    <x v="0"/>
    <n v="27.07"/>
    <n v="28.423500000000001"/>
    <n v="1"/>
    <s v="Credit card"/>
    <x v="3"/>
    <n v="1.3535000000000004"/>
  </r>
  <r>
    <s v="B"/>
    <x v="2"/>
    <x v="0"/>
    <x v="0"/>
    <x v="3"/>
    <x v="2"/>
    <n v="39.119999999999997"/>
    <n v="41.076000000000001"/>
    <n v="1"/>
    <s v="Credit card"/>
    <x v="1"/>
    <n v="1.9560000000000031"/>
  </r>
  <r>
    <s v="B"/>
    <x v="2"/>
    <x v="1"/>
    <x v="0"/>
    <x v="25"/>
    <x v="1"/>
    <n v="74.709999999999994"/>
    <n v="78.445499999999996"/>
    <n v="6"/>
    <s v="Cash"/>
    <x v="32"/>
    <n v="3.7355000000000018"/>
  </r>
  <r>
    <s v="B"/>
    <x v="2"/>
    <x v="1"/>
    <x v="1"/>
    <x v="1"/>
    <x v="1"/>
    <n v="22.01"/>
    <n v="23.110500000000002"/>
    <n v="6"/>
    <s v="Cash"/>
    <x v="24"/>
    <n v="1.1005000000000003"/>
  </r>
  <r>
    <s v="A"/>
    <x v="0"/>
    <x v="1"/>
    <x v="0"/>
    <x v="24"/>
    <x v="4"/>
    <n v="63.61"/>
    <n v="66.790499999999994"/>
    <n v="5"/>
    <s v="Ewallet"/>
    <x v="16"/>
    <n v="3.180499999999995"/>
  </r>
  <r>
    <s v="A"/>
    <x v="0"/>
    <x v="1"/>
    <x v="1"/>
    <x v="17"/>
    <x v="0"/>
    <n v="25"/>
    <n v="26.25"/>
    <n v="1"/>
    <s v="Ewallet"/>
    <x v="38"/>
    <n v="1.25"/>
  </r>
  <r>
    <s v="A"/>
    <x v="0"/>
    <x v="0"/>
    <x v="1"/>
    <x v="1"/>
    <x v="1"/>
    <n v="20.77"/>
    <n v="21.808499999999999"/>
    <n v="4"/>
    <s v="Cash"/>
    <x v="23"/>
    <n v="1.0384999999999991"/>
  </r>
  <r>
    <s v="B"/>
    <x v="2"/>
    <x v="0"/>
    <x v="0"/>
    <x v="24"/>
    <x v="4"/>
    <n v="77.400000000000006"/>
    <n v="81.27"/>
    <n v="9"/>
    <s v="Credit card"/>
    <x v="12"/>
    <n v="3.8699999999999903"/>
  </r>
  <r>
    <s v="B"/>
    <x v="2"/>
    <x v="1"/>
    <x v="1"/>
    <x v="1"/>
    <x v="1"/>
    <n v="79.39"/>
    <n v="83.359499999999997"/>
    <n v="10"/>
    <s v="Cash"/>
    <x v="58"/>
    <n v="3.9694999999999965"/>
  </r>
  <r>
    <s v="C"/>
    <x v="1"/>
    <x v="0"/>
    <x v="0"/>
    <x v="25"/>
    <x v="1"/>
    <n v="46.57"/>
    <n v="48.898499999999999"/>
    <n v="10"/>
    <s v="Cash"/>
    <x v="24"/>
    <n v="2.3284999999999982"/>
  </r>
  <r>
    <s v="C"/>
    <x v="1"/>
    <x v="1"/>
    <x v="1"/>
    <x v="24"/>
    <x v="4"/>
    <n v="35.89"/>
    <n v="37.6845"/>
    <n v="1"/>
    <s v="Credit card"/>
    <x v="56"/>
    <n v="1.7944999999999993"/>
  </r>
  <r>
    <s v="C"/>
    <x v="1"/>
    <x v="1"/>
    <x v="1"/>
    <x v="24"/>
    <x v="4"/>
    <n v="40.520000000000003"/>
    <n v="42.545999999999999"/>
    <n v="5"/>
    <s v="Cash"/>
    <x v="12"/>
    <n v="2.0259999999999962"/>
  </r>
  <r>
    <s v="B"/>
    <x v="2"/>
    <x v="0"/>
    <x v="0"/>
    <x v="24"/>
    <x v="4"/>
    <n v="73.05"/>
    <n v="76.702500000000001"/>
    <n v="10"/>
    <s v="Credit card"/>
    <x v="36"/>
    <n v="3.6525000000000034"/>
  </r>
  <r>
    <s v="C"/>
    <x v="1"/>
    <x v="1"/>
    <x v="0"/>
    <x v="13"/>
    <x v="2"/>
    <n v="73.95"/>
    <n v="77.647499999999994"/>
    <n v="4"/>
    <s v="Cash"/>
    <x v="41"/>
    <n v="3.6974999999999909"/>
  </r>
  <r>
    <s v="C"/>
    <x v="1"/>
    <x v="0"/>
    <x v="0"/>
    <x v="24"/>
    <x v="4"/>
    <n v="22.62"/>
    <n v="23.751000000000001"/>
    <n v="1"/>
    <s v="Cash"/>
    <x v="33"/>
    <n v="1.1310000000000002"/>
  </r>
  <r>
    <s v="A"/>
    <x v="0"/>
    <x v="0"/>
    <x v="1"/>
    <x v="24"/>
    <x v="4"/>
    <n v="51.34"/>
    <n v="53.907000000000004"/>
    <n v="5"/>
    <s v="Credit card"/>
    <x v="0"/>
    <n v="2.5670000000000002"/>
  </r>
  <r>
    <s v="C"/>
    <x v="1"/>
    <x v="0"/>
    <x v="0"/>
    <x v="13"/>
    <x v="2"/>
    <n v="54.55"/>
    <n v="57.277499999999996"/>
    <n v="10"/>
    <s v="Credit card"/>
    <x v="9"/>
    <n v="2.7274999999999991"/>
  </r>
  <r>
    <s v="C"/>
    <x v="1"/>
    <x v="0"/>
    <x v="0"/>
    <x v="10"/>
    <x v="0"/>
    <n v="37.15"/>
    <n v="39.0075"/>
    <n v="7"/>
    <s v="Credit card"/>
    <x v="55"/>
    <n v="1.8575000000000017"/>
  </r>
  <r>
    <s v="B"/>
    <x v="2"/>
    <x v="1"/>
    <x v="1"/>
    <x v="13"/>
    <x v="2"/>
    <n v="37.020000000000003"/>
    <n v="38.871000000000002"/>
    <n v="6"/>
    <s v="Cash"/>
    <x v="12"/>
    <n v="1.8509999999999991"/>
  </r>
  <r>
    <s v="C"/>
    <x v="1"/>
    <x v="1"/>
    <x v="1"/>
    <x v="24"/>
    <x v="4"/>
    <n v="21.58"/>
    <n v="22.658999999999999"/>
    <n v="1"/>
    <s v="Ewallet"/>
    <x v="6"/>
    <n v="1.0790000000000006"/>
  </r>
  <r>
    <s v="C"/>
    <x v="1"/>
    <x v="0"/>
    <x v="0"/>
    <x v="1"/>
    <x v="1"/>
    <n v="98.84"/>
    <n v="103.782"/>
    <n v="1"/>
    <s v="Cash"/>
    <x v="2"/>
    <n v="4.9419999999999931"/>
  </r>
  <r>
    <s v="A"/>
    <x v="0"/>
    <x v="0"/>
    <x v="0"/>
    <x v="13"/>
    <x v="2"/>
    <n v="40.049999999999997"/>
    <n v="42.052500000000002"/>
    <n v="4"/>
    <s v="Cash"/>
    <x v="57"/>
    <n v="2.0025000000000048"/>
  </r>
  <r>
    <s v="B"/>
    <x v="2"/>
    <x v="0"/>
    <x v="1"/>
    <x v="10"/>
    <x v="0"/>
    <n v="72.569999999999993"/>
    <n v="76.198499999999996"/>
    <n v="8"/>
    <s v="Cash"/>
    <x v="13"/>
    <n v="3.6285000000000025"/>
  </r>
  <r>
    <s v="A"/>
    <x v="0"/>
    <x v="0"/>
    <x v="0"/>
    <x v="1"/>
    <x v="1"/>
    <n v="64.44"/>
    <n v="67.662000000000006"/>
    <n v="5"/>
    <s v="Cash"/>
    <x v="29"/>
    <n v="3.2220000000000084"/>
  </r>
  <r>
    <s v="A"/>
    <x v="0"/>
    <x v="1"/>
    <x v="1"/>
    <x v="17"/>
    <x v="0"/>
    <n v="65.180000000000007"/>
    <n v="68.439000000000007"/>
    <n v="3"/>
    <s v="Credit card"/>
    <x v="52"/>
    <n v="3.2590000000000003"/>
  </r>
  <r>
    <s v="A"/>
    <x v="0"/>
    <x v="1"/>
    <x v="0"/>
    <x v="19"/>
    <x v="2"/>
    <n v="33.26"/>
    <n v="34.923000000000002"/>
    <n v="5"/>
    <s v="Credit card"/>
    <x v="44"/>
    <n v="1.6630000000000038"/>
  </r>
  <r>
    <s v="C"/>
    <x v="1"/>
    <x v="1"/>
    <x v="1"/>
    <x v="1"/>
    <x v="1"/>
    <n v="84.07"/>
    <n v="88.273499999999999"/>
    <n v="4"/>
    <s v="Ewallet"/>
    <x v="54"/>
    <n v="4.2035000000000053"/>
  </r>
  <r>
    <s v="B"/>
    <x v="2"/>
    <x v="1"/>
    <x v="1"/>
    <x v="3"/>
    <x v="2"/>
    <n v="34.369999999999997"/>
    <n v="36.088499999999996"/>
    <n v="10"/>
    <s v="Ewallet"/>
    <x v="32"/>
    <n v="1.7184999999999988"/>
  </r>
  <r>
    <s v="A"/>
    <x v="0"/>
    <x v="1"/>
    <x v="1"/>
    <x v="1"/>
    <x v="1"/>
    <n v="38.6"/>
    <n v="40.53"/>
    <n v="1"/>
    <s v="Ewallet"/>
    <x v="32"/>
    <n v="1.9299999999999997"/>
  </r>
  <r>
    <s v="C"/>
    <x v="1"/>
    <x v="1"/>
    <x v="1"/>
    <x v="24"/>
    <x v="4"/>
    <n v="65.97"/>
    <n v="69.268500000000003"/>
    <n v="8"/>
    <s v="Cash"/>
    <x v="2"/>
    <n v="3.2985000000000042"/>
  </r>
  <r>
    <s v="C"/>
    <x v="1"/>
    <x v="1"/>
    <x v="0"/>
    <x v="1"/>
    <x v="1"/>
    <n v="32.799999999999997"/>
    <n v="34.44"/>
    <n v="10"/>
    <s v="Cash"/>
    <x v="58"/>
    <n v="1.6400000000000006"/>
  </r>
  <r>
    <s v="A"/>
    <x v="0"/>
    <x v="1"/>
    <x v="1"/>
    <x v="15"/>
    <x v="2"/>
    <n v="37.14"/>
    <n v="38.997"/>
    <n v="5"/>
    <s v="Ewallet"/>
    <x v="59"/>
    <n v="1.8569999999999993"/>
  </r>
  <r>
    <s v="C"/>
    <x v="1"/>
    <x v="0"/>
    <x v="0"/>
    <x v="15"/>
    <x v="2"/>
    <n v="36.979999999999997"/>
    <n v="38.829000000000001"/>
    <n v="10"/>
    <s v="Credit card"/>
    <x v="22"/>
    <n v="1.8490000000000038"/>
  </r>
  <r>
    <s v="B"/>
    <x v="2"/>
    <x v="0"/>
    <x v="0"/>
    <x v="11"/>
    <x v="2"/>
    <n v="49.49"/>
    <n v="51.964500000000001"/>
    <n v="4"/>
    <s v="Ewallet"/>
    <x v="29"/>
    <n v="2.474499999999999"/>
  </r>
  <r>
    <s v="B"/>
    <x v="2"/>
    <x v="0"/>
    <x v="0"/>
    <x v="17"/>
    <x v="0"/>
    <n v="25.32"/>
    <n v="26.585999999999999"/>
    <n v="8"/>
    <s v="Ewallet"/>
    <x v="36"/>
    <n v="1.2659999999999982"/>
  </r>
  <r>
    <s v="B"/>
    <x v="2"/>
    <x v="1"/>
    <x v="1"/>
    <x v="15"/>
    <x v="2"/>
    <n v="75.92"/>
    <n v="79.715999999999994"/>
    <n v="8"/>
    <s v="Cash"/>
    <x v="38"/>
    <n v="3.7959999999999923"/>
  </r>
  <r>
    <s v="C"/>
    <x v="1"/>
    <x v="1"/>
    <x v="0"/>
    <x v="1"/>
    <x v="1"/>
    <n v="63.22"/>
    <n v="66.381"/>
    <n v="2"/>
    <s v="Cash"/>
    <x v="28"/>
    <n v="3.1610000000000014"/>
  </r>
  <r>
    <s v="C"/>
    <x v="1"/>
    <x v="1"/>
    <x v="0"/>
    <x v="24"/>
    <x v="4"/>
    <n v="90.24"/>
    <n v="94.751999999999995"/>
    <n v="6"/>
    <s v="Cash"/>
    <x v="58"/>
    <n v="4.5120000000000005"/>
  </r>
  <r>
    <s v="B"/>
    <x v="2"/>
    <x v="0"/>
    <x v="0"/>
    <x v="15"/>
    <x v="2"/>
    <n v="98.13"/>
    <n v="103.0365"/>
    <n v="1"/>
    <s v="Cash"/>
    <x v="60"/>
    <n v="4.9065000000000083"/>
  </r>
  <r>
    <s v="A"/>
    <x v="0"/>
    <x v="0"/>
    <x v="0"/>
    <x v="15"/>
    <x v="2"/>
    <n v="51.52"/>
    <n v="54.095999999999997"/>
    <n v="8"/>
    <s v="Cash"/>
    <x v="1"/>
    <n v="2.5759999999999934"/>
  </r>
  <r>
    <s v="B"/>
    <x v="2"/>
    <x v="0"/>
    <x v="1"/>
    <x v="3"/>
    <x v="2"/>
    <n v="73.97"/>
    <n v="77.668499999999995"/>
    <n v="1"/>
    <s v="Credit card"/>
    <x v="37"/>
    <n v="3.6984999999999957"/>
  </r>
  <r>
    <s v="B"/>
    <x v="2"/>
    <x v="1"/>
    <x v="0"/>
    <x v="15"/>
    <x v="2"/>
    <n v="93.31"/>
    <n v="97.975499999999997"/>
    <n v="2"/>
    <s v="Cash"/>
    <x v="52"/>
    <n v="4.6654999999999944"/>
  </r>
  <r>
    <s v="B"/>
    <x v="2"/>
    <x v="1"/>
    <x v="1"/>
    <x v="15"/>
    <x v="2"/>
    <n v="88.45"/>
    <n v="92.872500000000002"/>
    <n v="1"/>
    <s v="Credit card"/>
    <x v="26"/>
    <n v="4.4224999999999994"/>
  </r>
  <r>
    <s v="A"/>
    <x v="0"/>
    <x v="0"/>
    <x v="1"/>
    <x v="1"/>
    <x v="1"/>
    <n v="24.18"/>
    <n v="25.388999999999999"/>
    <n v="8"/>
    <s v="Ewallet"/>
    <x v="53"/>
    <n v="1.2089999999999996"/>
  </r>
  <r>
    <s v="B"/>
    <x v="2"/>
    <x v="0"/>
    <x v="0"/>
    <x v="15"/>
    <x v="2"/>
    <n v="48.5"/>
    <n v="50.925000000000004"/>
    <n v="3"/>
    <s v="Cash"/>
    <x v="32"/>
    <n v="2.4250000000000043"/>
  </r>
  <r>
    <s v="B"/>
    <x v="2"/>
    <x v="1"/>
    <x v="0"/>
    <x v="24"/>
    <x v="4"/>
    <n v="84.05"/>
    <n v="88.252499999999998"/>
    <n v="6"/>
    <s v="Credit card"/>
    <x v="55"/>
    <n v="4.2025000000000006"/>
  </r>
  <r>
    <s v="B"/>
    <x v="2"/>
    <x v="0"/>
    <x v="1"/>
    <x v="17"/>
    <x v="0"/>
    <n v="61.29"/>
    <n v="64.354500000000002"/>
    <n v="5"/>
    <s v="Cash"/>
    <x v="22"/>
    <n v="3.0645000000000024"/>
  </r>
  <r>
    <s v="B"/>
    <x v="2"/>
    <x v="0"/>
    <x v="0"/>
    <x v="15"/>
    <x v="2"/>
    <n v="90.74"/>
    <n v="95.277000000000001"/>
    <n v="7"/>
    <s v="Credit card"/>
    <x v="58"/>
    <n v="4.5370000000000061"/>
  </r>
  <r>
    <s v="A"/>
    <x v="0"/>
    <x v="1"/>
    <x v="1"/>
    <x v="1"/>
    <x v="1"/>
    <n v="99.55"/>
    <n v="104.5275"/>
    <n v="7"/>
    <s v="Cash"/>
    <x v="24"/>
    <n v="4.9775000000000063"/>
  </r>
  <r>
    <s v="C"/>
    <x v="1"/>
    <x v="0"/>
    <x v="1"/>
    <x v="15"/>
    <x v="2"/>
    <n v="58.39"/>
    <n v="61.3095"/>
    <n v="7"/>
    <s v="Credit card"/>
    <x v="10"/>
    <n v="2.9194999999999993"/>
  </r>
  <r>
    <s v="B"/>
    <x v="2"/>
    <x v="0"/>
    <x v="1"/>
    <x v="20"/>
    <x v="0"/>
    <n v="54.86"/>
    <n v="57.602999999999994"/>
    <n v="5"/>
    <s v="Ewallet"/>
    <x v="53"/>
    <n v="2.742999999999995"/>
  </r>
  <r>
    <s v="C"/>
    <x v="1"/>
    <x v="0"/>
    <x v="1"/>
    <x v="15"/>
    <x v="2"/>
    <n v="71.92"/>
    <n v="75.515999999999991"/>
    <n v="5"/>
    <s v="Credit card"/>
    <x v="34"/>
    <n v="3.5959999999999894"/>
  </r>
  <r>
    <s v="B"/>
    <x v="2"/>
    <x v="1"/>
    <x v="0"/>
    <x v="25"/>
    <x v="1"/>
    <n v="45.71"/>
    <n v="47.9955"/>
    <n v="3"/>
    <s v="Credit card"/>
    <x v="55"/>
    <n v="2.285499999999999"/>
  </r>
  <r>
    <s v="C"/>
    <x v="1"/>
    <x v="1"/>
    <x v="1"/>
    <x v="20"/>
    <x v="0"/>
    <n v="62.87"/>
    <n v="66.013499999999993"/>
    <n v="2"/>
    <s v="Cash"/>
    <x v="59"/>
    <n v="3.143499999999996"/>
  </r>
  <r>
    <s v="A"/>
    <x v="0"/>
    <x v="1"/>
    <x v="1"/>
    <x v="24"/>
    <x v="4"/>
    <n v="81.709999999999994"/>
    <n v="85.795500000000004"/>
    <n v="6"/>
    <s v="Credit card"/>
    <x v="43"/>
    <n v="4.0855000000000103"/>
  </r>
  <r>
    <s v="A"/>
    <x v="0"/>
    <x v="0"/>
    <x v="0"/>
    <x v="3"/>
    <x v="2"/>
    <n v="91.41"/>
    <n v="95.980499999999992"/>
    <n v="5"/>
    <s v="Ewallet"/>
    <x v="9"/>
    <n v="4.5704999999999956"/>
  </r>
  <r>
    <s v="B"/>
    <x v="2"/>
    <x v="0"/>
    <x v="0"/>
    <x v="24"/>
    <x v="4"/>
    <n v="54.36"/>
    <n v="57.077999999999996"/>
    <n v="10"/>
    <s v="Credit card"/>
    <x v="41"/>
    <n v="2.7179999999999964"/>
  </r>
  <r>
    <s v="A"/>
    <x v="0"/>
    <x v="1"/>
    <x v="1"/>
    <x v="3"/>
    <x v="2"/>
    <n v="98.09"/>
    <n v="102.9945"/>
    <n v="9"/>
    <s v="Cash"/>
    <x v="30"/>
    <n v="4.9044999999999987"/>
  </r>
  <r>
    <s v="A"/>
    <x v="0"/>
    <x v="1"/>
    <x v="1"/>
    <x v="6"/>
    <x v="0"/>
    <n v="25.43"/>
    <n v="26.701499999999999"/>
    <n v="6"/>
    <s v="Ewallet"/>
    <x v="22"/>
    <n v="1.2714999999999996"/>
  </r>
  <r>
    <s v="B"/>
    <x v="2"/>
    <x v="1"/>
    <x v="1"/>
    <x v="1"/>
    <x v="1"/>
    <n v="22.95"/>
    <n v="24.0975"/>
    <n v="10"/>
    <s v="Ewallet"/>
    <x v="10"/>
    <n v="1.1475000000000009"/>
  </r>
  <r>
    <s v="C"/>
    <x v="1"/>
    <x v="1"/>
    <x v="0"/>
    <x v="24"/>
    <x v="4"/>
    <n v="16.309999999999999"/>
    <n v="17.125500000000002"/>
    <n v="9"/>
    <s v="Ewallet"/>
    <x v="2"/>
    <n v="0.81550000000000367"/>
  </r>
  <r>
    <s v="C"/>
    <x v="1"/>
    <x v="0"/>
    <x v="0"/>
    <x v="16"/>
    <x v="4"/>
    <n v="87.48"/>
    <n v="91.853999999999999"/>
    <n v="6"/>
    <s v="Ewallet"/>
    <x v="17"/>
    <n v="4.3739999999999952"/>
  </r>
  <r>
    <s v="C"/>
    <x v="1"/>
    <x v="0"/>
    <x v="1"/>
    <x v="12"/>
    <x v="0"/>
    <n v="75.88"/>
    <n v="79.674000000000007"/>
    <n v="1"/>
    <s v="Credit card"/>
    <x v="9"/>
    <n v="3.7940000000000111"/>
  </r>
  <r>
    <s v="B"/>
    <x v="2"/>
    <x v="0"/>
    <x v="0"/>
    <x v="3"/>
    <x v="2"/>
    <n v="20.18"/>
    <n v="21.189"/>
    <n v="4"/>
    <s v="Credit card"/>
    <x v="59"/>
    <n v="1.0090000000000003"/>
  </r>
  <r>
    <s v="C"/>
    <x v="1"/>
    <x v="0"/>
    <x v="1"/>
    <x v="1"/>
    <x v="1"/>
    <n v="18.77"/>
    <n v="19.708500000000001"/>
    <n v="6"/>
    <s v="Credit card"/>
    <x v="38"/>
    <n v="0.93850000000000122"/>
  </r>
  <r>
    <s v="B"/>
    <x v="2"/>
    <x v="1"/>
    <x v="0"/>
    <x v="16"/>
    <x v="4"/>
    <n v="71.2"/>
    <n v="74.760000000000005"/>
    <n v="1"/>
    <s v="Credit card"/>
    <x v="45"/>
    <n v="3.5600000000000023"/>
  </r>
  <r>
    <s v="A"/>
    <x v="0"/>
    <x v="1"/>
    <x v="1"/>
    <x v="11"/>
    <x v="2"/>
    <n v="60.95"/>
    <n v="63.997499999999995"/>
    <n v="9"/>
    <s v="Credit card"/>
    <x v="19"/>
    <n v="3.0474999999999923"/>
  </r>
  <r>
    <s v="B"/>
    <x v="2"/>
    <x v="1"/>
    <x v="0"/>
    <x v="3"/>
    <x v="2"/>
    <n v="51.54"/>
    <n v="54.116999999999997"/>
    <n v="5"/>
    <s v="Cash"/>
    <x v="44"/>
    <n v="2.5769999999999982"/>
  </r>
  <r>
    <s v="A"/>
    <x v="0"/>
    <x v="1"/>
    <x v="0"/>
    <x v="25"/>
    <x v="1"/>
    <n v="66.06"/>
    <n v="69.363"/>
    <n v="6"/>
    <s v="Cash"/>
    <x v="40"/>
    <n v="3.3029999999999973"/>
  </r>
  <r>
    <s v="B"/>
    <x v="2"/>
    <x v="1"/>
    <x v="0"/>
    <x v="10"/>
    <x v="0"/>
    <n v="58.24"/>
    <n v="61.152000000000008"/>
    <n v="9"/>
    <s v="Cash"/>
    <x v="57"/>
    <n v="2.9120000000000061"/>
  </r>
  <r>
    <s v="C"/>
    <x v="1"/>
    <x v="1"/>
    <x v="1"/>
    <x v="1"/>
    <x v="1"/>
    <n v="22.21"/>
    <n v="23.320499999999999"/>
    <n v="6"/>
    <s v="Credit card"/>
    <x v="15"/>
    <n v="1.1104999999999983"/>
  </r>
  <r>
    <s v="A"/>
    <x v="0"/>
    <x v="0"/>
    <x v="1"/>
    <x v="1"/>
    <x v="1"/>
    <n v="19.32"/>
    <n v="20.286000000000001"/>
    <n v="7"/>
    <s v="Cash"/>
    <x v="14"/>
    <n v="0.96600000000000108"/>
  </r>
  <r>
    <s v="C"/>
    <x v="1"/>
    <x v="0"/>
    <x v="0"/>
    <x v="16"/>
    <x v="4"/>
    <n v="98.52"/>
    <n v="103.446"/>
    <n v="10"/>
    <s v="Ewallet"/>
    <x v="12"/>
    <n v="4.9260000000000019"/>
  </r>
  <r>
    <s v="A"/>
    <x v="0"/>
    <x v="0"/>
    <x v="1"/>
    <x v="16"/>
    <x v="4"/>
    <n v="41.66"/>
    <n v="43.743000000000002"/>
    <n v="6"/>
    <s v="Ewallet"/>
    <x v="25"/>
    <n v="2.0830000000000055"/>
  </r>
  <r>
    <s v="B"/>
    <x v="2"/>
    <x v="1"/>
    <x v="1"/>
    <x v="1"/>
    <x v="1"/>
    <n v="21.58"/>
    <n v="22.659000000000002"/>
    <n v="9"/>
    <s v="Cash"/>
    <x v="40"/>
    <n v="1.0790000000000042"/>
  </r>
  <r>
    <s v="C"/>
    <x v="1"/>
    <x v="1"/>
    <x v="1"/>
    <x v="16"/>
    <x v="4"/>
    <n v="89.2"/>
    <n v="93.66"/>
    <n v="10"/>
    <s v="Credit card"/>
    <x v="54"/>
    <n v="4.4599999999999937"/>
  </r>
  <r>
    <s v="B"/>
    <x v="2"/>
    <x v="1"/>
    <x v="0"/>
    <x v="1"/>
    <x v="1"/>
    <n v="42.42"/>
    <n v="44.540999999999997"/>
    <n v="8"/>
    <s v="Ewallet"/>
    <x v="11"/>
    <n v="2.1209999999999951"/>
  </r>
  <r>
    <s v="A"/>
    <x v="0"/>
    <x v="0"/>
    <x v="1"/>
    <x v="25"/>
    <x v="1"/>
    <n v="74.510000000000005"/>
    <n v="78.235500000000002"/>
    <n v="6"/>
    <s v="Ewallet"/>
    <x v="59"/>
    <n v="3.7254999999999967"/>
  </r>
  <r>
    <s v="A"/>
    <x v="0"/>
    <x v="1"/>
    <x v="0"/>
    <x v="14"/>
    <x v="4"/>
    <n v="81.209999999999994"/>
    <n v="85.270499999999998"/>
    <n v="10"/>
    <s v="Credit card"/>
    <x v="52"/>
    <n v="4.0605000000000047"/>
  </r>
  <r>
    <s v="C"/>
    <x v="1"/>
    <x v="1"/>
    <x v="0"/>
    <x v="11"/>
    <x v="2"/>
    <n v="49.33"/>
    <n v="51.796500000000002"/>
    <n v="10"/>
    <s v="Credit card"/>
    <x v="51"/>
    <n v="2.4665000000000035"/>
  </r>
  <r>
    <s v="C"/>
    <x v="1"/>
    <x v="1"/>
    <x v="0"/>
    <x v="3"/>
    <x v="2"/>
    <n v="73.98"/>
    <n v="77.679000000000002"/>
    <n v="7"/>
    <s v="Ewallet"/>
    <x v="4"/>
    <n v="3.6989999999999981"/>
  </r>
  <r>
    <s v="B"/>
    <x v="2"/>
    <x v="0"/>
    <x v="1"/>
    <x v="11"/>
    <x v="2"/>
    <n v="26.67"/>
    <n v="28.003500000000003"/>
    <n v="10"/>
    <s v="Cash"/>
    <x v="15"/>
    <n v="1.3335000000000008"/>
  </r>
  <r>
    <s v="A"/>
    <x v="0"/>
    <x v="0"/>
    <x v="1"/>
    <x v="16"/>
    <x v="4"/>
    <n v="10.130000000000001"/>
    <n v="10.6365"/>
    <n v="7"/>
    <s v="Ewallet"/>
    <x v="39"/>
    <n v="0.50649999999999906"/>
  </r>
  <r>
    <s v="B"/>
    <x v="2"/>
    <x v="1"/>
    <x v="1"/>
    <x v="16"/>
    <x v="4"/>
    <n v="72.39"/>
    <n v="76.009500000000003"/>
    <n v="2"/>
    <s v="Credit card"/>
    <x v="27"/>
    <n v="3.6195000000000022"/>
  </r>
  <r>
    <s v="A"/>
    <x v="0"/>
    <x v="1"/>
    <x v="1"/>
    <x v="3"/>
    <x v="2"/>
    <n v="85.91"/>
    <n v="90.205500000000001"/>
    <n v="5"/>
    <s v="Credit card"/>
    <x v="15"/>
    <n v="4.2955000000000041"/>
  </r>
  <r>
    <s v="B"/>
    <x v="2"/>
    <x v="1"/>
    <x v="1"/>
    <x v="16"/>
    <x v="4"/>
    <n v="60.3"/>
    <n v="63.314999999999998"/>
    <n v="4"/>
    <s v="Cash"/>
    <x v="5"/>
    <n v="3.0150000000000006"/>
  </r>
  <r>
    <s v="C"/>
    <x v="1"/>
    <x v="1"/>
    <x v="1"/>
    <x v="24"/>
    <x v="4"/>
    <n v="31.77"/>
    <n v="33.358499999999999"/>
    <n v="4"/>
    <s v="Ewallet"/>
    <x v="58"/>
    <n v="1.5884999999999998"/>
  </r>
  <r>
    <s v="A"/>
    <x v="0"/>
    <x v="1"/>
    <x v="0"/>
    <x v="6"/>
    <x v="0"/>
    <n v="64.27"/>
    <n v="67.483500000000006"/>
    <n v="4"/>
    <s v="Cash"/>
    <x v="55"/>
    <n v="3.2135000000000105"/>
  </r>
  <r>
    <s v="B"/>
    <x v="2"/>
    <x v="1"/>
    <x v="1"/>
    <x v="10"/>
    <x v="0"/>
    <n v="69.510000000000005"/>
    <n v="72.985500000000002"/>
    <n v="2"/>
    <s v="Ewallet"/>
    <x v="27"/>
    <n v="3.4754999999999967"/>
  </r>
  <r>
    <s v="C"/>
    <x v="1"/>
    <x v="1"/>
    <x v="1"/>
    <x v="24"/>
    <x v="4"/>
    <n v="27.22"/>
    <n v="28.581"/>
    <n v="3"/>
    <s v="Cash"/>
    <x v="40"/>
    <n v="1.3610000000000007"/>
  </r>
  <r>
    <s v="A"/>
    <x v="0"/>
    <x v="0"/>
    <x v="0"/>
    <x v="6"/>
    <x v="0"/>
    <n v="77.680000000000007"/>
    <n v="81.563999999999993"/>
    <n v="4"/>
    <s v="Cash"/>
    <x v="2"/>
    <n v="3.8839999999999861"/>
  </r>
  <r>
    <s v="B"/>
    <x v="2"/>
    <x v="1"/>
    <x v="1"/>
    <x v="15"/>
    <x v="2"/>
    <n v="63.06"/>
    <n v="66.213000000000008"/>
    <n v="3"/>
    <s v="Ewallet"/>
    <x v="22"/>
    <n v="3.1530000000000058"/>
  </r>
  <r>
    <s v="A"/>
    <x v="0"/>
    <x v="1"/>
    <x v="1"/>
    <x v="12"/>
    <x v="0"/>
    <n v="51.71"/>
    <n v="54.295499999999997"/>
    <n v="4"/>
    <s v="Credit card"/>
    <x v="53"/>
    <n v="2.5854999999999961"/>
  </r>
  <r>
    <s v="A"/>
    <x v="0"/>
    <x v="1"/>
    <x v="0"/>
    <x v="24"/>
    <x v="4"/>
    <n v="52.34"/>
    <n v="54.957000000000001"/>
    <n v="3"/>
    <s v="Cash"/>
    <x v="45"/>
    <n v="2.6169999999999973"/>
  </r>
  <r>
    <s v="A"/>
    <x v="0"/>
    <x v="1"/>
    <x v="0"/>
    <x v="15"/>
    <x v="2"/>
    <n v="43.06"/>
    <n v="45.213000000000001"/>
    <n v="5"/>
    <s v="Ewallet"/>
    <x v="55"/>
    <n v="2.1529999999999987"/>
  </r>
  <r>
    <s v="A"/>
    <x v="0"/>
    <x v="1"/>
    <x v="1"/>
    <x v="6"/>
    <x v="0"/>
    <n v="14.62"/>
    <n v="15.350999999999999"/>
    <n v="5"/>
    <s v="Cash"/>
    <x v="54"/>
    <n v="0.73099999999999987"/>
  </r>
  <r>
    <s v="C"/>
    <x v="1"/>
    <x v="0"/>
    <x v="1"/>
    <x v="6"/>
    <x v="0"/>
    <n v="46.53"/>
    <n v="48.856500000000004"/>
    <n v="6"/>
    <s v="Credit card"/>
    <x v="34"/>
    <n v="2.3265000000000029"/>
  </r>
  <r>
    <s v="A"/>
    <x v="0"/>
    <x v="0"/>
    <x v="0"/>
    <x v="15"/>
    <x v="2"/>
    <n v="45.58"/>
    <n v="47.859000000000002"/>
    <n v="1"/>
    <s v="Cash"/>
    <x v="53"/>
    <n v="2.2790000000000035"/>
  </r>
  <r>
    <s v="A"/>
    <x v="0"/>
    <x v="0"/>
    <x v="0"/>
    <x v="11"/>
    <x v="2"/>
    <n v="75.2"/>
    <n v="78.959999999999994"/>
    <n v="3"/>
    <s v="Ewallet"/>
    <x v="16"/>
    <n v="3.7599999999999909"/>
  </r>
  <r>
    <s v="B"/>
    <x v="2"/>
    <x v="0"/>
    <x v="1"/>
    <x v="15"/>
    <x v="2"/>
    <n v="96.8"/>
    <n v="101.64"/>
    <n v="3"/>
    <s v="Cash"/>
    <x v="3"/>
    <n v="4.8400000000000034"/>
  </r>
  <r>
    <s v="B"/>
    <x v="2"/>
    <x v="1"/>
    <x v="1"/>
    <x v="10"/>
    <x v="0"/>
    <n v="14.82"/>
    <n v="15.561"/>
    <n v="3"/>
    <s v="Credit card"/>
    <x v="36"/>
    <n v="0.74099999999999966"/>
  </r>
  <r>
    <s v="A"/>
    <x v="0"/>
    <x v="1"/>
    <x v="1"/>
    <x v="24"/>
    <x v="4"/>
    <n v="52.2"/>
    <n v="54.81"/>
    <n v="3"/>
    <s v="Credit card"/>
    <x v="26"/>
    <n v="2.6099999999999994"/>
  </r>
  <r>
    <s v="C"/>
    <x v="1"/>
    <x v="1"/>
    <x v="0"/>
    <x v="19"/>
    <x v="2"/>
    <n v="46.66"/>
    <n v="48.993000000000002"/>
    <n v="9"/>
    <s v="Ewallet"/>
    <x v="3"/>
    <n v="2.3330000000000055"/>
  </r>
  <r>
    <s v="C"/>
    <x v="1"/>
    <x v="1"/>
    <x v="1"/>
    <x v="1"/>
    <x v="1"/>
    <n v="83.08"/>
    <n v="87.233999999999995"/>
    <n v="1"/>
    <s v="Ewallet"/>
    <x v="33"/>
    <n v="4.1539999999999964"/>
  </r>
  <r>
    <s v="C"/>
    <x v="1"/>
    <x v="1"/>
    <x v="1"/>
    <x v="24"/>
    <x v="4"/>
    <n v="77.56"/>
    <n v="81.438000000000002"/>
    <n v="10"/>
    <s v="Ewallet"/>
    <x v="14"/>
    <n v="3.8780000000000001"/>
  </r>
  <r>
    <s v="B"/>
    <x v="2"/>
    <x v="1"/>
    <x v="0"/>
    <x v="19"/>
    <x v="2"/>
    <n v="54.51"/>
    <n v="57.235500000000002"/>
    <n v="6"/>
    <s v="Ewallet"/>
    <x v="46"/>
    <n v="2.7255000000000038"/>
  </r>
  <r>
    <s v="C"/>
    <x v="1"/>
    <x v="0"/>
    <x v="0"/>
    <x v="24"/>
    <x v="4"/>
    <n v="49.79"/>
    <n v="52.279499999999999"/>
    <n v="4"/>
    <s v="Credit card"/>
    <x v="33"/>
    <n v="2.4894999999999996"/>
  </r>
  <r>
    <s v="B"/>
    <x v="2"/>
    <x v="0"/>
    <x v="1"/>
    <x v="24"/>
    <x v="4"/>
    <n v="57.89"/>
    <n v="60.784500000000001"/>
    <n v="2"/>
    <s v="Ewallet"/>
    <x v="60"/>
    <n v="2.8945000000000007"/>
  </r>
  <r>
    <s v="A"/>
    <x v="0"/>
    <x v="1"/>
    <x v="0"/>
    <x v="1"/>
    <x v="1"/>
    <n v="28.96"/>
    <n v="30.408000000000001"/>
    <n v="1"/>
    <s v="Credit card"/>
    <x v="58"/>
    <n v="1.4480000000000004"/>
  </r>
  <r>
    <s v="C"/>
    <x v="1"/>
    <x v="0"/>
    <x v="0"/>
    <x v="24"/>
    <x v="4"/>
    <n v="98.97"/>
    <n v="103.91849999999999"/>
    <n v="9"/>
    <s v="Cash"/>
    <x v="32"/>
    <n v="4.9484999999999957"/>
  </r>
  <r>
    <s v="C"/>
    <x v="1"/>
    <x v="0"/>
    <x v="1"/>
    <x v="19"/>
    <x v="2"/>
    <n v="80.930000000000007"/>
    <n v="84.976500000000001"/>
    <n v="1"/>
    <s v="Credit card"/>
    <x v="49"/>
    <n v="4.0464999999999947"/>
  </r>
  <r>
    <s v="A"/>
    <x v="0"/>
    <x v="0"/>
    <x v="1"/>
    <x v="16"/>
    <x v="4"/>
    <n v="67.45"/>
    <n v="70.822500000000005"/>
    <n v="10"/>
    <s v="Ewallet"/>
    <x v="44"/>
    <n v="3.3725000000000023"/>
  </r>
  <r>
    <s v="A"/>
    <x v="0"/>
    <x v="0"/>
    <x v="0"/>
    <x v="19"/>
    <x v="2"/>
    <n v="38.72"/>
    <n v="40.655999999999999"/>
    <n v="9"/>
    <s v="Ewallet"/>
    <x v="44"/>
    <n v="1.9359999999999999"/>
  </r>
  <r>
    <s v="B"/>
    <x v="2"/>
    <x v="0"/>
    <x v="1"/>
    <x v="19"/>
    <x v="2"/>
    <n v="72.599999999999994"/>
    <n v="76.23"/>
    <n v="6"/>
    <s v="Cash"/>
    <x v="14"/>
    <n v="3.6300000000000097"/>
  </r>
  <r>
    <s v="C"/>
    <x v="1"/>
    <x v="0"/>
    <x v="1"/>
    <x v="1"/>
    <x v="1"/>
    <n v="87.91"/>
    <n v="92.305499999999995"/>
    <n v="5"/>
    <s v="Ewallet"/>
    <x v="54"/>
    <n v="4.3954999999999984"/>
  </r>
  <r>
    <s v="A"/>
    <x v="0"/>
    <x v="0"/>
    <x v="1"/>
    <x v="16"/>
    <x v="4"/>
    <n v="98.53"/>
    <n v="103.45650000000001"/>
    <n v="6"/>
    <s v="Credit card"/>
    <x v="35"/>
    <n v="4.9265000000000043"/>
  </r>
  <r>
    <s v="A"/>
    <x v="0"/>
    <x v="1"/>
    <x v="0"/>
    <x v="16"/>
    <x v="4"/>
    <n v="71.680000000000007"/>
    <n v="75.263999999999996"/>
    <n v="3"/>
    <s v="Credit card"/>
    <x v="45"/>
    <n v="3.583999999999989"/>
  </r>
  <r>
    <s v="A"/>
    <x v="0"/>
    <x v="0"/>
    <x v="0"/>
    <x v="16"/>
    <x v="4"/>
    <n v="91.61"/>
    <n v="96.1905"/>
    <n v="1"/>
    <s v="Cash"/>
    <x v="53"/>
    <n v="4.5805000000000007"/>
  </r>
  <r>
    <s v="B"/>
    <x v="2"/>
    <x v="0"/>
    <x v="0"/>
    <x v="16"/>
    <x v="4"/>
    <n v="78.88"/>
    <n v="82.823999999999998"/>
    <n v="2"/>
    <s v="Cash"/>
    <x v="0"/>
    <n v="3.9440000000000026"/>
  </r>
  <r>
    <s v="A"/>
    <x v="0"/>
    <x v="1"/>
    <x v="1"/>
    <x v="19"/>
    <x v="2"/>
    <n v="60.87"/>
    <n v="63.913499999999999"/>
    <n v="2"/>
    <s v="Ewallet"/>
    <x v="36"/>
    <n v="3.0435000000000016"/>
  </r>
  <r>
    <s v="B"/>
    <x v="2"/>
    <x v="0"/>
    <x v="1"/>
    <x v="6"/>
    <x v="0"/>
    <n v="82.58"/>
    <n v="86.709000000000003"/>
    <n v="10"/>
    <s v="Cash"/>
    <x v="59"/>
    <n v="4.1290000000000049"/>
  </r>
  <r>
    <s v="A"/>
    <x v="0"/>
    <x v="1"/>
    <x v="1"/>
    <x v="22"/>
    <x v="2"/>
    <n v="64.19"/>
    <n v="67.399500000000003"/>
    <n v="10"/>
    <s v="Credit card"/>
    <x v="32"/>
    <n v="3.2095000000000056"/>
  </r>
  <r>
    <s v="A"/>
    <x v="0"/>
    <x v="1"/>
    <x v="1"/>
    <x v="1"/>
    <x v="1"/>
    <n v="78.31"/>
    <n v="82.225499999999997"/>
    <n v="3"/>
    <s v="Ewallet"/>
    <x v="37"/>
    <n v="3.9154999999999944"/>
  </r>
  <r>
    <s v="A"/>
    <x v="0"/>
    <x v="0"/>
    <x v="1"/>
    <x v="16"/>
    <x v="4"/>
    <n v="83.77"/>
    <n v="87.958500000000001"/>
    <n v="2"/>
    <s v="Credit card"/>
    <x v="22"/>
    <n v="4.1885000000000048"/>
  </r>
  <r>
    <s v="B"/>
    <x v="2"/>
    <x v="0"/>
    <x v="1"/>
    <x v="16"/>
    <x v="4"/>
    <n v="79.91"/>
    <n v="83.905500000000004"/>
    <n v="3"/>
    <s v="Credit card"/>
    <x v="59"/>
    <n v="3.9955000000000069"/>
  </r>
  <r>
    <s v="B"/>
    <x v="2"/>
    <x v="0"/>
    <x v="1"/>
    <x v="12"/>
    <x v="0"/>
    <n v="66.47"/>
    <n v="69.793499999999995"/>
    <n v="10"/>
    <s v="Credit card"/>
    <x v="59"/>
    <n v="3.3234999999999957"/>
  </r>
  <r>
    <s v="A"/>
    <x v="0"/>
    <x v="1"/>
    <x v="1"/>
    <x v="6"/>
    <x v="0"/>
    <n v="28.95"/>
    <n v="30.397500000000001"/>
    <n v="7"/>
    <s v="Credit card"/>
    <x v="19"/>
    <n v="1.4475000000000016"/>
  </r>
  <r>
    <s v="C"/>
    <x v="1"/>
    <x v="1"/>
    <x v="0"/>
    <x v="25"/>
    <x v="1"/>
    <n v="46.2"/>
    <n v="48.51"/>
    <n v="1"/>
    <s v="Cash"/>
    <x v="52"/>
    <n v="2.3099999999999952"/>
  </r>
  <r>
    <s v="B"/>
    <x v="2"/>
    <x v="0"/>
    <x v="0"/>
    <x v="16"/>
    <x v="4"/>
    <n v="17.63"/>
    <n v="18.511500000000002"/>
    <n v="5"/>
    <s v="Cash"/>
    <x v="28"/>
    <n v="0.88150000000000261"/>
  </r>
  <r>
    <s v="B"/>
    <x v="2"/>
    <x v="0"/>
    <x v="0"/>
    <x v="16"/>
    <x v="4"/>
    <n v="98.79"/>
    <n v="103.72949999999999"/>
    <n v="3"/>
    <s v="Ewallet"/>
    <x v="33"/>
    <n v="4.9394999999999811"/>
  </r>
  <r>
    <s v="C"/>
    <x v="1"/>
    <x v="0"/>
    <x v="0"/>
    <x v="5"/>
    <x v="1"/>
    <n v="88.55"/>
    <n v="92.977500000000006"/>
    <n v="8"/>
    <s v="Ewallet"/>
    <x v="23"/>
    <n v="4.4275000000000091"/>
  </r>
  <r>
    <s v="B"/>
    <x v="2"/>
    <x v="0"/>
    <x v="1"/>
    <x v="5"/>
    <x v="1"/>
    <n v="55.67"/>
    <n v="58.453499999999998"/>
    <n v="2"/>
    <s v="Ewallet"/>
    <x v="19"/>
    <n v="2.7834999999999965"/>
  </r>
  <r>
    <s v="C"/>
    <x v="1"/>
    <x v="0"/>
    <x v="0"/>
    <x v="16"/>
    <x v="4"/>
    <n v="72.52"/>
    <n v="76.146000000000001"/>
    <n v="8"/>
    <s v="Credit card"/>
    <x v="35"/>
    <n v="3.6260000000000048"/>
  </r>
  <r>
    <s v="C"/>
    <x v="1"/>
    <x v="0"/>
    <x v="1"/>
    <x v="5"/>
    <x v="1"/>
    <n v="12.05"/>
    <n v="12.6525"/>
    <n v="5"/>
    <s v="Ewallet"/>
    <x v="38"/>
    <n v="0.60249999999999915"/>
  </r>
  <r>
    <s v="C"/>
    <x v="1"/>
    <x v="1"/>
    <x v="1"/>
    <x v="6"/>
    <x v="0"/>
    <n v="70.209999999999994"/>
    <n v="73.720500000000001"/>
    <n v="6"/>
    <s v="Cash"/>
    <x v="20"/>
    <n v="3.5105000000000075"/>
  </r>
  <r>
    <s v="C"/>
    <x v="1"/>
    <x v="0"/>
    <x v="0"/>
    <x v="22"/>
    <x v="2"/>
    <n v="15.49"/>
    <n v="16.264500000000002"/>
    <n v="2"/>
    <s v="Cash"/>
    <x v="52"/>
    <n v="0.77450000000000152"/>
  </r>
  <r>
    <s v="C"/>
    <x v="1"/>
    <x v="1"/>
    <x v="1"/>
    <x v="5"/>
    <x v="1"/>
    <n v="24.74"/>
    <n v="25.976999999999997"/>
    <n v="10"/>
    <s v="Cash"/>
    <x v="9"/>
    <n v="1.2369999999999983"/>
  </r>
  <r>
    <s v="B"/>
    <x v="2"/>
    <x v="1"/>
    <x v="1"/>
    <x v="5"/>
    <x v="1"/>
    <n v="75.66"/>
    <n v="79.442999999999998"/>
    <n v="5"/>
    <s v="Ewallet"/>
    <x v="46"/>
    <n v="3.7830000000000013"/>
  </r>
  <r>
    <s v="B"/>
    <x v="2"/>
    <x v="1"/>
    <x v="0"/>
    <x v="20"/>
    <x v="0"/>
    <n v="55.81"/>
    <n v="58.600500000000004"/>
    <n v="6"/>
    <s v="Cash"/>
    <x v="18"/>
    <n v="2.7905000000000015"/>
  </r>
  <r>
    <s v="B"/>
    <x v="2"/>
    <x v="0"/>
    <x v="1"/>
    <x v="22"/>
    <x v="2"/>
    <n v="37.32"/>
    <n v="39.186"/>
    <n v="9"/>
    <s v="Ewallet"/>
    <x v="17"/>
    <n v="1.8659999999999997"/>
  </r>
  <r>
    <s v="A"/>
    <x v="0"/>
    <x v="1"/>
    <x v="0"/>
    <x v="5"/>
    <x v="1"/>
    <n v="15.69"/>
    <n v="16.474499999999999"/>
    <n v="3"/>
    <s v="Credit card"/>
    <x v="5"/>
    <n v="0.78449999999999953"/>
  </r>
  <r>
    <s v="C"/>
    <x v="1"/>
    <x v="1"/>
    <x v="0"/>
    <x v="5"/>
    <x v="1"/>
    <n v="99.69"/>
    <n v="104.67449999999999"/>
    <n v="1"/>
    <s v="Credit card"/>
    <x v="43"/>
    <n v="4.984499999999997"/>
  </r>
  <r>
    <s v="A"/>
    <x v="0"/>
    <x v="0"/>
    <x v="0"/>
    <x v="22"/>
    <x v="2"/>
    <n v="27.93"/>
    <n v="29.326499999999999"/>
    <n v="5"/>
    <s v="Cash"/>
    <x v="7"/>
    <n v="1.3964999999999996"/>
  </r>
  <r>
    <s v="B"/>
    <x v="2"/>
    <x v="1"/>
    <x v="0"/>
    <x v="22"/>
    <x v="2"/>
    <n v="42.97"/>
    <n v="45.118500000000004"/>
    <n v="3"/>
    <s v="Cash"/>
    <x v="30"/>
    <n v="2.1485000000000056"/>
  </r>
  <r>
    <s v="C"/>
    <x v="1"/>
    <x v="0"/>
    <x v="1"/>
    <x v="22"/>
    <x v="2"/>
    <n v="17.14"/>
    <n v="17.997"/>
    <n v="7"/>
    <s v="Credit card"/>
    <x v="56"/>
    <n v="0.85699999999999932"/>
  </r>
  <r>
    <s v="C"/>
    <x v="1"/>
    <x v="0"/>
    <x v="0"/>
    <x v="16"/>
    <x v="4"/>
    <n v="87.1"/>
    <n v="91.454999999999998"/>
    <n v="10"/>
    <s v="Credit card"/>
    <x v="18"/>
    <n v="4.355000000000004"/>
  </r>
  <r>
    <s v="C"/>
    <x v="1"/>
    <x v="1"/>
    <x v="0"/>
    <x v="22"/>
    <x v="2"/>
    <n v="98.8"/>
    <n v="103.74"/>
    <n v="2"/>
    <s v="Cash"/>
    <x v="55"/>
    <n v="4.9399999999999977"/>
  </r>
  <r>
    <s v="B"/>
    <x v="2"/>
    <x v="0"/>
    <x v="1"/>
    <x v="16"/>
    <x v="4"/>
    <n v="57.74"/>
    <n v="60.627000000000002"/>
    <n v="3"/>
    <s v="Ewallet"/>
    <x v="55"/>
    <n v="2.8870000000000005"/>
  </r>
  <r>
    <s v="B"/>
    <x v="2"/>
    <x v="1"/>
    <x v="0"/>
    <x v="10"/>
    <x v="0"/>
    <n v="17.97"/>
    <n v="18.868500000000001"/>
    <n v="4"/>
    <s v="Ewallet"/>
    <x v="33"/>
    <n v="0.89850000000000207"/>
  </r>
  <r>
    <s v="C"/>
    <x v="1"/>
    <x v="0"/>
    <x v="0"/>
    <x v="20"/>
    <x v="0"/>
    <n v="47.71"/>
    <n v="50.095499999999994"/>
    <n v="6"/>
    <s v="Ewallet"/>
    <x v="54"/>
    <n v="2.3854999999999933"/>
  </r>
  <r>
    <s v="B"/>
    <x v="2"/>
    <x v="1"/>
    <x v="0"/>
    <x v="26"/>
    <x v="2"/>
    <n v="40.619999999999997"/>
    <n v="42.651000000000003"/>
    <n v="2"/>
    <s v="Credit card"/>
    <x v="4"/>
    <n v="2.0310000000000059"/>
  </r>
  <r>
    <s v="B"/>
    <x v="2"/>
    <x v="0"/>
    <x v="1"/>
    <x v="16"/>
    <x v="4"/>
    <n v="93.4"/>
    <n v="98.07"/>
    <n v="2"/>
    <s v="Cash"/>
    <x v="38"/>
    <n v="4.6699999999999875"/>
  </r>
  <r>
    <s v="B"/>
    <x v="2"/>
    <x v="1"/>
    <x v="0"/>
    <x v="12"/>
    <x v="0"/>
    <n v="73.41"/>
    <n v="77.080500000000001"/>
    <n v="3"/>
    <s v="Ewallet"/>
    <x v="35"/>
    <n v="3.6705000000000041"/>
  </r>
  <r>
    <s v="C"/>
    <x v="1"/>
    <x v="1"/>
    <x v="1"/>
    <x v="10"/>
    <x v="0"/>
    <n v="33.64"/>
    <n v="35.322000000000003"/>
    <n v="8"/>
    <s v="Credit card"/>
    <x v="30"/>
    <n v="1.6820000000000022"/>
  </r>
  <r>
    <s v="A"/>
    <x v="0"/>
    <x v="1"/>
    <x v="0"/>
    <x v="5"/>
    <x v="1"/>
    <n v="45.48"/>
    <n v="47.754000000000005"/>
    <n v="10"/>
    <s v="Credit card"/>
    <x v="16"/>
    <n v="2.274000000000008"/>
  </r>
  <r>
    <s v="B"/>
    <x v="2"/>
    <x v="0"/>
    <x v="0"/>
    <x v="26"/>
    <x v="2"/>
    <n v="64.08"/>
    <n v="67.284000000000006"/>
    <n v="7"/>
    <s v="Credit card"/>
    <x v="40"/>
    <n v="3.2040000000000077"/>
  </r>
  <r>
    <s v="A"/>
    <x v="0"/>
    <x v="0"/>
    <x v="0"/>
    <x v="16"/>
    <x v="4"/>
    <n v="73.47"/>
    <n v="77.143500000000003"/>
    <n v="4"/>
    <s v="Cash"/>
    <x v="19"/>
    <n v="3.6735000000000042"/>
  </r>
  <r>
    <s v="C"/>
    <x v="1"/>
    <x v="1"/>
    <x v="1"/>
    <x v="10"/>
    <x v="0"/>
    <n v="58.95"/>
    <n v="61.897500000000001"/>
    <n v="10"/>
    <s v="Ewallet"/>
    <x v="27"/>
    <n v="2.947499999999998"/>
  </r>
  <r>
    <s v="A"/>
    <x v="0"/>
    <x v="0"/>
    <x v="1"/>
    <x v="16"/>
    <x v="4"/>
    <n v="48.5"/>
    <n v="50.925000000000004"/>
    <n v="6"/>
    <s v="Ewallet"/>
    <x v="51"/>
    <n v="2.4250000000000043"/>
  </r>
  <r>
    <s v="B"/>
    <x v="2"/>
    <x v="0"/>
    <x v="0"/>
    <x v="5"/>
    <x v="1"/>
    <n v="39.479999999999997"/>
    <n v="41.454000000000001"/>
    <n v="1"/>
    <s v="Cash"/>
    <x v="48"/>
    <n v="1.9740000000000038"/>
  </r>
  <r>
    <s v="B"/>
    <x v="2"/>
    <x v="1"/>
    <x v="0"/>
    <x v="26"/>
    <x v="2"/>
    <n v="34.81"/>
    <n v="36.5505"/>
    <n v="1"/>
    <s v="Credit card"/>
    <x v="22"/>
    <n v="1.7404999999999973"/>
  </r>
  <r>
    <s v="B"/>
    <x v="2"/>
    <x v="0"/>
    <x v="0"/>
    <x v="26"/>
    <x v="2"/>
    <n v="23.08"/>
    <n v="24.233999999999998"/>
    <n v="6"/>
    <s v="Ewallet"/>
    <x v="42"/>
    <n v="1.1539999999999999"/>
  </r>
  <r>
    <s v="B"/>
    <x v="2"/>
    <x v="0"/>
    <x v="0"/>
    <x v="26"/>
    <x v="2"/>
    <n v="64.83"/>
    <n v="68.0715"/>
    <n v="2"/>
    <s v="Credit card"/>
    <x v="43"/>
    <n v="3.241500000000002"/>
  </r>
  <r>
    <s v="C"/>
    <x v="1"/>
    <x v="0"/>
    <x v="1"/>
    <x v="26"/>
    <x v="2"/>
    <n v="72.88"/>
    <n v="76.524000000000001"/>
    <n v="2"/>
    <s v="Cash"/>
    <x v="41"/>
    <n v="3.6440000000000055"/>
  </r>
  <r>
    <s v="A"/>
    <x v="0"/>
    <x v="1"/>
    <x v="0"/>
    <x v="16"/>
    <x v="4"/>
    <n v="67.099999999999994"/>
    <n v="70.454999999999998"/>
    <n v="3"/>
    <s v="Cash"/>
    <x v="21"/>
    <n v="3.355000000000004"/>
  </r>
  <r>
    <s v="C"/>
    <x v="1"/>
    <x v="0"/>
    <x v="0"/>
    <x v="26"/>
    <x v="2"/>
    <n v="70.19"/>
    <n v="73.6995"/>
    <n v="9"/>
    <s v="Cash"/>
    <x v="32"/>
    <n v="3.5095000000000027"/>
  </r>
  <r>
    <s v="C"/>
    <x v="1"/>
    <x v="0"/>
    <x v="1"/>
    <x v="16"/>
    <x v="4"/>
    <n v="55.04"/>
    <n v="57.791999999999994"/>
    <n v="7"/>
    <s v="Ewallet"/>
    <x v="47"/>
    <n v="2.7519999999999953"/>
  </r>
  <r>
    <s v="A"/>
    <x v="0"/>
    <x v="0"/>
    <x v="1"/>
    <x v="10"/>
    <x v="0"/>
    <n v="48.63"/>
    <n v="51.061500000000002"/>
    <n v="10"/>
    <s v="Cash"/>
    <x v="50"/>
    <n v="2.4314999999999998"/>
  </r>
  <r>
    <s v="C"/>
    <x v="1"/>
    <x v="1"/>
    <x v="0"/>
    <x v="16"/>
    <x v="4"/>
    <n v="52.6"/>
    <n v="55.23"/>
    <n v="9"/>
    <s v="Cash"/>
    <x v="24"/>
    <n v="2.6299999999999955"/>
  </r>
  <r>
    <s v="A"/>
    <x v="0"/>
    <x v="0"/>
    <x v="0"/>
    <x v="26"/>
    <x v="2"/>
    <n v="27.04"/>
    <n v="28.391999999999999"/>
    <n v="4"/>
    <s v="Ewallet"/>
    <x v="14"/>
    <n v="1.3520000000000003"/>
  </r>
  <r>
    <s v="A"/>
    <x v="0"/>
    <x v="0"/>
    <x v="1"/>
    <x v="1"/>
    <x v="1"/>
    <n v="69.58"/>
    <n v="73.058999999999997"/>
    <n v="9"/>
    <s v="Credit card"/>
    <x v="46"/>
    <n v="3.4789999999999992"/>
  </r>
  <r>
    <s v="B"/>
    <x v="2"/>
    <x v="1"/>
    <x v="1"/>
    <x v="16"/>
    <x v="4"/>
    <n v="32.32"/>
    <n v="33.936"/>
    <n v="3"/>
    <s v="Credit card"/>
    <x v="34"/>
    <n v="1.6159999999999997"/>
  </r>
  <r>
    <s v="B"/>
    <x v="2"/>
    <x v="0"/>
    <x v="1"/>
    <x v="10"/>
    <x v="0"/>
    <n v="80.47"/>
    <n v="84.493499999999997"/>
    <n v="9"/>
    <s v="Cash"/>
    <x v="45"/>
    <n v="4.0234999999999985"/>
  </r>
  <r>
    <s v="B"/>
    <x v="2"/>
    <x v="1"/>
    <x v="1"/>
    <x v="10"/>
    <x v="0"/>
    <n v="71.77"/>
    <n v="75.358500000000006"/>
    <n v="7"/>
    <s v="Cash"/>
    <x v="60"/>
    <n v="3.5885000000000105"/>
  </r>
  <r>
    <s v="B"/>
    <x v="2"/>
    <x v="1"/>
    <x v="0"/>
    <x v="1"/>
    <x v="1"/>
    <n v="43"/>
    <n v="45.15"/>
    <n v="4"/>
    <s v="Ewallet"/>
    <x v="24"/>
    <n v="2.1499999999999986"/>
  </r>
  <r>
    <s v="C"/>
    <x v="1"/>
    <x v="0"/>
    <x v="1"/>
    <x v="21"/>
    <x v="4"/>
    <n v="68.98"/>
    <n v="72.429000000000002"/>
    <n v="1"/>
    <s v="Cash"/>
    <x v="16"/>
    <n v="3.4489999999999981"/>
  </r>
  <r>
    <s v="A"/>
    <x v="0"/>
    <x v="1"/>
    <x v="1"/>
    <x v="26"/>
    <x v="2"/>
    <n v="25.7"/>
    <n v="26.984999999999999"/>
    <n v="3"/>
    <s v="Ewallet"/>
    <x v="41"/>
    <n v="1.2850000000000001"/>
  </r>
  <r>
    <s v="A"/>
    <x v="0"/>
    <x v="0"/>
    <x v="1"/>
    <x v="27"/>
    <x v="4"/>
    <n v="80.62"/>
    <n v="84.650999999999996"/>
    <n v="6"/>
    <s v="Cash"/>
    <x v="0"/>
    <n v="4.0309999999999917"/>
  </r>
  <r>
    <s v="C"/>
    <x v="1"/>
    <x v="1"/>
    <x v="0"/>
    <x v="1"/>
    <x v="1"/>
    <n v="77.63"/>
    <n v="81.511500000000012"/>
    <n v="9"/>
    <s v="Ewallet"/>
    <x v="6"/>
    <n v="3.8815000000000168"/>
  </r>
  <r>
    <s v="C"/>
    <x v="1"/>
    <x v="1"/>
    <x v="0"/>
    <x v="12"/>
    <x v="0"/>
    <n v="13.85"/>
    <n v="14.542499999999999"/>
    <n v="9"/>
    <s v="Ewallet"/>
    <x v="19"/>
    <n v="0.69249999999999901"/>
  </r>
  <r>
    <s v="A"/>
    <x v="0"/>
    <x v="1"/>
    <x v="0"/>
    <x v="20"/>
    <x v="0"/>
    <n v="35.68"/>
    <n v="37.463999999999999"/>
    <n v="5"/>
    <s v="Credit card"/>
    <x v="29"/>
    <n v="1.7839999999999989"/>
  </r>
  <r>
    <s v="A"/>
    <x v="0"/>
    <x v="0"/>
    <x v="1"/>
    <x v="1"/>
    <x v="1"/>
    <n v="11.94"/>
    <n v="12.536999999999999"/>
    <n v="3"/>
    <s v="Credit card"/>
    <x v="27"/>
    <n v="0.59699999999999953"/>
  </r>
  <r>
    <s v="C"/>
    <x v="1"/>
    <x v="0"/>
    <x v="0"/>
    <x v="26"/>
    <x v="2"/>
    <n v="90.63"/>
    <n v="95.16149999999999"/>
    <n v="9"/>
    <s v="Cash"/>
    <x v="17"/>
    <n v="4.5314999999999941"/>
  </r>
  <r>
    <s v="C"/>
    <x v="1"/>
    <x v="0"/>
    <x v="0"/>
    <x v="27"/>
    <x v="4"/>
    <n v="36.770000000000003"/>
    <n v="38.608499999999999"/>
    <n v="7"/>
    <s v="Cash"/>
    <x v="20"/>
    <n v="1.8384999999999962"/>
  </r>
  <r>
    <s v="B"/>
    <x v="2"/>
    <x v="0"/>
    <x v="1"/>
    <x v="27"/>
    <x v="4"/>
    <n v="23.34"/>
    <n v="24.507000000000001"/>
    <n v="4"/>
    <s v="Ewallet"/>
    <x v="20"/>
    <n v="1.1670000000000016"/>
  </r>
  <r>
    <s v="C"/>
    <x v="1"/>
    <x v="0"/>
    <x v="0"/>
    <x v="12"/>
    <x v="0"/>
    <n v="28.5"/>
    <n v="29.925000000000001"/>
    <n v="8"/>
    <s v="Cash"/>
    <x v="29"/>
    <n v="1.4250000000000007"/>
  </r>
  <r>
    <s v="B"/>
    <x v="2"/>
    <x v="1"/>
    <x v="1"/>
    <x v="26"/>
    <x v="2"/>
    <n v="69.739999999999995"/>
    <n v="73.227000000000004"/>
    <n v="10"/>
    <s v="Credit card"/>
    <x v="60"/>
    <n v="3.487000000000009"/>
  </r>
  <r>
    <s v="A"/>
    <x v="0"/>
    <x v="1"/>
    <x v="1"/>
    <x v="20"/>
    <x v="0"/>
    <n v="56"/>
    <n v="58.800000000000004"/>
    <n v="3"/>
    <s v="Ewallet"/>
    <x v="16"/>
    <n v="2.8000000000000043"/>
  </r>
  <r>
    <s v="B"/>
    <x v="2"/>
    <x v="1"/>
    <x v="1"/>
    <x v="25"/>
    <x v="1"/>
    <n v="75.88"/>
    <n v="79.673999999999992"/>
    <n v="7"/>
    <s v="Ewallet"/>
    <x v="60"/>
    <n v="3.7939999999999969"/>
  </r>
  <r>
    <s v="B"/>
    <x v="2"/>
    <x v="0"/>
    <x v="1"/>
    <x v="27"/>
    <x v="4"/>
    <n v="53.72"/>
    <n v="56.405999999999999"/>
    <n v="1"/>
    <s v="Ewallet"/>
    <x v="33"/>
    <n v="2.6859999999999999"/>
  </r>
  <r>
    <s v="C"/>
    <x v="1"/>
    <x v="0"/>
    <x v="1"/>
    <x v="12"/>
    <x v="0"/>
    <n v="81.95"/>
    <n v="86.047499999999999"/>
    <n v="10"/>
    <s v="Credit card"/>
    <x v="19"/>
    <n v="4.0974999999999966"/>
  </r>
  <r>
    <s v="C"/>
    <x v="1"/>
    <x v="1"/>
    <x v="1"/>
    <x v="25"/>
    <x v="1"/>
    <n v="58.76"/>
    <n v="61.698"/>
    <n v="10"/>
    <s v="Ewallet"/>
    <x v="49"/>
    <n v="2.9380000000000024"/>
  </r>
  <r>
    <s v="B"/>
    <x v="2"/>
    <x v="0"/>
    <x v="1"/>
    <x v="5"/>
    <x v="1"/>
    <n v="91.56"/>
    <n v="96.138000000000005"/>
    <n v="8"/>
    <s v="Ewallet"/>
    <x v="19"/>
    <n v="4.578000000000003"/>
  </r>
  <r>
    <s v="C"/>
    <x v="1"/>
    <x v="1"/>
    <x v="1"/>
    <x v="24"/>
    <x v="4"/>
    <n v="84.83"/>
    <n v="89.0715"/>
    <n v="1"/>
    <s v="Ewallet"/>
    <x v="50"/>
    <n v="4.241500000000002"/>
  </r>
  <r>
    <s v="A"/>
    <x v="0"/>
    <x v="0"/>
    <x v="0"/>
    <x v="26"/>
    <x v="2"/>
    <n v="71.63"/>
    <n v="75.211500000000001"/>
    <n v="2"/>
    <s v="Ewallet"/>
    <x v="50"/>
    <n v="3.5815000000000055"/>
  </r>
  <r>
    <s v="C"/>
    <x v="1"/>
    <x v="0"/>
    <x v="0"/>
    <x v="26"/>
    <x v="2"/>
    <n v="31.67"/>
    <n v="33.253500000000003"/>
    <n v="8"/>
    <s v="Credit card"/>
    <x v="25"/>
    <n v="1.5835000000000008"/>
  </r>
  <r>
    <s v="C"/>
    <x v="1"/>
    <x v="0"/>
    <x v="0"/>
    <x v="24"/>
    <x v="4"/>
    <n v="38.42"/>
    <n v="40.341000000000001"/>
    <n v="1"/>
    <s v="Cash"/>
    <x v="15"/>
    <n v="1.9209999999999994"/>
  </r>
  <r>
    <s v="C"/>
    <x v="1"/>
    <x v="0"/>
    <x v="1"/>
    <x v="20"/>
    <x v="0"/>
    <n v="81.23"/>
    <n v="85.291499999999999"/>
    <n v="7"/>
    <s v="Cash"/>
    <x v="49"/>
    <n v="4.0614999999999952"/>
  </r>
  <r>
    <s v="A"/>
    <x v="0"/>
    <x v="1"/>
    <x v="0"/>
    <x v="24"/>
    <x v="4"/>
    <n v="27.28"/>
    <n v="28.643999999999998"/>
    <n v="5"/>
    <s v="Credit card"/>
    <x v="15"/>
    <n v="1.3639999999999972"/>
  </r>
  <r>
    <s v="A"/>
    <x v="0"/>
    <x v="0"/>
    <x v="0"/>
    <x v="25"/>
    <x v="1"/>
    <n v="17.420000000000002"/>
    <n v="18.291"/>
    <n v="10"/>
    <s v="Ewallet"/>
    <x v="22"/>
    <n v="0.87099999999999866"/>
  </r>
  <r>
    <s v="B"/>
    <x v="2"/>
    <x v="0"/>
    <x v="0"/>
    <x v="25"/>
    <x v="1"/>
    <n v="35.74"/>
    <n v="37.527000000000001"/>
    <n v="8"/>
    <s v="Ewallet"/>
    <x v="42"/>
    <n v="1.786999999999999"/>
  </r>
  <r>
    <s v="A"/>
    <x v="0"/>
    <x v="0"/>
    <x v="1"/>
    <x v="24"/>
    <x v="4"/>
    <n v="18.850000000000001"/>
    <n v="19.7925"/>
    <n v="10"/>
    <s v="Ewallet"/>
    <x v="25"/>
    <n v="0.94249999999999901"/>
  </r>
  <r>
    <s v="A"/>
    <x v="0"/>
    <x v="1"/>
    <x v="0"/>
    <x v="24"/>
    <x v="4"/>
    <n v="55.39"/>
    <n v="58.159500000000001"/>
    <n v="4"/>
    <s v="Ewallet"/>
    <x v="43"/>
    <n v="2.7695000000000007"/>
  </r>
  <r>
    <s v="B"/>
    <x v="2"/>
    <x v="0"/>
    <x v="0"/>
    <x v="24"/>
    <x v="4"/>
    <n v="77.2"/>
    <n v="81.06"/>
    <n v="10"/>
    <s v="Credit card"/>
    <x v="25"/>
    <n v="3.8599999999999994"/>
  </r>
  <r>
    <s v="B"/>
    <x v="2"/>
    <x v="1"/>
    <x v="1"/>
    <x v="25"/>
    <x v="1"/>
    <n v="72.13"/>
    <n v="75.736500000000007"/>
    <n v="10"/>
    <s v="Credit card"/>
    <x v="44"/>
    <n v="3.6065000000000111"/>
  </r>
  <r>
    <s v="A"/>
    <x v="0"/>
    <x v="0"/>
    <x v="0"/>
    <x v="10"/>
    <x v="0"/>
    <n v="10.69"/>
    <n v="11.224500000000001"/>
    <n v="5"/>
    <s v="Ewallet"/>
    <x v="24"/>
    <n v="0.53450000000000131"/>
  </r>
  <r>
    <s v="A"/>
    <x v="0"/>
    <x v="0"/>
    <x v="1"/>
    <x v="10"/>
    <x v="0"/>
    <n v="55.5"/>
    <n v="58.274999999999999"/>
    <n v="4"/>
    <s v="Credit card"/>
    <x v="29"/>
    <n v="2.7749999999999986"/>
  </r>
  <r>
    <s v="B"/>
    <x v="2"/>
    <x v="1"/>
    <x v="1"/>
    <x v="26"/>
    <x v="2"/>
    <n v="13.69"/>
    <n v="14.374499999999999"/>
    <n v="6"/>
    <s v="Cash"/>
    <x v="52"/>
    <n v="0.68449999999999989"/>
  </r>
  <r>
    <s v="B"/>
    <x v="2"/>
    <x v="1"/>
    <x v="0"/>
    <x v="25"/>
    <x v="1"/>
    <n v="95.64"/>
    <n v="100.422"/>
    <n v="4"/>
    <s v="Cash"/>
    <x v="56"/>
    <n v="4.7819999999999965"/>
  </r>
  <r>
    <s v="B"/>
    <x v="2"/>
    <x v="0"/>
    <x v="0"/>
    <x v="23"/>
    <x v="2"/>
    <n v="95.54"/>
    <n v="100.31699999999999"/>
    <n v="4"/>
    <s v="Ewallet"/>
    <x v="12"/>
    <n v="4.7769999999999868"/>
  </r>
  <r>
    <s v="C"/>
    <x v="1"/>
    <x v="0"/>
    <x v="0"/>
    <x v="10"/>
    <x v="0"/>
    <n v="85.87"/>
    <n v="90.163499999999999"/>
    <n v="7"/>
    <s v="Credit card"/>
    <x v="43"/>
    <n v="4.2934999999999945"/>
  </r>
  <r>
    <s v="C"/>
    <x v="1"/>
    <x v="0"/>
    <x v="0"/>
    <x v="23"/>
    <x v="2"/>
    <n v="67.989999999999995"/>
    <n v="71.389499999999998"/>
    <n v="7"/>
    <s v="Ewallet"/>
    <x v="11"/>
    <n v="3.3995000000000033"/>
  </r>
  <r>
    <s v="C"/>
    <x v="1"/>
    <x v="1"/>
    <x v="0"/>
    <x v="24"/>
    <x v="4"/>
    <n v="52.42"/>
    <n v="55.040999999999997"/>
    <n v="1"/>
    <s v="Credit card"/>
    <x v="52"/>
    <n v="2.6209999999999951"/>
  </r>
  <r>
    <s v="C"/>
    <x v="1"/>
    <x v="0"/>
    <x v="1"/>
    <x v="24"/>
    <x v="4"/>
    <n v="65.650000000000006"/>
    <n v="68.932500000000005"/>
    <n v="2"/>
    <s v="Cash"/>
    <x v="19"/>
    <n v="3.2824999999999989"/>
  </r>
  <r>
    <s v="B"/>
    <x v="2"/>
    <x v="1"/>
    <x v="0"/>
    <x v="24"/>
    <x v="4"/>
    <n v="28.86"/>
    <n v="30.302999999999997"/>
    <n v="5"/>
    <s v="Credit card"/>
    <x v="43"/>
    <n v="1.4429999999999978"/>
  </r>
  <r>
    <s v="C"/>
    <x v="1"/>
    <x v="0"/>
    <x v="1"/>
    <x v="10"/>
    <x v="0"/>
    <n v="65.31"/>
    <n v="68.575500000000005"/>
    <n v="7"/>
    <s v="Credit card"/>
    <x v="44"/>
    <n v="3.265500000000003"/>
  </r>
  <r>
    <s v="B"/>
    <x v="2"/>
    <x v="1"/>
    <x v="1"/>
    <x v="23"/>
    <x v="2"/>
    <n v="93.38"/>
    <n v="98.049000000000007"/>
    <n v="1"/>
    <s v="Cash"/>
    <x v="1"/>
    <n v="4.6690000000000111"/>
  </r>
  <r>
    <s v="C"/>
    <x v="1"/>
    <x v="0"/>
    <x v="1"/>
    <x v="23"/>
    <x v="2"/>
    <n v="25.25"/>
    <n v="26.512499999999999"/>
    <n v="5"/>
    <s v="Cash"/>
    <x v="41"/>
    <n v="1.2624999999999993"/>
  </r>
  <r>
    <s v="B"/>
    <x v="2"/>
    <x v="0"/>
    <x v="1"/>
    <x v="5"/>
    <x v="1"/>
    <n v="87.87"/>
    <n v="92.263499999999993"/>
    <n v="9"/>
    <s v="Ewallet"/>
    <x v="25"/>
    <n v="4.3934999999999889"/>
  </r>
  <r>
    <s v="C"/>
    <x v="1"/>
    <x v="1"/>
    <x v="1"/>
    <x v="10"/>
    <x v="0"/>
    <n v="21.8"/>
    <n v="22.89"/>
    <n v="8"/>
    <s v="Cash"/>
    <x v="39"/>
    <n v="1.0899999999999999"/>
  </r>
  <r>
    <s v="A"/>
    <x v="0"/>
    <x v="1"/>
    <x v="0"/>
    <x v="23"/>
    <x v="2"/>
    <n v="94.76"/>
    <n v="99.498000000000005"/>
    <n v="4"/>
    <s v="Ewallet"/>
    <x v="46"/>
    <n v="4.7379999999999995"/>
  </r>
  <r>
    <s v="C"/>
    <x v="1"/>
    <x v="0"/>
    <x v="0"/>
    <x v="10"/>
    <x v="0"/>
    <n v="10.16"/>
    <n v="10.668000000000001"/>
    <n v="5"/>
    <s v="Ewallet"/>
    <x v="4"/>
    <n v="0.5080000000000009"/>
  </r>
  <r>
    <s v="A"/>
    <x v="0"/>
    <x v="1"/>
    <x v="1"/>
    <x v="25"/>
    <x v="1"/>
    <n v="74.58"/>
    <n v="78.308999999999997"/>
    <n v="7"/>
    <s v="Credit card"/>
    <x v="49"/>
    <n v="3.7289999999999992"/>
  </r>
  <r>
    <s v="C"/>
    <x v="1"/>
    <x v="1"/>
    <x v="1"/>
    <x v="25"/>
    <x v="1"/>
    <n v="71.89"/>
    <n v="75.484499999999997"/>
    <n v="8"/>
    <s v="Ewallet"/>
    <x v="38"/>
    <n v="3.5944999999999965"/>
  </r>
  <r>
    <s v="C"/>
    <x v="1"/>
    <x v="1"/>
    <x v="0"/>
    <x v="20"/>
    <x v="0"/>
    <n v="10.99"/>
    <n v="11.5395"/>
    <n v="5"/>
    <s v="Credit card"/>
    <x v="30"/>
    <n v="0.5495000000000001"/>
  </r>
  <r>
    <s v="C"/>
    <x v="1"/>
    <x v="0"/>
    <x v="1"/>
    <x v="12"/>
    <x v="0"/>
    <n v="60.47"/>
    <n v="63.493500000000004"/>
    <n v="3"/>
    <s v="Credit card"/>
    <x v="25"/>
    <n v="3.0235000000000056"/>
  </r>
  <r>
    <s v="A"/>
    <x v="0"/>
    <x v="1"/>
    <x v="1"/>
    <x v="23"/>
    <x v="2"/>
    <n v="58.91"/>
    <n v="61.855499999999999"/>
    <n v="7"/>
    <s v="Ewallet"/>
    <x v="57"/>
    <n v="2.9455000000000027"/>
  </r>
  <r>
    <s v="C"/>
    <x v="1"/>
    <x v="0"/>
    <x v="1"/>
    <x v="20"/>
    <x v="0"/>
    <n v="68.55"/>
    <n v="71.977500000000006"/>
    <n v="4"/>
    <s v="Credit card"/>
    <x v="45"/>
    <n v="3.4275000000000091"/>
  </r>
  <r>
    <s v="A"/>
    <x v="0"/>
    <x v="0"/>
    <x v="1"/>
    <x v="25"/>
    <x v="1"/>
    <n v="92.6"/>
    <n v="97.23"/>
    <n v="7"/>
    <s v="Credit card"/>
    <x v="30"/>
    <n v="4.6300000000000097"/>
  </r>
  <r>
    <s v="A"/>
    <x v="0"/>
    <x v="1"/>
    <x v="0"/>
    <x v="25"/>
    <x v="1"/>
    <n v="46.61"/>
    <n v="48.9405"/>
    <n v="2"/>
    <s v="Credit card"/>
    <x v="29"/>
    <n v="2.3305000000000007"/>
  </r>
  <r>
    <s v="A"/>
    <x v="0"/>
    <x v="0"/>
    <x v="0"/>
    <x v="23"/>
    <x v="2"/>
    <n v="24.49"/>
    <n v="25.714499999999997"/>
    <n v="10"/>
    <s v="Cash"/>
    <x v="27"/>
    <n v="1.224499999999999"/>
  </r>
  <r>
    <s v="B"/>
    <x v="2"/>
    <x v="1"/>
    <x v="1"/>
    <x v="12"/>
    <x v="0"/>
    <n v="92.78"/>
    <n v="97.418999999999997"/>
    <n v="1"/>
    <s v="Credit card"/>
    <x v="53"/>
    <n v="4.6389999999999958"/>
  </r>
  <r>
    <s v="B"/>
    <x v="2"/>
    <x v="1"/>
    <x v="1"/>
    <x v="23"/>
    <x v="2"/>
    <n v="23.01"/>
    <n v="24.160499999999999"/>
    <n v="6"/>
    <s v="Ewallet"/>
    <x v="56"/>
    <n v="1.1504999999999974"/>
  </r>
  <r>
    <s v="C"/>
    <x v="1"/>
    <x v="0"/>
    <x v="0"/>
    <x v="25"/>
    <x v="1"/>
    <n v="30.2"/>
    <n v="31.71"/>
    <n v="8"/>
    <s v="Ewallet"/>
    <x v="17"/>
    <n v="1.5100000000000016"/>
  </r>
  <r>
    <s v="B"/>
    <x v="2"/>
    <x v="0"/>
    <x v="0"/>
    <x v="5"/>
    <x v="1"/>
    <n v="75.59"/>
    <n v="79.369500000000002"/>
    <n v="9"/>
    <s v="Cash"/>
    <x v="43"/>
    <n v="3.7794999999999987"/>
  </r>
  <r>
    <s v="A"/>
    <x v="0"/>
    <x v="1"/>
    <x v="0"/>
    <x v="23"/>
    <x v="2"/>
    <n v="93.18"/>
    <n v="97.838999999999999"/>
    <n v="2"/>
    <s v="Credit card"/>
    <x v="28"/>
    <n v="4.6589999999999918"/>
  </r>
  <r>
    <s v="A"/>
    <x v="0"/>
    <x v="1"/>
    <x v="0"/>
    <x v="1"/>
    <x v="1"/>
    <n v="50.23"/>
    <n v="52.741500000000002"/>
    <n v="4"/>
    <s v="Cash"/>
    <x v="49"/>
    <n v="2.5115000000000052"/>
  </r>
  <r>
    <s v="B"/>
    <x v="2"/>
    <x v="1"/>
    <x v="0"/>
    <x v="2"/>
    <x v="0"/>
    <n v="17.75"/>
    <n v="18.637499999999999"/>
    <n v="1"/>
    <s v="Cash"/>
    <x v="15"/>
    <n v="0.88749999999999929"/>
  </r>
  <r>
    <s v="B"/>
    <x v="2"/>
    <x v="1"/>
    <x v="1"/>
    <x v="20"/>
    <x v="0"/>
    <n v="10.75"/>
    <n v="11.2875"/>
    <n v="8"/>
    <s v="Ewallet"/>
    <x v="58"/>
    <n v="0.53749999999999964"/>
  </r>
  <r>
    <s v="A"/>
    <x v="0"/>
    <x v="1"/>
    <x v="0"/>
    <x v="1"/>
    <x v="1"/>
    <n v="40.26"/>
    <n v="42.273000000000003"/>
    <n v="10"/>
    <s v="Credit card"/>
    <x v="59"/>
    <n v="2.0130000000000052"/>
  </r>
  <r>
    <s v="C"/>
    <x v="1"/>
    <x v="0"/>
    <x v="0"/>
    <x v="23"/>
    <x v="2"/>
    <n v="64.97"/>
    <n v="68.218499999999992"/>
    <n v="5"/>
    <s v="Credit card"/>
    <x v="48"/>
    <n v="3.2484999999999928"/>
  </r>
  <r>
    <s v="A"/>
    <x v="0"/>
    <x v="1"/>
    <x v="1"/>
    <x v="1"/>
    <x v="1"/>
    <n v="95.15"/>
    <n v="99.907499999999999"/>
    <n v="1"/>
    <s v="Cash"/>
    <x v="19"/>
    <n v="4.7574999999999932"/>
  </r>
  <r>
    <s v="A"/>
    <x v="0"/>
    <x v="0"/>
    <x v="0"/>
    <x v="1"/>
    <x v="1"/>
    <n v="48.62"/>
    <n v="51.051000000000002"/>
    <n v="8"/>
    <s v="Cash"/>
    <x v="59"/>
    <n v="2.4310000000000045"/>
  </r>
  <r>
    <s v="B"/>
    <x v="2"/>
    <x v="1"/>
    <x v="0"/>
    <x v="24"/>
    <x v="4"/>
    <n v="53.21"/>
    <n v="55.8705"/>
    <n v="8"/>
    <s v="Ewallet"/>
    <x v="59"/>
    <n v="2.660499999999999"/>
  </r>
  <r>
    <s v="A"/>
    <x v="0"/>
    <x v="1"/>
    <x v="1"/>
    <x v="24"/>
    <x v="4"/>
    <n v="33.880000000000003"/>
    <n v="35.573999999999998"/>
    <n v="8"/>
    <s v="Ewallet"/>
    <x v="1"/>
    <n v="1.6939999999999955"/>
  </r>
  <r>
    <s v="B"/>
    <x v="2"/>
    <x v="0"/>
    <x v="1"/>
    <x v="20"/>
    <x v="0"/>
    <n v="96.16"/>
    <n v="100.968"/>
    <n v="4"/>
    <s v="Credit card"/>
    <x v="2"/>
    <n v="4.8080000000000069"/>
  </r>
  <r>
    <s v="B"/>
    <x v="2"/>
    <x v="0"/>
    <x v="1"/>
    <x v="24"/>
    <x v="4"/>
    <n v="47.16"/>
    <n v="49.518000000000001"/>
    <n v="5"/>
    <s v="Credit card"/>
    <x v="19"/>
    <n v="2.3580000000000041"/>
  </r>
  <r>
    <s v="B"/>
    <x v="2"/>
    <x v="1"/>
    <x v="1"/>
    <x v="1"/>
    <x v="1"/>
    <n v="52.89"/>
    <n v="55.534500000000001"/>
    <n v="4"/>
    <s v="Ewallet"/>
    <x v="32"/>
    <n v="2.6445000000000007"/>
  </r>
  <r>
    <s v="C"/>
    <x v="1"/>
    <x v="0"/>
    <x v="1"/>
    <x v="23"/>
    <x v="2"/>
    <n v="10.17"/>
    <n v="10.6785"/>
    <n v="1"/>
    <s v="Cash"/>
    <x v="7"/>
    <n v="0.50849999999999973"/>
  </r>
  <r>
    <s v="A"/>
    <x v="0"/>
    <x v="1"/>
    <x v="0"/>
    <x v="12"/>
    <x v="0"/>
    <n v="68.709999999999994"/>
    <n v="72.145499999999998"/>
    <n v="3"/>
    <s v="Cash"/>
    <x v="36"/>
    <n v="3.4355000000000047"/>
  </r>
  <r>
    <s v="B"/>
    <x v="2"/>
    <x v="0"/>
    <x v="0"/>
    <x v="23"/>
    <x v="2"/>
    <n v="60.08"/>
    <n v="63.084000000000003"/>
    <n v="7"/>
    <s v="Credit card"/>
    <x v="12"/>
    <n v="3.0040000000000049"/>
  </r>
  <r>
    <s v="A"/>
    <x v="0"/>
    <x v="0"/>
    <x v="0"/>
    <x v="23"/>
    <x v="2"/>
    <n v="22.01"/>
    <n v="23.110499999999998"/>
    <n v="4"/>
    <s v="Credit card"/>
    <x v="29"/>
    <n v="1.1004999999999967"/>
  </r>
  <r>
    <s v="B"/>
    <x v="2"/>
    <x v="0"/>
    <x v="0"/>
    <x v="2"/>
    <x v="0"/>
    <n v="72.11"/>
    <n v="75.715499999999992"/>
    <n v="9"/>
    <s v="Credit card"/>
    <x v="55"/>
    <n v="3.6054999999999922"/>
  </r>
  <r>
    <s v="C"/>
    <x v="1"/>
    <x v="1"/>
    <x v="1"/>
    <x v="5"/>
    <x v="1"/>
    <n v="64.95"/>
    <n v="68.197500000000005"/>
    <n v="10"/>
    <s v="Cash"/>
    <x v="47"/>
    <n v="3.2475000000000023"/>
  </r>
  <r>
    <s v="A"/>
    <x v="0"/>
    <x v="0"/>
    <x v="0"/>
    <x v="1"/>
    <x v="1"/>
    <n v="74.22"/>
    <n v="77.930999999999997"/>
    <n v="10"/>
    <s v="Credit card"/>
    <x v="34"/>
    <n v="3.7109999999999985"/>
  </r>
  <r>
    <s v="A"/>
    <x v="0"/>
    <x v="1"/>
    <x v="1"/>
    <x v="1"/>
    <x v="1"/>
    <n v="10.56"/>
    <n v="11.087999999999999"/>
    <n v="8"/>
    <s v="Cash"/>
    <x v="24"/>
    <n v="0.52799999999999869"/>
  </r>
  <r>
    <s v="B"/>
    <x v="2"/>
    <x v="1"/>
    <x v="1"/>
    <x v="20"/>
    <x v="0"/>
    <n v="62.57"/>
    <n v="65.698499999999996"/>
    <n v="4"/>
    <s v="Cash"/>
    <x v="26"/>
    <n v="3.1284999999999954"/>
  </r>
  <r>
    <s v="B"/>
    <x v="2"/>
    <x v="0"/>
    <x v="0"/>
    <x v="23"/>
    <x v="2"/>
    <n v="11.85"/>
    <n v="12.442500000000001"/>
    <n v="8"/>
    <s v="Cash"/>
    <x v="4"/>
    <n v="0.59250000000000114"/>
  </r>
  <r>
    <s v="A"/>
    <x v="0"/>
    <x v="0"/>
    <x v="1"/>
    <x v="12"/>
    <x v="0"/>
    <n v="91.3"/>
    <n v="95.864999999999995"/>
    <n v="1"/>
    <s v="Ewallet"/>
    <x v="45"/>
    <n v="4.5649999999999977"/>
  </r>
  <r>
    <s v="B"/>
    <x v="2"/>
    <x v="1"/>
    <x v="1"/>
    <x v="23"/>
    <x v="2"/>
    <n v="44.63"/>
    <n v="46.861499999999999"/>
    <n v="6"/>
    <s v="Credit card"/>
    <x v="17"/>
    <n v="2.2314999999999969"/>
  </r>
  <r>
    <s v="C"/>
    <x v="1"/>
    <x v="1"/>
    <x v="1"/>
    <x v="1"/>
    <x v="1"/>
    <n v="55.87"/>
    <n v="58.663499999999999"/>
    <n v="10"/>
    <s v="Cash"/>
    <x v="5"/>
    <n v="2.7935000000000016"/>
  </r>
  <r>
    <s v="C"/>
    <x v="1"/>
    <x v="0"/>
    <x v="0"/>
    <x v="23"/>
    <x v="2"/>
    <n v="29.22"/>
    <n v="30.681000000000001"/>
    <n v="6"/>
    <s v="Ewallet"/>
    <x v="59"/>
    <n v="1.4610000000000021"/>
  </r>
  <r>
    <s v="B"/>
    <x v="2"/>
    <x v="1"/>
    <x v="1"/>
    <x v="1"/>
    <x v="1"/>
    <n v="60.3"/>
    <n v="63.314999999999998"/>
    <n v="1"/>
    <s v="Cash"/>
    <x v="19"/>
    <n v="3.0150000000000006"/>
  </r>
  <r>
    <s v="A"/>
    <x v="0"/>
    <x v="0"/>
    <x v="0"/>
    <x v="23"/>
    <x v="2"/>
    <n v="39.47"/>
    <n v="41.4435"/>
    <n v="2"/>
    <s v="Credit card"/>
    <x v="59"/>
    <n v="1.9735000000000014"/>
  </r>
  <r>
    <s v="C"/>
    <x v="1"/>
    <x v="0"/>
    <x v="0"/>
    <x v="24"/>
    <x v="4"/>
    <n v="14.87"/>
    <n v="15.6135"/>
    <n v="2"/>
    <s v="Credit card"/>
    <x v="60"/>
    <n v="0.74350000000000094"/>
  </r>
  <r>
    <s v="A"/>
    <x v="0"/>
    <x v="0"/>
    <x v="1"/>
    <x v="1"/>
    <x v="1"/>
    <n v="93.78"/>
    <n v="98.468999999999994"/>
    <n v="3"/>
    <s v="Credit card"/>
    <x v="7"/>
    <n v="4.688999999999993"/>
  </r>
  <r>
    <s v="A"/>
    <x v="0"/>
    <x v="0"/>
    <x v="1"/>
    <x v="5"/>
    <x v="1"/>
    <n v="73.260000000000005"/>
    <n v="76.923000000000002"/>
    <n v="1"/>
    <s v="Ewallet"/>
    <x v="57"/>
    <n v="3.6629999999999967"/>
  </r>
  <r>
    <s v="C"/>
    <x v="1"/>
    <x v="1"/>
    <x v="0"/>
    <x v="23"/>
    <x v="2"/>
    <n v="22.38"/>
    <n v="23.498999999999999"/>
    <n v="1"/>
    <s v="Credit card"/>
    <x v="15"/>
    <n v="1.1189999999999998"/>
  </r>
  <r>
    <s v="C"/>
    <x v="1"/>
    <x v="0"/>
    <x v="0"/>
    <x v="27"/>
    <x v="4"/>
    <n v="72.88"/>
    <n v="76.524000000000001"/>
    <n v="9"/>
    <s v="Cash"/>
    <x v="35"/>
    <n v="3.6440000000000055"/>
  </r>
  <r>
    <s v="C"/>
    <x v="1"/>
    <x v="1"/>
    <x v="1"/>
    <x v="20"/>
    <x v="0"/>
    <n v="53.19"/>
    <n v="55.849499999999999"/>
    <n v="7"/>
    <s v="Ewallet"/>
    <x v="59"/>
    <n v="2.6595000000000013"/>
  </r>
  <r>
    <s v="B"/>
    <x v="2"/>
    <x v="1"/>
    <x v="0"/>
    <x v="1"/>
    <x v="1"/>
    <n v="52.79"/>
    <n v="55.429499999999997"/>
    <n v="10"/>
    <s v="Ewallet"/>
    <x v="31"/>
    <n v="2.6394999999999982"/>
  </r>
  <r>
    <s v="A"/>
    <x v="0"/>
    <x v="0"/>
    <x v="0"/>
    <x v="2"/>
    <x v="0"/>
    <n v="95.95"/>
    <n v="100.7475"/>
    <n v="5"/>
    <s v="Ewallet"/>
    <x v="50"/>
    <n v="4.7974999999999994"/>
  </r>
  <r>
    <s v="B"/>
    <x v="2"/>
    <x v="1"/>
    <x v="1"/>
    <x v="27"/>
    <x v="4"/>
    <n v="21.12"/>
    <n v="22.175999999999998"/>
    <n v="8"/>
    <s v="Cash"/>
    <x v="52"/>
    <n v="1.0559999999999974"/>
  </r>
  <r>
    <s v="B"/>
    <x v="2"/>
    <x v="1"/>
    <x v="1"/>
    <x v="2"/>
    <x v="0"/>
    <n v="57.59"/>
    <n v="60.469500000000004"/>
    <n v="6"/>
    <s v="Cash"/>
    <x v="17"/>
    <n v="2.8795000000000002"/>
  </r>
  <r>
    <s v="A"/>
    <x v="0"/>
    <x v="0"/>
    <x v="0"/>
    <x v="27"/>
    <x v="4"/>
    <n v="47.63"/>
    <n v="50.011499999999998"/>
    <n v="9"/>
    <s v="Cash"/>
    <x v="59"/>
    <n v="2.3814999999999955"/>
  </r>
  <r>
    <s v="A"/>
    <x v="0"/>
    <x v="0"/>
    <x v="1"/>
    <x v="23"/>
    <x v="2"/>
    <n v="12.76"/>
    <n v="13.398"/>
    <n v="2"/>
    <s v="Ewallet"/>
    <x v="46"/>
    <n v="0.6379999999999999"/>
  </r>
  <r>
    <s v="A"/>
    <x v="0"/>
    <x v="0"/>
    <x v="0"/>
    <x v="1"/>
    <x v="1"/>
    <n v="79.59"/>
    <n v="83.569499999999991"/>
    <n v="3"/>
    <s v="Cash"/>
    <x v="29"/>
    <n v="3.9794999999999874"/>
  </r>
  <r>
    <s v="C"/>
    <x v="1"/>
    <x v="0"/>
    <x v="1"/>
    <x v="20"/>
    <x v="0"/>
    <n v="33.81"/>
    <n v="35.500499999999995"/>
    <n v="3"/>
    <s v="Ewallet"/>
    <x v="40"/>
    <n v="1.690499999999993"/>
  </r>
  <r>
    <s v="B"/>
    <x v="2"/>
    <x v="0"/>
    <x v="1"/>
    <x v="23"/>
    <x v="2"/>
    <n v="90.53"/>
    <n v="95.0565"/>
    <n v="8"/>
    <s v="Credit card"/>
    <x v="48"/>
    <n v="4.5264999999999986"/>
  </r>
  <r>
    <s v="C"/>
    <x v="1"/>
    <x v="0"/>
    <x v="0"/>
    <x v="12"/>
    <x v="0"/>
    <n v="62.82"/>
    <n v="65.960999999999999"/>
    <n v="2"/>
    <s v="Ewallet"/>
    <x v="42"/>
    <n v="3.1409999999999982"/>
  </r>
  <r>
    <s v="C"/>
    <x v="1"/>
    <x v="0"/>
    <x v="1"/>
    <x v="27"/>
    <x v="4"/>
    <n v="24.31"/>
    <n v="25.525499999999997"/>
    <n v="3"/>
    <s v="Credit card"/>
    <x v="34"/>
    <n v="1.2154999999999987"/>
  </r>
  <r>
    <s v="A"/>
    <x v="0"/>
    <x v="1"/>
    <x v="1"/>
    <x v="23"/>
    <x v="2"/>
    <n v="64.59"/>
    <n v="67.819500000000005"/>
    <n v="4"/>
    <s v="Ewallet"/>
    <x v="30"/>
    <n v="3.2295000000000016"/>
  </r>
  <r>
    <s v="A"/>
    <x v="0"/>
    <x v="0"/>
    <x v="1"/>
    <x v="27"/>
    <x v="4"/>
    <n v="24.82"/>
    <n v="26.061"/>
    <n v="7"/>
    <s v="Credit card"/>
    <x v="9"/>
    <n v="1.2409999999999997"/>
  </r>
  <r>
    <s v="B"/>
    <x v="2"/>
    <x v="0"/>
    <x v="0"/>
    <x v="25"/>
    <x v="1"/>
    <n v="21.43"/>
    <n v="22.5015"/>
    <n v="10"/>
    <s v="Cash"/>
    <x v="58"/>
    <n v="1.0715000000000003"/>
  </r>
  <r>
    <s v="A"/>
    <x v="0"/>
    <x v="0"/>
    <x v="1"/>
    <x v="23"/>
    <x v="2"/>
    <n v="89.06"/>
    <n v="93.512999999999991"/>
    <n v="6"/>
    <s v="Cash"/>
    <x v="18"/>
    <n v="4.4529999999999887"/>
  </r>
  <r>
    <s v="B"/>
    <x v="2"/>
    <x v="0"/>
    <x v="1"/>
    <x v="1"/>
    <x v="1"/>
    <n v="39.75"/>
    <n v="41.737499999999997"/>
    <n v="1"/>
    <s v="Cash"/>
    <x v="41"/>
    <n v="1.9874999999999972"/>
  </r>
  <r>
    <s v="A"/>
    <x v="0"/>
    <x v="1"/>
    <x v="0"/>
    <x v="5"/>
    <x v="1"/>
    <n v="90.02"/>
    <n v="94.521000000000001"/>
    <n v="8"/>
    <s v="Credit card"/>
    <x v="12"/>
    <n v="4.5010000000000048"/>
  </r>
  <r>
    <s v="B"/>
    <x v="2"/>
    <x v="0"/>
    <x v="0"/>
    <x v="1"/>
    <x v="1"/>
    <n v="12.1"/>
    <n v="12.705"/>
    <n v="8"/>
    <s v="Ewallet"/>
    <x v="15"/>
    <n v="0.60500000000000043"/>
  </r>
  <r>
    <s v="B"/>
    <x v="2"/>
    <x v="0"/>
    <x v="0"/>
    <x v="27"/>
    <x v="4"/>
    <n v="33.21"/>
    <n v="34.8705"/>
    <n v="10"/>
    <s v="Ewallet"/>
    <x v="19"/>
    <n v="1.660499999999999"/>
  </r>
  <r>
    <s v="B"/>
    <x v="2"/>
    <x v="0"/>
    <x v="1"/>
    <x v="11"/>
    <x v="2"/>
    <n v="31.99"/>
    <n v="33.589500000000001"/>
    <n v="10"/>
    <s v="Credit card"/>
    <x v="18"/>
    <n v="1.5995000000000026"/>
  </r>
  <r>
    <s v="A"/>
    <x v="0"/>
    <x v="0"/>
    <x v="0"/>
    <x v="27"/>
    <x v="4"/>
    <n v="83.34"/>
    <n v="87.507000000000005"/>
    <n v="2"/>
    <s v="Cash"/>
    <x v="24"/>
    <n v="4.1670000000000016"/>
  </r>
  <r>
    <s v="A"/>
    <x v="0"/>
    <x v="1"/>
    <x v="1"/>
    <x v="11"/>
    <x v="2"/>
    <n v="45.58"/>
    <n v="47.858999999999995"/>
    <n v="7"/>
    <s v="Cash"/>
    <x v="59"/>
    <n v="2.2789999999999964"/>
  </r>
  <r>
    <s v="A"/>
    <x v="0"/>
    <x v="0"/>
    <x v="1"/>
    <x v="27"/>
    <x v="4"/>
    <n v="87.9"/>
    <n v="92.295000000000002"/>
    <n v="1"/>
    <s v="Ewallet"/>
    <x v="32"/>
    <n v="4.394999999999996"/>
  </r>
  <r>
    <s v="A"/>
    <x v="0"/>
    <x v="0"/>
    <x v="0"/>
    <x v="1"/>
    <x v="1"/>
    <n v="73.47"/>
    <n v="77.143499999999989"/>
    <n v="10"/>
    <s v="Ewallet"/>
    <x v="26"/>
    <n v="3.67349999999999"/>
  </r>
  <r>
    <s v="A"/>
    <x v="0"/>
    <x v="0"/>
    <x v="1"/>
    <x v="11"/>
    <x v="2"/>
    <n v="76.92"/>
    <n v="80.765999999999991"/>
    <n v="10"/>
    <s v="Ewallet"/>
    <x v="25"/>
    <n v="3.8459999999999894"/>
  </r>
  <r>
    <s v="C"/>
    <x v="1"/>
    <x v="1"/>
    <x v="0"/>
    <x v="20"/>
    <x v="0"/>
    <n v="83.66"/>
    <n v="87.842999999999989"/>
    <n v="5"/>
    <s v="Cash"/>
    <x v="6"/>
    <n v="4.1829999999999927"/>
  </r>
  <r>
    <s v="B"/>
    <x v="2"/>
    <x v="1"/>
    <x v="0"/>
    <x v="1"/>
    <x v="1"/>
    <n v="57.91"/>
    <n v="60.805500000000002"/>
    <n v="8"/>
    <s v="Cash"/>
    <x v="27"/>
    <n v="2.8955000000000055"/>
  </r>
  <r>
    <s v="B"/>
    <x v="2"/>
    <x v="1"/>
    <x v="1"/>
    <x v="25"/>
    <x v="1"/>
    <n v="28.38"/>
    <n v="29.798999999999999"/>
    <n v="5"/>
    <s v="Cash"/>
    <x v="51"/>
    <n v="1.4190000000000005"/>
  </r>
  <r>
    <s v="B"/>
    <x v="2"/>
    <x v="0"/>
    <x v="1"/>
    <x v="5"/>
    <x v="1"/>
    <n v="50.45"/>
    <n v="52.972499999999997"/>
    <n v="6"/>
    <s v="Credit card"/>
    <x v="60"/>
    <n v="2.5224999999999937"/>
  </r>
  <r>
    <s v="B"/>
    <x v="2"/>
    <x v="1"/>
    <x v="1"/>
    <x v="20"/>
    <x v="0"/>
    <n v="99.16"/>
    <n v="104.11799999999999"/>
    <n v="8"/>
    <s v="Credit card"/>
    <x v="44"/>
    <n v="4.9579999999999984"/>
  </r>
  <r>
    <s v="C"/>
    <x v="1"/>
    <x v="0"/>
    <x v="0"/>
    <x v="27"/>
    <x v="4"/>
    <n v="47.27"/>
    <n v="49.633499999999998"/>
    <n v="6"/>
    <s v="Cash"/>
    <x v="50"/>
    <n v="2.3634999999999948"/>
  </r>
  <r>
    <s v="C"/>
    <x v="1"/>
    <x v="0"/>
    <x v="1"/>
    <x v="20"/>
    <x v="0"/>
    <n v="85.6"/>
    <n v="89.88"/>
    <n v="7"/>
    <s v="Cash"/>
    <x v="3"/>
    <n v="4.2800000000000011"/>
  </r>
  <r>
    <s v="A"/>
    <x v="0"/>
    <x v="0"/>
    <x v="1"/>
    <x v="27"/>
    <x v="4"/>
    <n v="35.04"/>
    <n v="36.792000000000002"/>
    <n v="9"/>
    <s v="Ewallet"/>
    <x v="13"/>
    <n v="1.7520000000000024"/>
  </r>
  <r>
    <s v="C"/>
    <x v="1"/>
    <x v="0"/>
    <x v="0"/>
    <x v="1"/>
    <x v="1"/>
    <n v="44.84"/>
    <n v="47.082000000000001"/>
    <n v="9"/>
    <s v="Credit card"/>
    <x v="21"/>
    <n v="2.2419999999999973"/>
  </r>
  <r>
    <s v="A"/>
    <x v="0"/>
    <x v="0"/>
    <x v="0"/>
    <x v="12"/>
    <x v="0"/>
    <n v="27.73"/>
    <n v="29.116500000000002"/>
    <n v="5"/>
    <s v="Credit card"/>
    <x v="44"/>
    <n v="1.3865000000000016"/>
  </r>
  <r>
    <s v="A"/>
    <x v="0"/>
    <x v="1"/>
    <x v="1"/>
    <x v="27"/>
    <x v="4"/>
    <n v="11.53"/>
    <n v="12.1065"/>
    <n v="7"/>
    <s v="Cash"/>
    <x v="27"/>
    <n v="0.57650000000000112"/>
  </r>
  <r>
    <s v="C"/>
    <x v="1"/>
    <x v="1"/>
    <x v="0"/>
    <x v="10"/>
    <x v="0"/>
    <n v="58.32"/>
    <n v="61.235999999999997"/>
    <n v="2"/>
    <s v="Ewallet"/>
    <x v="19"/>
    <n v="2.9159999999999968"/>
  </r>
  <r>
    <s v="C"/>
    <x v="1"/>
    <x v="1"/>
    <x v="1"/>
    <x v="10"/>
    <x v="0"/>
    <n v="84.61"/>
    <n v="88.840499999999992"/>
    <n v="10"/>
    <s v="Credit card"/>
    <x v="50"/>
    <n v="4.2304999999999922"/>
  </r>
  <r>
    <s v="B"/>
    <x v="2"/>
    <x v="1"/>
    <x v="0"/>
    <x v="2"/>
    <x v="0"/>
    <n v="82.88"/>
    <n v="87.024000000000001"/>
    <n v="5"/>
    <s v="Credit card"/>
    <x v="29"/>
    <n v="4.1440000000000055"/>
  </r>
  <r>
    <s v="A"/>
    <x v="0"/>
    <x v="0"/>
    <x v="0"/>
    <x v="24"/>
    <x v="4"/>
    <n v="79.540000000000006"/>
    <n v="83.516999999999996"/>
    <n v="2"/>
    <s v="Ewallet"/>
    <x v="58"/>
    <n v="3.9769999999999897"/>
  </r>
  <r>
    <s v="B"/>
    <x v="2"/>
    <x v="0"/>
    <x v="0"/>
    <x v="24"/>
    <x v="4"/>
    <n v="29.15"/>
    <n v="30.607500000000002"/>
    <n v="3"/>
    <s v="Credit card"/>
    <x v="40"/>
    <n v="1.4575000000000031"/>
  </r>
  <r>
    <s v="C"/>
    <x v="1"/>
    <x v="1"/>
    <x v="0"/>
    <x v="1"/>
    <x v="1"/>
    <n v="56.13"/>
    <n v="58.936500000000002"/>
    <n v="4"/>
    <s v="Ewallet"/>
    <x v="15"/>
    <n v="2.8064999999999998"/>
  </r>
  <r>
    <s v="A"/>
    <x v="0"/>
    <x v="0"/>
    <x v="0"/>
    <x v="24"/>
    <x v="4"/>
    <n v="99.6"/>
    <n v="104.58"/>
    <n v="3"/>
    <s v="Cash"/>
    <x v="5"/>
    <n v="4.980000000000004"/>
  </r>
  <r>
    <s v="C"/>
    <x v="1"/>
    <x v="1"/>
    <x v="0"/>
    <x v="1"/>
    <x v="1"/>
    <n v="35.49"/>
    <n v="37.264499999999998"/>
    <n v="6"/>
    <s v="Cash"/>
    <x v="4"/>
    <n v="1.7744999999999962"/>
  </r>
  <r>
    <s v="C"/>
    <x v="1"/>
    <x v="0"/>
    <x v="1"/>
    <x v="11"/>
    <x v="2"/>
    <n v="42.85"/>
    <n v="44.9925"/>
    <n v="1"/>
    <s v="Credit card"/>
    <x v="30"/>
    <n v="2.1424999999999983"/>
  </r>
  <r>
    <s v="B"/>
    <x v="2"/>
    <x v="0"/>
    <x v="0"/>
    <x v="5"/>
    <x v="1"/>
    <n v="26.26"/>
    <n v="27.572999999999997"/>
    <n v="3"/>
    <s v="Ewallet"/>
    <x v="52"/>
    <n v="1.3129999999999953"/>
  </r>
  <r>
    <s v="C"/>
    <x v="1"/>
    <x v="1"/>
    <x v="0"/>
    <x v="11"/>
    <x v="2"/>
    <n v="83.14"/>
    <n v="87.296999999999997"/>
    <n v="7"/>
    <s v="Credit card"/>
    <x v="29"/>
    <n v="4.1569999999999965"/>
  </r>
  <r>
    <s v="C"/>
    <x v="1"/>
    <x v="0"/>
    <x v="0"/>
    <x v="11"/>
    <x v="2"/>
    <n v="35.22"/>
    <n v="36.981000000000002"/>
    <n v="6"/>
    <s v="Ewallet"/>
    <x v="48"/>
    <n v="1.7610000000000028"/>
  </r>
  <r>
    <s v="B"/>
    <x v="2"/>
    <x v="1"/>
    <x v="0"/>
    <x v="1"/>
    <x v="1"/>
    <n v="13.78"/>
    <n v="14.468999999999999"/>
    <n v="4"/>
    <s v="Ewallet"/>
    <x v="49"/>
    <n v="0.68900000000000006"/>
  </r>
  <r>
    <s v="B"/>
    <x v="2"/>
    <x v="0"/>
    <x v="1"/>
    <x v="11"/>
    <x v="2"/>
    <n v="88.31"/>
    <n v="92.725499999999997"/>
    <n v="1"/>
    <s v="Credit card"/>
    <x v="47"/>
    <n v="4.4154999999999944"/>
  </r>
  <r>
    <s v="A"/>
    <x v="0"/>
    <x v="0"/>
    <x v="0"/>
    <x v="10"/>
    <x v="0"/>
    <n v="39.619999999999997"/>
    <n v="41.600999999999999"/>
    <n v="9"/>
    <s v="Credit card"/>
    <x v="8"/>
    <n v="1.9810000000000016"/>
  </r>
  <r>
    <s v="B"/>
    <x v="2"/>
    <x v="1"/>
    <x v="0"/>
    <x v="25"/>
    <x v="1"/>
    <n v="88.25"/>
    <n v="92.662499999999994"/>
    <n v="9"/>
    <s v="Credit card"/>
    <x v="24"/>
    <n v="4.4124999999999943"/>
  </r>
  <r>
    <s v="B"/>
    <x v="2"/>
    <x v="1"/>
    <x v="1"/>
    <x v="11"/>
    <x v="2"/>
    <n v="25.31"/>
    <n v="26.575500000000002"/>
    <n v="2"/>
    <s v="Ewallet"/>
    <x v="6"/>
    <n v="1.265500000000003"/>
  </r>
  <r>
    <s v="A"/>
    <x v="0"/>
    <x v="1"/>
    <x v="0"/>
    <x v="24"/>
    <x v="4"/>
    <n v="74.44"/>
    <n v="78.162000000000006"/>
    <n v="10"/>
    <s v="Ewallet"/>
    <x v="17"/>
    <n v="3.7220000000000084"/>
  </r>
  <r>
    <s v="C"/>
    <x v="1"/>
    <x v="1"/>
    <x v="1"/>
    <x v="2"/>
    <x v="0"/>
    <n v="64.08"/>
    <n v="67.284000000000006"/>
    <n v="7"/>
    <s v="Ewallet"/>
    <x v="24"/>
    <n v="3.2040000000000077"/>
  </r>
  <r>
    <s v="C"/>
    <x v="1"/>
    <x v="1"/>
    <x v="0"/>
    <x v="10"/>
    <x v="0"/>
    <n v="78.89"/>
    <n v="82.834500000000006"/>
    <n v="7"/>
    <s v="Ewallet"/>
    <x v="21"/>
    <n v="3.944500000000005"/>
  </r>
  <r>
    <s v="A"/>
    <x v="0"/>
    <x v="1"/>
    <x v="0"/>
    <x v="11"/>
    <x v="2"/>
    <n v="89.48"/>
    <n v="93.953999999999994"/>
    <n v="5"/>
    <s v="Cash"/>
    <x v="20"/>
    <n v="4.4739999999999895"/>
  </r>
  <r>
    <s v="A"/>
    <x v="0"/>
    <x v="0"/>
    <x v="0"/>
    <x v="10"/>
    <x v="0"/>
    <n v="92.09"/>
    <n v="96.694500000000005"/>
    <n v="3"/>
    <s v="Cash"/>
    <x v="44"/>
    <n v="4.6045000000000016"/>
  </r>
  <r>
    <s v="C"/>
    <x v="1"/>
    <x v="1"/>
    <x v="0"/>
    <x v="24"/>
    <x v="4"/>
    <n v="57.29"/>
    <n v="60.154500000000006"/>
    <n v="6"/>
    <s v="Ewallet"/>
    <x v="7"/>
    <n v="2.8645000000000067"/>
  </r>
  <r>
    <s v="A"/>
    <x v="0"/>
    <x v="1"/>
    <x v="1"/>
    <x v="24"/>
    <x v="4"/>
    <n v="66.52"/>
    <n v="69.846000000000004"/>
    <n v="4"/>
    <s v="Ewallet"/>
    <x v="14"/>
    <n v="3.3260000000000076"/>
  </r>
  <r>
    <s v="A"/>
    <x v="0"/>
    <x v="1"/>
    <x v="1"/>
    <x v="2"/>
    <x v="0"/>
    <n v="50.79"/>
    <n v="53.329499999999996"/>
    <n v="5"/>
    <s v="Credit card"/>
    <x v="3"/>
    <n v="2.5394999999999968"/>
  </r>
  <r>
    <s v="A"/>
    <x v="0"/>
    <x v="0"/>
    <x v="1"/>
    <x v="12"/>
    <x v="0"/>
    <n v="10.08"/>
    <n v="10.584"/>
    <n v="7"/>
    <s v="Cash"/>
    <x v="44"/>
    <n v="0.50399999999999956"/>
  </r>
  <r>
    <s v="A"/>
    <x v="0"/>
    <x v="1"/>
    <x v="0"/>
    <x v="1"/>
    <x v="1"/>
    <n v="93.88"/>
    <n v="98.573999999999998"/>
    <n v="7"/>
    <s v="Credit card"/>
    <x v="40"/>
    <n v="4.6940000000000026"/>
  </r>
  <r>
    <s v="C"/>
    <x v="1"/>
    <x v="0"/>
    <x v="1"/>
    <x v="1"/>
    <x v="1"/>
    <n v="84.25"/>
    <n v="88.462500000000006"/>
    <n v="2"/>
    <s v="Credit card"/>
    <x v="3"/>
    <n v="4.2125000000000057"/>
  </r>
  <r>
    <s v="B"/>
    <x v="2"/>
    <x v="1"/>
    <x v="0"/>
    <x v="24"/>
    <x v="4"/>
    <n v="26.43"/>
    <n v="27.7515"/>
    <n v="8"/>
    <s v="Ewallet"/>
    <x v="60"/>
    <n v="1.3215000000000003"/>
  </r>
  <r>
    <s v="B"/>
    <x v="2"/>
    <x v="0"/>
    <x v="1"/>
    <x v="20"/>
    <x v="0"/>
    <n v="39.909999999999997"/>
    <n v="41.905499999999996"/>
    <n v="3"/>
    <s v="Ewallet"/>
    <x v="30"/>
    <n v="1.9954999999999998"/>
  </r>
  <r>
    <s v="B"/>
    <x v="2"/>
    <x v="0"/>
    <x v="0"/>
    <x v="24"/>
    <x v="4"/>
    <n v="62.85"/>
    <n v="65.992500000000007"/>
    <n v="4"/>
    <s v="Ewallet"/>
    <x v="36"/>
    <n v="3.1425000000000054"/>
  </r>
  <r>
    <s v="C"/>
    <x v="1"/>
    <x v="0"/>
    <x v="0"/>
    <x v="24"/>
    <x v="4"/>
    <n v="21.04"/>
    <n v="22.091999999999999"/>
    <n v="4"/>
    <s v="Cash"/>
    <x v="24"/>
    <n v="1.0519999999999996"/>
  </r>
  <r>
    <s v="C"/>
    <x v="1"/>
    <x v="0"/>
    <x v="1"/>
    <x v="24"/>
    <x v="4"/>
    <n v="50.49"/>
    <n v="53.014499999999998"/>
    <n v="9"/>
    <s v="Cash"/>
    <x v="37"/>
    <n v="2.5244999999999962"/>
  </r>
  <r>
    <s v="B"/>
    <x v="2"/>
    <x v="1"/>
    <x v="1"/>
    <x v="1"/>
    <x v="1"/>
    <n v="46.02"/>
    <n v="48.320999999999998"/>
    <n v="6"/>
    <s v="Cash"/>
    <x v="9"/>
    <n v="2.3009999999999948"/>
  </r>
  <r>
    <s v="A"/>
    <x v="0"/>
    <x v="0"/>
    <x v="0"/>
    <x v="24"/>
    <x v="4"/>
    <n v="98.66"/>
    <n v="103.593"/>
    <n v="9"/>
    <s v="Cash"/>
    <x v="2"/>
    <n v="4.9330000000000069"/>
  </r>
  <r>
    <s v="A"/>
    <x v="0"/>
    <x v="0"/>
    <x v="1"/>
    <x v="1"/>
    <x v="1"/>
    <n v="20.89"/>
    <n v="21.9345"/>
    <n v="2"/>
    <s v="Cash"/>
    <x v="53"/>
    <n v="1.0444999999999993"/>
  </r>
  <r>
    <s v="C"/>
    <x v="1"/>
    <x v="0"/>
    <x v="1"/>
    <x v="1"/>
    <x v="1"/>
    <n v="96.82"/>
    <n v="101.661"/>
    <n v="3"/>
    <s v="Cash"/>
    <x v="32"/>
    <n v="4.8410000000000082"/>
  </r>
  <r>
    <s v="B"/>
    <x v="2"/>
    <x v="1"/>
    <x v="1"/>
    <x v="24"/>
    <x v="4"/>
    <n v="33.33"/>
    <n v="34.996499999999997"/>
    <n v="2"/>
    <s v="Credit card"/>
    <x v="33"/>
    <n v="1.6664999999999992"/>
  </r>
  <r>
    <s v="B"/>
    <x v="2"/>
    <x v="1"/>
    <x v="0"/>
    <x v="5"/>
    <x v="1"/>
    <n v="38.270000000000003"/>
    <n v="40.183500000000002"/>
    <n v="2"/>
    <s v="Credit card"/>
    <x v="5"/>
    <n v="1.9134999999999991"/>
  </r>
  <r>
    <s v="A"/>
    <x v="0"/>
    <x v="1"/>
    <x v="0"/>
    <x v="12"/>
    <x v="0"/>
    <n v="15.8"/>
    <n v="16.59"/>
    <n v="3"/>
    <s v="Cash"/>
    <x v="26"/>
    <n v="0.78999999999999915"/>
  </r>
  <r>
    <s v="B"/>
    <x v="2"/>
    <x v="0"/>
    <x v="0"/>
    <x v="1"/>
    <x v="1"/>
    <n v="34.49"/>
    <n v="36.214500000000001"/>
    <n v="5"/>
    <s v="Credit card"/>
    <x v="49"/>
    <n v="1.724499999999999"/>
  </r>
  <r>
    <s v="B"/>
    <x v="2"/>
    <x v="0"/>
    <x v="0"/>
    <x v="24"/>
    <x v="4"/>
    <n v="84.63"/>
    <n v="88.861500000000007"/>
    <n v="10"/>
    <s v="Credit card"/>
    <x v="49"/>
    <n v="4.2315000000000111"/>
  </r>
  <r>
    <s v="B"/>
    <x v="2"/>
    <x v="1"/>
    <x v="1"/>
    <x v="1"/>
    <x v="1"/>
    <n v="87.08"/>
    <n v="91.433999999999997"/>
    <n v="7"/>
    <s v="Cash"/>
    <x v="38"/>
    <n v="4.3539999999999992"/>
  </r>
  <r>
    <s v="A"/>
    <x v="0"/>
    <x v="1"/>
    <x v="0"/>
    <x v="21"/>
    <x v="4"/>
    <n v="74.66"/>
    <n v="78.393000000000001"/>
    <n v="4"/>
    <s v="Cash"/>
    <x v="28"/>
    <n v="3.7330000000000041"/>
  </r>
  <r>
    <s v="B"/>
    <x v="2"/>
    <x v="0"/>
    <x v="1"/>
    <x v="27"/>
    <x v="4"/>
    <n v="26.6"/>
    <n v="27.930000000000003"/>
    <n v="6"/>
    <s v="Ewallet"/>
    <x v="42"/>
    <n v="1.3300000000000018"/>
  </r>
  <r>
    <s v="B"/>
    <x v="2"/>
    <x v="1"/>
    <x v="0"/>
    <x v="1"/>
    <x v="1"/>
    <n v="25.45"/>
    <n v="26.7225"/>
    <n v="1"/>
    <s v="Credit card"/>
    <x v="17"/>
    <n v="1.2725000000000009"/>
  </r>
  <r>
    <s v="B"/>
    <x v="2"/>
    <x v="1"/>
    <x v="0"/>
    <x v="21"/>
    <x v="4"/>
    <n v="67.77"/>
    <n v="71.158500000000004"/>
    <n v="1"/>
    <s v="Credit card"/>
    <x v="48"/>
    <n v="3.3885000000000076"/>
  </r>
  <r>
    <s v="C"/>
    <x v="1"/>
    <x v="0"/>
    <x v="1"/>
    <x v="27"/>
    <x v="4"/>
    <n v="59.59"/>
    <n v="62.569499999999998"/>
    <n v="4"/>
    <s v="Cash"/>
    <x v="53"/>
    <n v="2.9794999999999945"/>
  </r>
  <r>
    <s v="A"/>
    <x v="0"/>
    <x v="1"/>
    <x v="1"/>
    <x v="2"/>
    <x v="0"/>
    <n v="58.15"/>
    <n v="61.057499999999997"/>
    <n v="4"/>
    <s v="Cash"/>
    <x v="2"/>
    <n v="2.9074999999999989"/>
  </r>
  <r>
    <s v="A"/>
    <x v="0"/>
    <x v="0"/>
    <x v="0"/>
    <x v="23"/>
    <x v="2"/>
    <n v="97.48"/>
    <n v="102.354"/>
    <n v="9"/>
    <s v="Ewallet"/>
    <x v="20"/>
    <n v="4.8739999999999952"/>
  </r>
  <r>
    <s v="C"/>
    <x v="1"/>
    <x v="1"/>
    <x v="1"/>
    <x v="20"/>
    <x v="0"/>
    <n v="99.96"/>
    <n v="104.958"/>
    <n v="7"/>
    <s v="Cash"/>
    <x v="41"/>
    <n v="4.9980000000000047"/>
  </r>
  <r>
    <s v="C"/>
    <x v="1"/>
    <x v="1"/>
    <x v="1"/>
    <x v="5"/>
    <x v="1"/>
    <n v="96.37"/>
    <n v="101.18849999999999"/>
    <n v="7"/>
    <s v="Cash"/>
    <x v="19"/>
    <n v="4.818499999999986"/>
  </r>
  <r>
    <s v="B"/>
    <x v="2"/>
    <x v="1"/>
    <x v="0"/>
    <x v="20"/>
    <x v="0"/>
    <n v="14.76"/>
    <n v="15.497999999999999"/>
    <n v="2"/>
    <s v="Ewallet"/>
    <x v="34"/>
    <n v="0.73799999999999955"/>
  </r>
  <r>
    <s v="B"/>
    <x v="2"/>
    <x v="0"/>
    <x v="1"/>
    <x v="2"/>
    <x v="0"/>
    <n v="62"/>
    <n v="65.099999999999994"/>
    <n v="8"/>
    <s v="Credit card"/>
    <x v="58"/>
    <n v="3.0999999999999943"/>
  </r>
  <r>
    <s v="C"/>
    <x v="1"/>
    <x v="0"/>
    <x v="1"/>
    <x v="25"/>
    <x v="1"/>
    <n v="82.34"/>
    <n v="86.457000000000008"/>
    <n v="10"/>
    <s v="Ewallet"/>
    <x v="34"/>
    <n v="4.1170000000000044"/>
  </r>
  <r>
    <s v="B"/>
    <x v="2"/>
    <x v="0"/>
    <x v="1"/>
    <x v="12"/>
    <x v="0"/>
    <n v="75.37"/>
    <n v="79.138499999999993"/>
    <n v="8"/>
    <s v="Credit card"/>
    <x v="2"/>
    <n v="3.7684999999999889"/>
  </r>
  <r>
    <s v="A"/>
    <x v="0"/>
    <x v="1"/>
    <x v="0"/>
    <x v="27"/>
    <x v="4"/>
    <n v="56.56"/>
    <n v="59.387999999999998"/>
    <n v="5"/>
    <s v="Credit card"/>
    <x v="12"/>
    <n v="2.8279999999999959"/>
  </r>
  <r>
    <s v="B"/>
    <x v="2"/>
    <x v="1"/>
    <x v="0"/>
    <x v="23"/>
    <x v="2"/>
    <n v="76.599999999999994"/>
    <n v="80.429999999999993"/>
    <n v="10"/>
    <s v="Ewallet"/>
    <x v="19"/>
    <n v="3.8299999999999983"/>
  </r>
  <r>
    <s v="A"/>
    <x v="0"/>
    <x v="1"/>
    <x v="1"/>
    <x v="1"/>
    <x v="1"/>
    <n v="58.03"/>
    <n v="60.9315"/>
    <n v="2"/>
    <s v="Ewallet"/>
    <x v="50"/>
    <n v="2.9014999999999986"/>
  </r>
  <r>
    <s v="C"/>
    <x v="1"/>
    <x v="0"/>
    <x v="0"/>
    <x v="1"/>
    <x v="1"/>
    <n v="60.95"/>
    <n v="63.997500000000002"/>
    <n v="1"/>
    <s v="Ewallet"/>
    <x v="7"/>
    <n v="3.0474999999999994"/>
  </r>
  <r>
    <s v="C"/>
    <x v="1"/>
    <x v="1"/>
    <x v="1"/>
    <x v="20"/>
    <x v="0"/>
    <n v="40.35"/>
    <n v="42.3675"/>
    <n v="1"/>
    <s v="Ewallet"/>
    <x v="58"/>
    <n v="2.0174999999999983"/>
  </r>
  <r>
    <s v="A"/>
    <x v="0"/>
    <x v="0"/>
    <x v="1"/>
    <x v="21"/>
    <x v="4"/>
    <n v="31.84"/>
    <n v="33.432000000000002"/>
    <n v="1"/>
    <s v="Cash"/>
    <x v="55"/>
    <n v="1.59200000000000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2">
  <r>
    <s v="750-67-8428"/>
    <x v="0"/>
    <s v="A"/>
    <x v="0"/>
    <x v="0"/>
    <x v="0"/>
    <x v="0"/>
    <x v="0"/>
    <n v="74.69"/>
    <n v="78.424499999999995"/>
    <n v="7"/>
    <s v="Ewallet"/>
    <x v="0"/>
    <n v="3.734499999999997"/>
  </r>
  <r>
    <s v="226-31-3081"/>
    <x v="1"/>
    <s v="C"/>
    <x v="1"/>
    <x v="1"/>
    <x v="0"/>
    <x v="1"/>
    <x v="1"/>
    <n v="15.28"/>
    <n v="16.044"/>
    <n v="5"/>
    <s v="Cash"/>
    <x v="1"/>
    <n v="0.76400000000000112"/>
  </r>
  <r>
    <s v="123-19-1176"/>
    <x v="2"/>
    <s v="A"/>
    <x v="0"/>
    <x v="0"/>
    <x v="0"/>
    <x v="2"/>
    <x v="0"/>
    <n v="58.22"/>
    <n v="61.131"/>
    <n v="8"/>
    <s v="Ewallet"/>
    <x v="2"/>
    <n v="2.9110000000000014"/>
  </r>
  <r>
    <s v="373-73-7910"/>
    <x v="3"/>
    <s v="A"/>
    <x v="0"/>
    <x v="1"/>
    <x v="0"/>
    <x v="3"/>
    <x v="2"/>
    <n v="86.31"/>
    <n v="90.625500000000002"/>
    <n v="7"/>
    <s v="Ewallet"/>
    <x v="3"/>
    <n v="4.3155000000000001"/>
  </r>
  <r>
    <s v="699-14-3026"/>
    <x v="4"/>
    <s v="C"/>
    <x v="1"/>
    <x v="1"/>
    <x v="0"/>
    <x v="4"/>
    <x v="3"/>
    <n v="85.39"/>
    <n v="89.659499999999994"/>
    <n v="7"/>
    <s v="Ewallet"/>
    <x v="4"/>
    <n v="4.2694999999999936"/>
  </r>
  <r>
    <s v="355-53-5943"/>
    <x v="5"/>
    <s v="A"/>
    <x v="0"/>
    <x v="0"/>
    <x v="0"/>
    <x v="5"/>
    <x v="1"/>
    <n v="68.84"/>
    <n v="72.281999999999996"/>
    <n v="6"/>
    <s v="Ewallet"/>
    <x v="5"/>
    <n v="3.4419999999999931"/>
  </r>
  <r>
    <s v="665-32-9167"/>
    <x v="6"/>
    <s v="A"/>
    <x v="0"/>
    <x v="0"/>
    <x v="0"/>
    <x v="6"/>
    <x v="0"/>
    <n v="36.26"/>
    <n v="38.073"/>
    <n v="2"/>
    <s v="Credit card"/>
    <x v="6"/>
    <n v="1.8130000000000024"/>
  </r>
  <r>
    <s v="692-92-5582"/>
    <x v="7"/>
    <s v="B"/>
    <x v="2"/>
    <x v="0"/>
    <x v="0"/>
    <x v="7"/>
    <x v="4"/>
    <n v="54.84"/>
    <n v="57.582000000000001"/>
    <n v="3"/>
    <s v="Credit card"/>
    <x v="7"/>
    <n v="2.7419999999999973"/>
  </r>
  <r>
    <s v="529-56-3974"/>
    <x v="8"/>
    <s v="B"/>
    <x v="2"/>
    <x v="0"/>
    <x v="0"/>
    <x v="8"/>
    <x v="1"/>
    <n v="25.51"/>
    <n v="26.785499999999999"/>
    <n v="4"/>
    <s v="Cash"/>
    <x v="8"/>
    <n v="1.2754999999999974"/>
  </r>
  <r>
    <s v="365-64-0515"/>
    <x v="9"/>
    <s v="A"/>
    <x v="0"/>
    <x v="1"/>
    <x v="0"/>
    <x v="8"/>
    <x v="1"/>
    <n v="46.95"/>
    <n v="49.297499999999999"/>
    <n v="5"/>
    <s v="Ewallet"/>
    <x v="9"/>
    <n v="2.3474999999999966"/>
  </r>
  <r>
    <s v="252-56-2699"/>
    <x v="10"/>
    <s v="A"/>
    <x v="0"/>
    <x v="1"/>
    <x v="0"/>
    <x v="9"/>
    <x v="4"/>
    <n v="43.19"/>
    <n v="45.349499999999999"/>
    <n v="10"/>
    <s v="Ewallet"/>
    <x v="10"/>
    <n v="2.1595000000000013"/>
  </r>
  <r>
    <s v="829-34-3910"/>
    <x v="11"/>
    <s v="A"/>
    <x v="0"/>
    <x v="1"/>
    <x v="0"/>
    <x v="10"/>
    <x v="0"/>
    <n v="71.38"/>
    <n v="74.948999999999998"/>
    <n v="10"/>
    <s v="Cash"/>
    <x v="11"/>
    <n v="3.5690000000000026"/>
  </r>
  <r>
    <s v="299-46-1805"/>
    <x v="12"/>
    <s v="B"/>
    <x v="2"/>
    <x v="0"/>
    <x v="0"/>
    <x v="11"/>
    <x v="2"/>
    <n v="93.72"/>
    <n v="98.406000000000006"/>
    <n v="6"/>
    <s v="Cash"/>
    <x v="12"/>
    <n v="4.686000000000007"/>
  </r>
  <r>
    <s v="656-95-9349"/>
    <x v="13"/>
    <s v="A"/>
    <x v="0"/>
    <x v="0"/>
    <x v="0"/>
    <x v="12"/>
    <x v="0"/>
    <n v="68.930000000000007"/>
    <n v="72.376499999999993"/>
    <n v="7"/>
    <s v="Credit card"/>
    <x v="13"/>
    <n v="3.4464999999999861"/>
  </r>
  <r>
    <s v="765-26-6951"/>
    <x v="14"/>
    <s v="A"/>
    <x v="0"/>
    <x v="1"/>
    <x v="0"/>
    <x v="13"/>
    <x v="2"/>
    <n v="72.61"/>
    <n v="76.240499999999997"/>
    <n v="6"/>
    <s v="Credit card"/>
    <x v="14"/>
    <n v="3.6304999999999978"/>
  </r>
  <r>
    <s v="329-62-1586"/>
    <x v="15"/>
    <s v="A"/>
    <x v="0"/>
    <x v="1"/>
    <x v="0"/>
    <x v="14"/>
    <x v="4"/>
    <n v="54.67"/>
    <n v="57.403500000000001"/>
    <n v="3"/>
    <s v="Credit card"/>
    <x v="15"/>
    <n v="2.7334999999999994"/>
  </r>
  <r>
    <s v="300-71-4605"/>
    <x v="16"/>
    <s v="C"/>
    <x v="1"/>
    <x v="0"/>
    <x v="0"/>
    <x v="5"/>
    <x v="1"/>
    <n v="86.04"/>
    <n v="90.341999999999999"/>
    <n v="5"/>
    <s v="Ewallet"/>
    <x v="16"/>
    <n v="4.3019999999999925"/>
  </r>
  <r>
    <s v="371-85-5789"/>
    <x v="17"/>
    <s v="B"/>
    <x v="2"/>
    <x v="1"/>
    <x v="0"/>
    <x v="2"/>
    <x v="0"/>
    <n v="87.98"/>
    <n v="92.379000000000005"/>
    <n v="3"/>
    <s v="Ewallet"/>
    <x v="17"/>
    <n v="4.3990000000000009"/>
  </r>
  <r>
    <s v="636-48-8204"/>
    <x v="18"/>
    <s v="A"/>
    <x v="0"/>
    <x v="1"/>
    <x v="0"/>
    <x v="8"/>
    <x v="1"/>
    <n v="34.56"/>
    <n v="36.287999999999997"/>
    <n v="5"/>
    <s v="Ewallet"/>
    <x v="18"/>
    <n v="1.7279999999999944"/>
  </r>
  <r>
    <s v="549-59-1358"/>
    <x v="19"/>
    <s v="A"/>
    <x v="0"/>
    <x v="0"/>
    <x v="0"/>
    <x v="15"/>
    <x v="2"/>
    <n v="88.63"/>
    <n v="93.061500000000009"/>
    <n v="3"/>
    <s v="Ewallet"/>
    <x v="19"/>
    <n v="4.431500000000014"/>
  </r>
  <r>
    <s v="145-94-9061"/>
    <x v="20"/>
    <s v="B"/>
    <x v="2"/>
    <x v="1"/>
    <x v="0"/>
    <x v="16"/>
    <x v="4"/>
    <n v="88.36"/>
    <n v="92.777999999999992"/>
    <n v="5"/>
    <s v="Cash"/>
    <x v="1"/>
    <n v="4.4179999999999922"/>
  </r>
  <r>
    <s v="848-62-7243"/>
    <x v="21"/>
    <s v="A"/>
    <x v="0"/>
    <x v="1"/>
    <x v="0"/>
    <x v="17"/>
    <x v="0"/>
    <n v="24.89"/>
    <n v="26.134499999999999"/>
    <n v="9"/>
    <s v="Cash"/>
    <x v="20"/>
    <n v="1.2444999999999986"/>
  </r>
  <r>
    <s v="149-71-6266"/>
    <x v="22"/>
    <s v="B"/>
    <x v="2"/>
    <x v="0"/>
    <x v="0"/>
    <x v="18"/>
    <x v="2"/>
    <n v="78.069999999999993"/>
    <n v="81.973500000000001"/>
    <n v="9"/>
    <s v="Cash"/>
    <x v="12"/>
    <n v="3.9035000000000082"/>
  </r>
  <r>
    <s v="640-49-2076"/>
    <x v="23"/>
    <s v="B"/>
    <x v="2"/>
    <x v="1"/>
    <x v="0"/>
    <x v="19"/>
    <x v="2"/>
    <n v="83.78"/>
    <n v="87.968999999999994"/>
    <n v="8"/>
    <s v="Cash"/>
    <x v="17"/>
    <n v="4.188999999999993"/>
  </r>
  <r>
    <s v="595-11-5460"/>
    <x v="24"/>
    <s v="A"/>
    <x v="0"/>
    <x v="1"/>
    <x v="0"/>
    <x v="20"/>
    <x v="0"/>
    <n v="96.58"/>
    <n v="101.40900000000001"/>
    <n v="2"/>
    <s v="Credit card"/>
    <x v="17"/>
    <n v="4.8290000000000077"/>
  </r>
  <r>
    <s v="183-56-6882"/>
    <x v="25"/>
    <s v="C"/>
    <x v="1"/>
    <x v="0"/>
    <x v="0"/>
    <x v="21"/>
    <x v="4"/>
    <n v="99.42"/>
    <n v="104.39100000000001"/>
    <n v="4"/>
    <s v="Ewallet"/>
    <x v="21"/>
    <n v="4.9710000000000036"/>
  </r>
  <r>
    <s v="232-16-2483"/>
    <x v="26"/>
    <s v="C"/>
    <x v="1"/>
    <x v="0"/>
    <x v="0"/>
    <x v="22"/>
    <x v="2"/>
    <n v="68.12"/>
    <n v="71.525999999999996"/>
    <n v="1"/>
    <s v="Ewallet"/>
    <x v="8"/>
    <n v="3.4059999999999917"/>
  </r>
  <r>
    <s v="129-29-8530"/>
    <x v="27"/>
    <s v="A"/>
    <x v="0"/>
    <x v="0"/>
    <x v="0"/>
    <x v="23"/>
    <x v="2"/>
    <n v="62.62"/>
    <n v="65.751000000000005"/>
    <n v="5"/>
    <s v="Ewallet"/>
    <x v="22"/>
    <n v="3.1310000000000073"/>
  </r>
  <r>
    <s v="272-65-1806"/>
    <x v="28"/>
    <s v="A"/>
    <x v="0"/>
    <x v="1"/>
    <x v="0"/>
    <x v="8"/>
    <x v="1"/>
    <n v="60.88"/>
    <n v="63.924000000000007"/>
    <n v="9"/>
    <s v="Ewallet"/>
    <x v="23"/>
    <n v="3.044000000000004"/>
  </r>
  <r>
    <s v="333-73-7901"/>
    <x v="29"/>
    <s v="C"/>
    <x v="1"/>
    <x v="1"/>
    <x v="0"/>
    <x v="20"/>
    <x v="0"/>
    <n v="54.92"/>
    <n v="57.665999999999997"/>
    <n v="8"/>
    <s v="Ewallet"/>
    <x v="24"/>
    <n v="2.7459999999999951"/>
  </r>
  <r>
    <s v="354-25-5821"/>
    <x v="30"/>
    <s v="B"/>
    <x v="2"/>
    <x v="0"/>
    <x v="0"/>
    <x v="11"/>
    <x v="2"/>
    <n v="69.12"/>
    <n v="72.576000000000008"/>
    <n v="6"/>
    <s v="Cash"/>
    <x v="25"/>
    <n v="3.4560000000000031"/>
  </r>
  <r>
    <s v="228-96-1411"/>
    <x v="31"/>
    <s v="C"/>
    <x v="1"/>
    <x v="0"/>
    <x v="0"/>
    <x v="24"/>
    <x v="4"/>
    <n v="98.7"/>
    <n v="103.63500000000001"/>
    <n v="8"/>
    <s v="Cash"/>
    <x v="24"/>
    <n v="4.9350000000000023"/>
  </r>
  <r>
    <s v="617-15-4209"/>
    <x v="32"/>
    <s v="C"/>
    <x v="1"/>
    <x v="0"/>
    <x v="0"/>
    <x v="10"/>
    <x v="0"/>
    <n v="15.37"/>
    <n v="16.138500000000001"/>
    <n v="2"/>
    <s v="Cash"/>
    <x v="6"/>
    <n v="0.76850000000000129"/>
  </r>
  <r>
    <s v="132-32-9879"/>
    <x v="33"/>
    <s v="B"/>
    <x v="2"/>
    <x v="0"/>
    <x v="0"/>
    <x v="8"/>
    <x v="1"/>
    <n v="93.96"/>
    <n v="98.658000000000001"/>
    <n v="4"/>
    <s v="Cash"/>
    <x v="26"/>
    <n v="4.6980000000000075"/>
  </r>
  <r>
    <s v="370-41-7321"/>
    <x v="34"/>
    <s v="B"/>
    <x v="2"/>
    <x v="0"/>
    <x v="0"/>
    <x v="20"/>
    <x v="0"/>
    <n v="56.69"/>
    <n v="59.524500000000003"/>
    <n v="9"/>
    <s v="Credit card"/>
    <x v="2"/>
    <n v="2.8345000000000056"/>
  </r>
  <r>
    <s v="727-46-3608"/>
    <x v="35"/>
    <s v="B"/>
    <x v="2"/>
    <x v="0"/>
    <x v="0"/>
    <x v="21"/>
    <x v="4"/>
    <n v="20.010000000000002"/>
    <n v="21.0105"/>
    <n v="9"/>
    <s v="Ewallet"/>
    <x v="4"/>
    <n v="1.0004999999999988"/>
  </r>
  <r>
    <s v="669-54-1719"/>
    <x v="36"/>
    <s v="B"/>
    <x v="2"/>
    <x v="0"/>
    <x v="0"/>
    <x v="8"/>
    <x v="1"/>
    <n v="18.93"/>
    <n v="19.8765"/>
    <n v="6"/>
    <s v="Credit card"/>
    <x v="27"/>
    <n v="0.94650000000000034"/>
  </r>
  <r>
    <s v="326-78-5178"/>
    <x v="37"/>
    <s v="C"/>
    <x v="1"/>
    <x v="0"/>
    <x v="0"/>
    <x v="21"/>
    <x v="4"/>
    <n v="91.4"/>
    <n v="95.97"/>
    <n v="7"/>
    <s v="Cash"/>
    <x v="26"/>
    <n v="4.5699999999999932"/>
  </r>
  <r>
    <s v="162-48-8011"/>
    <x v="38"/>
    <s v="A"/>
    <x v="0"/>
    <x v="0"/>
    <x v="0"/>
    <x v="21"/>
    <x v="4"/>
    <n v="44.59"/>
    <n v="46.819499999999998"/>
    <n v="5"/>
    <s v="Cash"/>
    <x v="28"/>
    <n v="2.2294999999999945"/>
  </r>
  <r>
    <s v="399-46-5918"/>
    <x v="39"/>
    <s v="C"/>
    <x v="1"/>
    <x v="1"/>
    <x v="0"/>
    <x v="1"/>
    <x v="1"/>
    <n v="85.98"/>
    <n v="90.278999999999996"/>
    <n v="8"/>
    <s v="Cash"/>
    <x v="10"/>
    <n v="4.2989999999999924"/>
  </r>
  <r>
    <s v="635-40-6220"/>
    <x v="40"/>
    <s v="A"/>
    <x v="0"/>
    <x v="1"/>
    <x v="0"/>
    <x v="20"/>
    <x v="0"/>
    <n v="89.6"/>
    <n v="94.08"/>
    <n v="8"/>
    <s v="Ewallet"/>
    <x v="29"/>
    <n v="4.480000000000004"/>
  </r>
  <r>
    <s v="120-06-4233"/>
    <x v="41"/>
    <s v="C"/>
    <x v="1"/>
    <x v="1"/>
    <x v="0"/>
    <x v="1"/>
    <x v="1"/>
    <n v="30.61"/>
    <n v="32.140499999999996"/>
    <n v="6"/>
    <s v="Cash"/>
    <x v="30"/>
    <n v="1.5304999999999964"/>
  </r>
  <r>
    <s v="285-68-5083"/>
    <x v="42"/>
    <s v="C"/>
    <x v="1"/>
    <x v="0"/>
    <x v="0"/>
    <x v="13"/>
    <x v="2"/>
    <n v="24.74"/>
    <n v="25.977"/>
    <n v="3"/>
    <s v="Credit card"/>
    <x v="31"/>
    <n v="1.2370000000000019"/>
  </r>
  <r>
    <s v="347-34-2234"/>
    <x v="43"/>
    <s v="B"/>
    <x v="2"/>
    <x v="0"/>
    <x v="0"/>
    <x v="3"/>
    <x v="2"/>
    <n v="55.07"/>
    <n v="57.823500000000003"/>
    <n v="9"/>
    <s v="Ewallet"/>
    <x v="31"/>
    <n v="2.7535000000000025"/>
  </r>
  <r>
    <s v="199-75-8169"/>
    <x v="44"/>
    <s v="A"/>
    <x v="0"/>
    <x v="0"/>
    <x v="0"/>
    <x v="22"/>
    <x v="2"/>
    <n v="15.81"/>
    <n v="16.6005"/>
    <n v="10"/>
    <s v="Credit card"/>
    <x v="15"/>
    <n v="0.79049999999999976"/>
  </r>
  <r>
    <s v="853-23-2453"/>
    <x v="45"/>
    <s v="B"/>
    <x v="2"/>
    <x v="0"/>
    <x v="0"/>
    <x v="20"/>
    <x v="0"/>
    <n v="75.739999999999995"/>
    <n v="79.527000000000001"/>
    <n v="4"/>
    <s v="Cash"/>
    <x v="24"/>
    <n v="3.7870000000000061"/>
  </r>
  <r>
    <s v="877-22-3308"/>
    <x v="46"/>
    <s v="A"/>
    <x v="0"/>
    <x v="0"/>
    <x v="0"/>
    <x v="10"/>
    <x v="0"/>
    <n v="15.87"/>
    <n v="16.663499999999999"/>
    <n v="10"/>
    <s v="Cash"/>
    <x v="5"/>
    <n v="0.79349999999999987"/>
  </r>
  <r>
    <s v="838-78-4295"/>
    <x v="47"/>
    <s v="C"/>
    <x v="1"/>
    <x v="1"/>
    <x v="0"/>
    <x v="0"/>
    <x v="0"/>
    <n v="33.47"/>
    <n v="35.143500000000003"/>
    <n v="2"/>
    <s v="Ewallet"/>
    <x v="32"/>
    <n v="1.6735000000000042"/>
  </r>
  <r>
    <s v="232-11-3025"/>
    <x v="48"/>
    <s v="A"/>
    <x v="0"/>
    <x v="1"/>
    <x v="1"/>
    <x v="22"/>
    <x v="2"/>
    <n v="78.77"/>
    <n v="82.708500000000001"/>
    <n v="10"/>
    <s v="Cash"/>
    <x v="33"/>
    <n v="3.9385000000000048"/>
  </r>
  <r>
    <s v="382-03-4532"/>
    <x v="49"/>
    <s v="A"/>
    <x v="0"/>
    <x v="0"/>
    <x v="0"/>
    <x v="0"/>
    <x v="0"/>
    <n v="18.329999999999998"/>
    <n v="19.246500000000001"/>
    <n v="1"/>
    <s v="Cash"/>
    <x v="34"/>
    <n v="0.91650000000000276"/>
  </r>
  <r>
    <s v="393-65-2792"/>
    <x v="50"/>
    <s v="C"/>
    <x v="1"/>
    <x v="1"/>
    <x v="1"/>
    <x v="21"/>
    <x v="4"/>
    <n v="89.48"/>
    <n v="93.953999999999994"/>
    <n v="10"/>
    <s v="Credit card"/>
    <x v="1"/>
    <n v="4.4739999999999895"/>
  </r>
  <r>
    <s v="510-95-6347"/>
    <x v="51"/>
    <s v="B"/>
    <x v="2"/>
    <x v="0"/>
    <x v="0"/>
    <x v="24"/>
    <x v="4"/>
    <n v="48.52"/>
    <n v="50.945999999999998"/>
    <n v="3"/>
    <s v="Ewallet"/>
    <x v="35"/>
    <n v="2.4259999999999948"/>
  </r>
  <r>
    <s v="841-35-6630"/>
    <x v="52"/>
    <s v="C"/>
    <x v="1"/>
    <x v="1"/>
    <x v="0"/>
    <x v="25"/>
    <x v="1"/>
    <n v="75.91"/>
    <n v="79.705500000000001"/>
    <n v="6"/>
    <s v="Cash"/>
    <x v="36"/>
    <n v="3.7955000000000041"/>
  </r>
  <r>
    <s v="732-94-0499"/>
    <x v="53"/>
    <s v="C"/>
    <x v="1"/>
    <x v="1"/>
    <x v="0"/>
    <x v="5"/>
    <x v="1"/>
    <n v="41.65"/>
    <n v="43.732500000000002"/>
    <n v="10"/>
    <s v="Credit card"/>
    <x v="37"/>
    <n v="2.0825000000000031"/>
  </r>
  <r>
    <s v="829-49-1914"/>
    <x v="54"/>
    <s v="C"/>
    <x v="1"/>
    <x v="0"/>
    <x v="0"/>
    <x v="9"/>
    <x v="4"/>
    <n v="78.31"/>
    <n v="82.225499999999997"/>
    <n v="10"/>
    <s v="Ewallet"/>
    <x v="29"/>
    <n v="3.9154999999999944"/>
  </r>
  <r>
    <s v="756-01-7507"/>
    <x v="55"/>
    <s v="C"/>
    <x v="1"/>
    <x v="1"/>
    <x v="0"/>
    <x v="10"/>
    <x v="0"/>
    <n v="20.38"/>
    <n v="21.399000000000001"/>
    <n v="5"/>
    <s v="Cash"/>
    <x v="19"/>
    <n v="1.0190000000000019"/>
  </r>
  <r>
    <s v="870-72-4431"/>
    <x v="56"/>
    <s v="C"/>
    <x v="1"/>
    <x v="1"/>
    <x v="0"/>
    <x v="0"/>
    <x v="0"/>
    <n v="99.19"/>
    <n v="104.1495"/>
    <n v="6"/>
    <s v="Credit card"/>
    <x v="38"/>
    <n v="4.9595000000000056"/>
  </r>
  <r>
    <s v="847-38-7188"/>
    <x v="57"/>
    <s v="B"/>
    <x v="2"/>
    <x v="1"/>
    <x v="0"/>
    <x v="21"/>
    <x v="4"/>
    <n v="96.68"/>
    <n v="101.514"/>
    <n v="3"/>
    <s v="Ewallet"/>
    <x v="33"/>
    <n v="4.833999999999989"/>
  </r>
  <r>
    <s v="480-63-2856"/>
    <x v="58"/>
    <s v="C"/>
    <x v="1"/>
    <x v="1"/>
    <x v="1"/>
    <x v="21"/>
    <x v="4"/>
    <n v="19.25"/>
    <n v="20.212499999999999"/>
    <n v="8"/>
    <s v="Ewallet"/>
    <x v="29"/>
    <n v="0.96249999999999858"/>
  </r>
  <r>
    <s v="787-56-0757"/>
    <x v="59"/>
    <s v="C"/>
    <x v="1"/>
    <x v="0"/>
    <x v="0"/>
    <x v="21"/>
    <x v="4"/>
    <n v="80.36"/>
    <n v="84.378"/>
    <n v="4"/>
    <s v="Credit card"/>
    <x v="39"/>
    <n v="4.0180000000000007"/>
  </r>
  <r>
    <s v="360-39-5055"/>
    <x v="60"/>
    <s v="C"/>
    <x v="1"/>
    <x v="0"/>
    <x v="1"/>
    <x v="13"/>
    <x v="2"/>
    <n v="48.91"/>
    <n v="51.355499999999992"/>
    <n v="5"/>
    <s v="Cash"/>
    <x v="29"/>
    <n v="2.4454999999999956"/>
  </r>
  <r>
    <s v="730-50-9884"/>
    <x v="61"/>
    <s v="C"/>
    <x v="1"/>
    <x v="1"/>
    <x v="0"/>
    <x v="22"/>
    <x v="2"/>
    <n v="83.06"/>
    <n v="87.212999999999994"/>
    <n v="7"/>
    <s v="Ewallet"/>
    <x v="35"/>
    <n v="4.1529999999999916"/>
  </r>
  <r>
    <s v="633-44-8566"/>
    <x v="62"/>
    <s v="A"/>
    <x v="0"/>
    <x v="0"/>
    <x v="1"/>
    <x v="14"/>
    <x v="4"/>
    <n v="49.38"/>
    <n v="51.848999999999997"/>
    <n v="7"/>
    <s v="Credit card"/>
    <x v="40"/>
    <n v="2.4689999999999941"/>
  </r>
  <r>
    <s v="504-35-8843"/>
    <x v="63"/>
    <s v="A"/>
    <x v="0"/>
    <x v="1"/>
    <x v="1"/>
    <x v="15"/>
    <x v="2"/>
    <n v="42.47"/>
    <n v="44.593499999999999"/>
    <n v="1"/>
    <s v="Cash"/>
    <x v="11"/>
    <n v="2.1234999999999999"/>
  </r>
  <r>
    <s v="318-68-5053"/>
    <x v="64"/>
    <s v="B"/>
    <x v="2"/>
    <x v="1"/>
    <x v="0"/>
    <x v="17"/>
    <x v="0"/>
    <n v="76.989999999999995"/>
    <n v="80.839500000000001"/>
    <n v="6"/>
    <s v="Cash"/>
    <x v="41"/>
    <n v="3.8495000000000061"/>
  </r>
  <r>
    <s v="225-32-0908"/>
    <x v="65"/>
    <s v="C"/>
    <x v="1"/>
    <x v="1"/>
    <x v="0"/>
    <x v="22"/>
    <x v="2"/>
    <n v="44.86"/>
    <n v="47.102999999999994"/>
    <n v="10"/>
    <s v="Ewallet"/>
    <x v="10"/>
    <n v="2.242999999999995"/>
  </r>
  <r>
    <s v="873-51-0671"/>
    <x v="66"/>
    <s v="A"/>
    <x v="0"/>
    <x v="0"/>
    <x v="0"/>
    <x v="11"/>
    <x v="2"/>
    <n v="21.98"/>
    <n v="23.079000000000001"/>
    <n v="7"/>
    <s v="Ewallet"/>
    <x v="17"/>
    <n v="1.0990000000000002"/>
  </r>
  <r>
    <s v="152-08-9985"/>
    <x v="67"/>
    <s v="B"/>
    <x v="2"/>
    <x v="0"/>
    <x v="1"/>
    <x v="10"/>
    <x v="0"/>
    <n v="64.36"/>
    <n v="67.578000000000003"/>
    <n v="9"/>
    <s v="Credit card"/>
    <x v="15"/>
    <n v="3.2180000000000035"/>
  </r>
  <r>
    <s v="512-91-0811"/>
    <x v="68"/>
    <s v="C"/>
    <x v="1"/>
    <x v="1"/>
    <x v="1"/>
    <x v="17"/>
    <x v="0"/>
    <n v="89.75"/>
    <n v="94.237499999999997"/>
    <n v="1"/>
    <s v="Credit card"/>
    <x v="29"/>
    <n v="4.4874999999999972"/>
  </r>
  <r>
    <s v="594-34-4444"/>
    <x v="69"/>
    <s v="A"/>
    <x v="0"/>
    <x v="1"/>
    <x v="1"/>
    <x v="1"/>
    <x v="1"/>
    <n v="97.16"/>
    <n v="102.018"/>
    <n v="1"/>
    <s v="Ewallet"/>
    <x v="6"/>
    <n v="4.8580000000000041"/>
  </r>
  <r>
    <s v="766-85-7061"/>
    <x v="70"/>
    <s v="B"/>
    <x v="2"/>
    <x v="1"/>
    <x v="1"/>
    <x v="17"/>
    <x v="0"/>
    <n v="87.87"/>
    <n v="92.263499999999993"/>
    <n v="10"/>
    <s v="Ewallet"/>
    <x v="17"/>
    <n v="4.3934999999999889"/>
  </r>
  <r>
    <s v="871-39-9221"/>
    <x v="71"/>
    <s v="C"/>
    <x v="1"/>
    <x v="1"/>
    <x v="0"/>
    <x v="1"/>
    <x v="1"/>
    <n v="12.45"/>
    <n v="13.0725"/>
    <n v="6"/>
    <s v="Cash"/>
    <x v="4"/>
    <n v="0.6225000000000005"/>
  </r>
  <r>
    <s v="865-92-6136"/>
    <x v="72"/>
    <s v="A"/>
    <x v="0"/>
    <x v="1"/>
    <x v="1"/>
    <x v="21"/>
    <x v="4"/>
    <n v="52.75"/>
    <n v="55.387499999999996"/>
    <n v="3"/>
    <s v="Ewallet"/>
    <x v="30"/>
    <n v="2.6374999999999957"/>
  </r>
  <r>
    <s v="551-21-3069"/>
    <x v="73"/>
    <s v="C"/>
    <x v="1"/>
    <x v="1"/>
    <x v="0"/>
    <x v="1"/>
    <x v="1"/>
    <n v="23.07"/>
    <n v="24.223500000000001"/>
    <n v="9"/>
    <s v="Cash"/>
    <x v="42"/>
    <n v="1.1535000000000011"/>
  </r>
  <r>
    <s v="212-62-1842"/>
    <x v="74"/>
    <s v="A"/>
    <x v="0"/>
    <x v="1"/>
    <x v="1"/>
    <x v="21"/>
    <x v="4"/>
    <n v="58.26"/>
    <n v="61.173000000000002"/>
    <n v="6"/>
    <s v="Cash"/>
    <x v="18"/>
    <n v="2.9130000000000038"/>
  </r>
  <r>
    <s v="716-39-1409"/>
    <x v="75"/>
    <s v="B"/>
    <x v="2"/>
    <x v="1"/>
    <x v="1"/>
    <x v="0"/>
    <x v="0"/>
    <n v="30.35"/>
    <n v="31.8675"/>
    <n v="7"/>
    <s v="Cash"/>
    <x v="43"/>
    <n v="1.5174999999999983"/>
  </r>
  <r>
    <s v="704-48-3927"/>
    <x v="76"/>
    <s v="A"/>
    <x v="0"/>
    <x v="0"/>
    <x v="1"/>
    <x v="4"/>
    <x v="1"/>
    <n v="88.67"/>
    <n v="93.103499999999997"/>
    <n v="10"/>
    <s v="Ewallet"/>
    <x v="40"/>
    <n v="4.4334999999999951"/>
  </r>
  <r>
    <s v="630-74-5166"/>
    <x v="77"/>
    <s v="A"/>
    <x v="0"/>
    <x v="1"/>
    <x v="1"/>
    <x v="22"/>
    <x v="2"/>
    <n v="62.13"/>
    <n v="65.236499999999992"/>
    <n v="6"/>
    <s v="Cash"/>
    <x v="20"/>
    <n v="3.1064999999999898"/>
  </r>
  <r>
    <s v="588-01-7461"/>
    <x v="78"/>
    <s v="C"/>
    <x v="1"/>
    <x v="1"/>
    <x v="0"/>
    <x v="7"/>
    <x v="4"/>
    <n v="33.979999999999997"/>
    <n v="35.679000000000002"/>
    <n v="9"/>
    <s v="Cash"/>
    <x v="44"/>
    <n v="1.6990000000000052"/>
  </r>
  <r>
    <s v="861-77-0145"/>
    <x v="79"/>
    <s v="C"/>
    <x v="1"/>
    <x v="0"/>
    <x v="1"/>
    <x v="1"/>
    <x v="1"/>
    <n v="81.97"/>
    <n v="86.0685"/>
    <n v="10"/>
    <s v="Cash"/>
    <x v="45"/>
    <n v="4.0985000000000014"/>
  </r>
  <r>
    <s v="479-26-8945"/>
    <x v="80"/>
    <s v="B"/>
    <x v="2"/>
    <x v="0"/>
    <x v="0"/>
    <x v="22"/>
    <x v="2"/>
    <n v="16.489999999999998"/>
    <n v="17.314499999999999"/>
    <n v="2"/>
    <s v="Ewallet"/>
    <x v="13"/>
    <n v="0.82450000000000045"/>
  </r>
  <r>
    <s v="210-67-5886"/>
    <x v="81"/>
    <s v="C"/>
    <x v="1"/>
    <x v="0"/>
    <x v="0"/>
    <x v="10"/>
    <x v="0"/>
    <n v="98.21"/>
    <n v="103.12049999999999"/>
    <n v="3"/>
    <s v="Credit card"/>
    <x v="46"/>
    <n v="4.910499999999999"/>
  </r>
  <r>
    <s v="642-32-2990"/>
    <x v="82"/>
    <s v="A"/>
    <x v="0"/>
    <x v="1"/>
    <x v="0"/>
    <x v="7"/>
    <x v="4"/>
    <n v="10.96"/>
    <n v="11.507999999999999"/>
    <n v="10"/>
    <s v="Ewallet"/>
    <x v="19"/>
    <n v="0.54799999999999827"/>
  </r>
  <r>
    <s v="638-60-7125"/>
    <x v="83"/>
    <s v="A"/>
    <x v="0"/>
    <x v="1"/>
    <x v="0"/>
    <x v="1"/>
    <x v="1"/>
    <n v="99.56"/>
    <n v="104.538"/>
    <n v="8"/>
    <s v="Credit card"/>
    <x v="47"/>
    <n v="4.9779999999999944"/>
  </r>
  <r>
    <s v="659-36-1684"/>
    <x v="84"/>
    <s v="C"/>
    <x v="1"/>
    <x v="0"/>
    <x v="1"/>
    <x v="22"/>
    <x v="2"/>
    <n v="57.12"/>
    <n v="59.975999999999999"/>
    <n v="7"/>
    <s v="Credit card"/>
    <x v="48"/>
    <n v="2.8560000000000016"/>
  </r>
  <r>
    <s v="219-22-9386"/>
    <x v="85"/>
    <s v="B"/>
    <x v="2"/>
    <x v="0"/>
    <x v="1"/>
    <x v="22"/>
    <x v="2"/>
    <n v="99.96"/>
    <n v="104.958"/>
    <n v="9"/>
    <s v="Credit card"/>
    <x v="44"/>
    <n v="4.9980000000000047"/>
  </r>
  <r>
    <s v="870-54-3162"/>
    <x v="86"/>
    <s v="A"/>
    <x v="0"/>
    <x v="1"/>
    <x v="0"/>
    <x v="22"/>
    <x v="2"/>
    <n v="32.25"/>
    <n v="33.862499999999997"/>
    <n v="5"/>
    <s v="Cash"/>
    <x v="49"/>
    <n v="1.6124999999999972"/>
  </r>
  <r>
    <s v="663-86-9076"/>
    <x v="87"/>
    <s v="C"/>
    <x v="1"/>
    <x v="0"/>
    <x v="0"/>
    <x v="7"/>
    <x v="4"/>
    <n v="68.540000000000006"/>
    <n v="71.966999999999999"/>
    <n v="8"/>
    <s v="Ewallet"/>
    <x v="28"/>
    <n v="3.4269999999999925"/>
  </r>
  <r>
    <s v="549-84-7482"/>
    <x v="88"/>
    <s v="B"/>
    <x v="2"/>
    <x v="1"/>
    <x v="0"/>
    <x v="15"/>
    <x v="2"/>
    <n v="90.28"/>
    <n v="94.793999999999997"/>
    <n v="9"/>
    <s v="Ewallet"/>
    <x v="6"/>
    <n v="4.5139999999999958"/>
  </r>
  <r>
    <s v="802-70-5316"/>
    <x v="89"/>
    <s v="A"/>
    <x v="0"/>
    <x v="0"/>
    <x v="0"/>
    <x v="11"/>
    <x v="2"/>
    <n v="92.13"/>
    <n v="96.736499999999992"/>
    <n v="6"/>
    <s v="Cash"/>
    <x v="39"/>
    <n v="4.6064999999999969"/>
  </r>
  <r>
    <s v="695-51-0018"/>
    <x v="90"/>
    <s v="B"/>
    <x v="2"/>
    <x v="1"/>
    <x v="0"/>
    <x v="3"/>
    <x v="2"/>
    <n v="34.840000000000003"/>
    <n v="36.582000000000001"/>
    <n v="4"/>
    <s v="Cash"/>
    <x v="20"/>
    <n v="1.7419999999999973"/>
  </r>
  <r>
    <s v="590-83-4591"/>
    <x v="91"/>
    <s v="B"/>
    <x v="2"/>
    <x v="0"/>
    <x v="1"/>
    <x v="1"/>
    <x v="1"/>
    <n v="87.45"/>
    <n v="91.822499999999991"/>
    <n v="6"/>
    <s v="Credit card"/>
    <x v="50"/>
    <n v="4.3724999999999881"/>
  </r>
  <r>
    <s v="483-71-1164"/>
    <x v="92"/>
    <s v="C"/>
    <x v="1"/>
    <x v="1"/>
    <x v="0"/>
    <x v="10"/>
    <x v="0"/>
    <n v="81.3"/>
    <n v="85.365000000000009"/>
    <n v="6"/>
    <s v="Ewallet"/>
    <x v="3"/>
    <n v="4.0650000000000119"/>
  </r>
  <r>
    <s v="700-81-1757"/>
    <x v="93"/>
    <s v="A"/>
    <x v="0"/>
    <x v="1"/>
    <x v="0"/>
    <x v="5"/>
    <x v="1"/>
    <n v="26.31"/>
    <n v="27.625499999999999"/>
    <n v="5"/>
    <s v="Credit card"/>
    <x v="50"/>
    <n v="1.3155000000000001"/>
  </r>
  <r>
    <s v="241-72-9525"/>
    <x v="94"/>
    <s v="B"/>
    <x v="2"/>
    <x v="1"/>
    <x v="1"/>
    <x v="18"/>
    <x v="2"/>
    <n v="51.91"/>
    <n v="54.505499999999998"/>
    <n v="10"/>
    <s v="Cash"/>
    <x v="10"/>
    <n v="2.5955000000000013"/>
  </r>
  <r>
    <s v="575-30-8091"/>
    <x v="95"/>
    <s v="A"/>
    <x v="0"/>
    <x v="1"/>
    <x v="1"/>
    <x v="18"/>
    <x v="2"/>
    <n v="72.5"/>
    <n v="76.125"/>
    <n v="8"/>
    <s v="Ewallet"/>
    <x v="45"/>
    <n v="3.625"/>
  </r>
  <r>
    <s v="731-81-9469"/>
    <x v="96"/>
    <s v="C"/>
    <x v="1"/>
    <x v="0"/>
    <x v="0"/>
    <x v="18"/>
    <x v="2"/>
    <n v="89.8"/>
    <n v="94.289999999999992"/>
    <n v="10"/>
    <s v="Credit card"/>
    <x v="37"/>
    <n v="4.4899999999999949"/>
  </r>
  <r>
    <s v="280-17-4359"/>
    <x v="97"/>
    <s v="C"/>
    <x v="1"/>
    <x v="0"/>
    <x v="1"/>
    <x v="0"/>
    <x v="0"/>
    <n v="90.5"/>
    <n v="95.025000000000006"/>
    <n v="10"/>
    <s v="Cash"/>
    <x v="27"/>
    <n v="4.5250000000000057"/>
  </r>
  <r>
    <s v="338-65-2210"/>
    <x v="98"/>
    <s v="C"/>
    <x v="1"/>
    <x v="0"/>
    <x v="0"/>
    <x v="0"/>
    <x v="0"/>
    <n v="68.599999999999994"/>
    <n v="72.03"/>
    <n v="10"/>
    <s v="Cash"/>
    <x v="0"/>
    <n v="3.4300000000000068"/>
  </r>
  <r>
    <s v="488-25-4221"/>
    <x v="99"/>
    <s v="C"/>
    <x v="1"/>
    <x v="0"/>
    <x v="0"/>
    <x v="7"/>
    <x v="4"/>
    <n v="30.41"/>
    <n v="31.930499999999999"/>
    <n v="1"/>
    <s v="Credit card"/>
    <x v="2"/>
    <n v="1.5204999999999984"/>
  </r>
  <r>
    <s v="458-41-1477"/>
    <x v="100"/>
    <s v="C"/>
    <x v="1"/>
    <x v="1"/>
    <x v="0"/>
    <x v="17"/>
    <x v="0"/>
    <n v="46.26"/>
    <n v="48.573"/>
    <n v="6"/>
    <s v="Credit card"/>
    <x v="26"/>
    <n v="2.3130000000000024"/>
  </r>
  <r>
    <s v="568-90-5112"/>
    <x v="101"/>
    <s v="C"/>
    <x v="1"/>
    <x v="1"/>
    <x v="1"/>
    <x v="0"/>
    <x v="0"/>
    <n v="66.14"/>
    <n v="69.447000000000003"/>
    <n v="4"/>
    <s v="Credit card"/>
    <x v="25"/>
    <n v="3.3070000000000022"/>
  </r>
  <r>
    <s v="238-49-0436"/>
    <x v="102"/>
    <s v="A"/>
    <x v="0"/>
    <x v="1"/>
    <x v="1"/>
    <x v="17"/>
    <x v="0"/>
    <n v="32.46"/>
    <n v="34.082999999999998"/>
    <n v="8"/>
    <s v="Credit card"/>
    <x v="42"/>
    <n v="1.6229999999999976"/>
  </r>
  <r>
    <s v="584-86-7256"/>
    <x v="103"/>
    <s v="C"/>
    <x v="1"/>
    <x v="0"/>
    <x v="1"/>
    <x v="18"/>
    <x v="2"/>
    <n v="34.56"/>
    <n v="36.287999999999997"/>
    <n v="7"/>
    <s v="Credit card"/>
    <x v="40"/>
    <n v="1.7279999999999944"/>
  </r>
  <r>
    <s v="214-17-6927"/>
    <x v="104"/>
    <s v="C"/>
    <x v="1"/>
    <x v="1"/>
    <x v="0"/>
    <x v="7"/>
    <x v="4"/>
    <n v="16.48"/>
    <n v="17.303999999999998"/>
    <n v="6"/>
    <s v="Ewallet"/>
    <x v="18"/>
    <n v="0.82399999999999807"/>
  </r>
  <r>
    <s v="400-89-4171"/>
    <x v="105"/>
    <s v="C"/>
    <x v="1"/>
    <x v="1"/>
    <x v="0"/>
    <x v="18"/>
    <x v="2"/>
    <n v="80.97"/>
    <n v="85.018500000000003"/>
    <n v="8"/>
    <s v="Cash"/>
    <x v="30"/>
    <n v="4.0485000000000042"/>
  </r>
  <r>
    <s v="782-95-9291"/>
    <x v="106"/>
    <s v="A"/>
    <x v="0"/>
    <x v="0"/>
    <x v="1"/>
    <x v="7"/>
    <x v="4"/>
    <n v="92.29"/>
    <n v="96.904499999999999"/>
    <n v="5"/>
    <s v="Credit card"/>
    <x v="49"/>
    <n v="4.6144999999999925"/>
  </r>
  <r>
    <s v="279-74-2924"/>
    <x v="107"/>
    <s v="B"/>
    <x v="2"/>
    <x v="0"/>
    <x v="1"/>
    <x v="1"/>
    <x v="1"/>
    <n v="72.17"/>
    <n v="75.778499999999994"/>
    <n v="1"/>
    <s v="Cash"/>
    <x v="41"/>
    <n v="3.6084999999999923"/>
  </r>
  <r>
    <s v="743-04-1105"/>
    <x v="108"/>
    <s v="B"/>
    <x v="2"/>
    <x v="0"/>
    <x v="1"/>
    <x v="17"/>
    <x v="0"/>
    <n v="97.22"/>
    <n v="102.081"/>
    <n v="9"/>
    <s v="Ewallet"/>
    <x v="19"/>
    <n v="4.8610000000000042"/>
  </r>
  <r>
    <s v="423-57-2993"/>
    <x v="109"/>
    <s v="B"/>
    <x v="2"/>
    <x v="1"/>
    <x v="1"/>
    <x v="18"/>
    <x v="2"/>
    <n v="93.39"/>
    <n v="98.0595"/>
    <n v="6"/>
    <s v="Ewallet"/>
    <x v="31"/>
    <n v="4.6694999999999993"/>
  </r>
  <r>
    <s v="894-41-5205"/>
    <x v="110"/>
    <s v="C"/>
    <x v="1"/>
    <x v="1"/>
    <x v="0"/>
    <x v="9"/>
    <x v="4"/>
    <n v="43.18"/>
    <n v="45.338999999999999"/>
    <n v="8"/>
    <s v="Credit card"/>
    <x v="39"/>
    <n v="2.1589999999999989"/>
  </r>
  <r>
    <s v="275-28-0149"/>
    <x v="111"/>
    <s v="A"/>
    <x v="0"/>
    <x v="1"/>
    <x v="1"/>
    <x v="18"/>
    <x v="2"/>
    <n v="63.69"/>
    <n v="66.874499999999998"/>
    <n v="1"/>
    <s v="Cash"/>
    <x v="19"/>
    <n v="3.1844999999999999"/>
  </r>
  <r>
    <s v="101-17-6199"/>
    <x v="112"/>
    <s v="A"/>
    <x v="0"/>
    <x v="1"/>
    <x v="1"/>
    <x v="7"/>
    <x v="4"/>
    <n v="45.79"/>
    <n v="48.079500000000003"/>
    <n v="7"/>
    <s v="Credit card"/>
    <x v="22"/>
    <n v="2.2895000000000039"/>
  </r>
  <r>
    <s v="423-80-0988"/>
    <x v="113"/>
    <s v="C"/>
    <x v="1"/>
    <x v="1"/>
    <x v="1"/>
    <x v="11"/>
    <x v="2"/>
    <n v="76.400000000000006"/>
    <n v="80.22"/>
    <n v="2"/>
    <s v="Ewallet"/>
    <x v="48"/>
    <n v="3.8199999999999932"/>
  </r>
  <r>
    <s v="548-46-9322"/>
    <x v="114"/>
    <s v="B"/>
    <x v="2"/>
    <x v="1"/>
    <x v="1"/>
    <x v="7"/>
    <x v="4"/>
    <n v="39.9"/>
    <n v="41.894999999999996"/>
    <n v="10"/>
    <s v="Credit card"/>
    <x v="7"/>
    <n v="1.9949999999999974"/>
  </r>
  <r>
    <s v="505-02-0892"/>
    <x v="115"/>
    <s v="B"/>
    <x v="2"/>
    <x v="0"/>
    <x v="1"/>
    <x v="10"/>
    <x v="0"/>
    <n v="42.57"/>
    <n v="44.698500000000003"/>
    <n v="8"/>
    <s v="Ewallet"/>
    <x v="25"/>
    <n v="2.1285000000000025"/>
  </r>
  <r>
    <s v="796-32-9050"/>
    <x v="116"/>
    <s v="A"/>
    <x v="0"/>
    <x v="1"/>
    <x v="1"/>
    <x v="7"/>
    <x v="4"/>
    <n v="51.28"/>
    <n v="53.844000000000001"/>
    <n v="6"/>
    <s v="Cash"/>
    <x v="48"/>
    <n v="2.5640000000000001"/>
  </r>
  <r>
    <s v="105-31-1824"/>
    <x v="117"/>
    <s v="A"/>
    <x v="0"/>
    <x v="0"/>
    <x v="1"/>
    <x v="3"/>
    <x v="2"/>
    <n v="69.52"/>
    <n v="72.995999999999995"/>
    <n v="7"/>
    <s v="Credit card"/>
    <x v="28"/>
    <n v="3.4759999999999991"/>
  </r>
  <r>
    <s v="249-42-3782"/>
    <x v="118"/>
    <s v="A"/>
    <x v="0"/>
    <x v="1"/>
    <x v="1"/>
    <x v="0"/>
    <x v="0"/>
    <n v="70.010000000000005"/>
    <n v="73.510500000000008"/>
    <n v="5"/>
    <s v="Ewallet"/>
    <x v="38"/>
    <n v="3.5005000000000024"/>
  </r>
  <r>
    <s v="316-55-4634"/>
    <x v="119"/>
    <s v="B"/>
    <x v="2"/>
    <x v="0"/>
    <x v="1"/>
    <x v="7"/>
    <x v="4"/>
    <n v="80.05"/>
    <n v="84.052499999999995"/>
    <n v="5"/>
    <s v="Credit card"/>
    <x v="51"/>
    <n v="4.0024999999999977"/>
  </r>
  <r>
    <s v="733-33-4967"/>
    <x v="120"/>
    <s v="C"/>
    <x v="1"/>
    <x v="1"/>
    <x v="1"/>
    <x v="1"/>
    <x v="1"/>
    <n v="20.85"/>
    <n v="21.892499999999998"/>
    <n v="8"/>
    <s v="Cash"/>
    <x v="52"/>
    <n v="1.0424999999999969"/>
  </r>
  <r>
    <s v="608-27-6295"/>
    <x v="121"/>
    <s v="B"/>
    <x v="2"/>
    <x v="0"/>
    <x v="1"/>
    <x v="25"/>
    <x v="1"/>
    <n v="52.89"/>
    <n v="55.534500000000001"/>
    <n v="6"/>
    <s v="Credit card"/>
    <x v="53"/>
    <n v="2.6445000000000007"/>
  </r>
  <r>
    <s v="414-12-7047"/>
    <x v="122"/>
    <s v="B"/>
    <x v="2"/>
    <x v="1"/>
    <x v="1"/>
    <x v="7"/>
    <x v="4"/>
    <n v="19.79"/>
    <n v="20.779499999999999"/>
    <n v="8"/>
    <s v="Ewallet"/>
    <x v="36"/>
    <n v="0.9894999999999996"/>
  </r>
  <r>
    <s v="175-54-2529"/>
    <x v="123"/>
    <s v="A"/>
    <x v="0"/>
    <x v="0"/>
    <x v="1"/>
    <x v="7"/>
    <x v="4"/>
    <n v="22.17"/>
    <n v="23.278500000000001"/>
    <n v="8"/>
    <s v="Credit card"/>
    <x v="1"/>
    <n v="1.1084999999999994"/>
  </r>
  <r>
    <s v="407-63-8975"/>
    <x v="124"/>
    <s v="A"/>
    <x v="0"/>
    <x v="1"/>
    <x v="1"/>
    <x v="9"/>
    <x v="4"/>
    <n v="73.88"/>
    <n v="77.573999999999998"/>
    <n v="6"/>
    <s v="Ewallet"/>
    <x v="54"/>
    <n v="3.6940000000000026"/>
  </r>
  <r>
    <s v="342-65-4817"/>
    <x v="125"/>
    <s v="C"/>
    <x v="1"/>
    <x v="0"/>
    <x v="1"/>
    <x v="17"/>
    <x v="0"/>
    <n v="86.8"/>
    <n v="91.14"/>
    <n v="3"/>
    <s v="Ewallet"/>
    <x v="18"/>
    <n v="4.3400000000000034"/>
  </r>
  <r>
    <s v="434-83-9547"/>
    <x v="126"/>
    <s v="C"/>
    <x v="1"/>
    <x v="0"/>
    <x v="1"/>
    <x v="7"/>
    <x v="4"/>
    <n v="38.47"/>
    <n v="40.393500000000003"/>
    <n v="8"/>
    <s v="Cash"/>
    <x v="55"/>
    <n v="1.9235000000000042"/>
  </r>
  <r>
    <s v="851-28-6367"/>
    <x v="127"/>
    <s v="A"/>
    <x v="0"/>
    <x v="0"/>
    <x v="1"/>
    <x v="13"/>
    <x v="2"/>
    <n v="15.5"/>
    <n v="16.274999999999999"/>
    <n v="10"/>
    <s v="Ewallet"/>
    <x v="43"/>
    <n v="0.77499999999999858"/>
  </r>
  <r>
    <s v="824-88-3614"/>
    <x v="128"/>
    <s v="C"/>
    <x v="1"/>
    <x v="1"/>
    <x v="1"/>
    <x v="0"/>
    <x v="0"/>
    <n v="34.31"/>
    <n v="36.025500000000001"/>
    <n v="8"/>
    <s v="Ewallet"/>
    <x v="11"/>
    <n v="1.7154999999999987"/>
  </r>
  <r>
    <s v="586-25-0848"/>
    <x v="129"/>
    <s v="A"/>
    <x v="0"/>
    <x v="1"/>
    <x v="0"/>
    <x v="13"/>
    <x v="2"/>
    <n v="12.34"/>
    <n v="12.956999999999999"/>
    <n v="7"/>
    <s v="Credit card"/>
    <x v="32"/>
    <n v="0.6169999999999991"/>
  </r>
  <r>
    <s v="895-66-0685"/>
    <x v="130"/>
    <s v="B"/>
    <x v="2"/>
    <x v="0"/>
    <x v="1"/>
    <x v="7"/>
    <x v="4"/>
    <n v="18.079999999999998"/>
    <n v="18.983999999999998"/>
    <n v="3"/>
    <s v="Ewallet"/>
    <x v="43"/>
    <n v="0.90399999999999991"/>
  </r>
  <r>
    <s v="286-43-6208"/>
    <x v="131"/>
    <s v="C"/>
    <x v="1"/>
    <x v="1"/>
    <x v="0"/>
    <x v="7"/>
    <x v="4"/>
    <n v="87.8"/>
    <n v="92.19"/>
    <n v="9"/>
    <s v="Cash"/>
    <x v="45"/>
    <n v="4.3900000000000006"/>
  </r>
  <r>
    <s v="831-07-6050"/>
    <x v="132"/>
    <s v="A"/>
    <x v="0"/>
    <x v="1"/>
    <x v="1"/>
    <x v="1"/>
    <x v="1"/>
    <n v="32.71"/>
    <n v="34.345500000000001"/>
    <n v="5"/>
    <s v="Credit card"/>
    <x v="18"/>
    <n v="1.6355000000000004"/>
  </r>
  <r>
    <s v="848-24-9445"/>
    <x v="133"/>
    <s v="C"/>
    <x v="1"/>
    <x v="0"/>
    <x v="1"/>
    <x v="0"/>
    <x v="0"/>
    <n v="43.7"/>
    <n v="45.884999999999998"/>
    <n v="2"/>
    <s v="Cash"/>
    <x v="42"/>
    <n v="2.1849999999999952"/>
  </r>
  <r>
    <s v="699-01-4164"/>
    <x v="134"/>
    <s v="C"/>
    <x v="1"/>
    <x v="1"/>
    <x v="1"/>
    <x v="0"/>
    <x v="0"/>
    <n v="41.5"/>
    <n v="43.575000000000003"/>
    <n v="4"/>
    <s v="Credit card"/>
    <x v="10"/>
    <n v="2.0750000000000028"/>
  </r>
  <r>
    <s v="420-11-4919"/>
    <x v="135"/>
    <s v="C"/>
    <x v="1"/>
    <x v="0"/>
    <x v="0"/>
    <x v="7"/>
    <x v="4"/>
    <n v="71.39"/>
    <n v="74.959500000000006"/>
    <n v="5"/>
    <s v="Credit card"/>
    <x v="38"/>
    <n v="3.569500000000005"/>
  </r>
  <r>
    <s v="606-80-4905"/>
    <x v="136"/>
    <s v="C"/>
    <x v="1"/>
    <x v="0"/>
    <x v="0"/>
    <x v="13"/>
    <x v="2"/>
    <n v="19.149999999999999"/>
    <n v="20.107499999999998"/>
    <n v="6"/>
    <s v="Credit card"/>
    <x v="8"/>
    <n v="0.95749999999999957"/>
  </r>
  <r>
    <s v="542-41-0513"/>
    <x v="137"/>
    <s v="B"/>
    <x v="2"/>
    <x v="0"/>
    <x v="0"/>
    <x v="1"/>
    <x v="1"/>
    <n v="57.49"/>
    <n v="60.3645"/>
    <n v="4"/>
    <s v="Cash"/>
    <x v="29"/>
    <n v="2.8744999999999976"/>
  </r>
  <r>
    <s v="426-39-2418"/>
    <x v="138"/>
    <s v="C"/>
    <x v="1"/>
    <x v="1"/>
    <x v="1"/>
    <x v="4"/>
    <x v="1"/>
    <n v="61.41"/>
    <n v="64.480499999999992"/>
    <n v="7"/>
    <s v="Cash"/>
    <x v="53"/>
    <n v="3.0704999999999956"/>
  </r>
  <r>
    <s v="875-46-5808"/>
    <x v="139"/>
    <s v="B"/>
    <x v="2"/>
    <x v="0"/>
    <x v="1"/>
    <x v="17"/>
    <x v="0"/>
    <n v="25.9"/>
    <n v="27.195"/>
    <n v="10"/>
    <s v="Ewallet"/>
    <x v="36"/>
    <n v="1.2950000000000017"/>
  </r>
  <r>
    <s v="749-24-1565"/>
    <x v="140"/>
    <s v="A"/>
    <x v="0"/>
    <x v="1"/>
    <x v="0"/>
    <x v="0"/>
    <x v="0"/>
    <n v="23.03"/>
    <n v="24.1815"/>
    <n v="9"/>
    <s v="Ewallet"/>
    <x v="56"/>
    <n v="1.1514999999999986"/>
  </r>
  <r>
    <s v="672-51-8681"/>
    <x v="141"/>
    <s v="C"/>
    <x v="1"/>
    <x v="0"/>
    <x v="0"/>
    <x v="4"/>
    <x v="1"/>
    <n v="66.650000000000006"/>
    <n v="69.982500000000002"/>
    <n v="9"/>
    <s v="Credit card"/>
    <x v="57"/>
    <n v="3.332499999999996"/>
  </r>
  <r>
    <s v="817-69-8206"/>
    <x v="142"/>
    <s v="B"/>
    <x v="2"/>
    <x v="1"/>
    <x v="0"/>
    <x v="4"/>
    <x v="1"/>
    <n v="99.73"/>
    <n v="104.7165"/>
    <n v="9"/>
    <s v="Credit card"/>
    <x v="48"/>
    <n v="4.9864999999999924"/>
  </r>
  <r>
    <s v="888-02-0338"/>
    <x v="143"/>
    <s v="A"/>
    <x v="0"/>
    <x v="1"/>
    <x v="1"/>
    <x v="4"/>
    <x v="1"/>
    <n v="26.23"/>
    <n v="27.541499999999999"/>
    <n v="9"/>
    <s v="Ewallet"/>
    <x v="7"/>
    <n v="1.3114999999999988"/>
  </r>
  <r>
    <s v="677-11-0152"/>
    <x v="144"/>
    <s v="C"/>
    <x v="1"/>
    <x v="1"/>
    <x v="0"/>
    <x v="7"/>
    <x v="4"/>
    <n v="93.26"/>
    <n v="97.923000000000002"/>
    <n v="9"/>
    <s v="Cash"/>
    <x v="50"/>
    <n v="4.6629999999999967"/>
  </r>
  <r>
    <s v="656-16-1063"/>
    <x v="145"/>
    <s v="B"/>
    <x v="2"/>
    <x v="1"/>
    <x v="1"/>
    <x v="13"/>
    <x v="2"/>
    <n v="46.42"/>
    <n v="48.741000000000007"/>
    <n v="3"/>
    <s v="Credit card"/>
    <x v="54"/>
    <n v="2.3210000000000051"/>
  </r>
  <r>
    <s v="891-58-8335"/>
    <x v="146"/>
    <s v="B"/>
    <x v="2"/>
    <x v="0"/>
    <x v="0"/>
    <x v="13"/>
    <x v="2"/>
    <n v="29.61"/>
    <n v="31.090499999999999"/>
    <n v="7"/>
    <s v="Cash"/>
    <x v="48"/>
    <n v="1.4804999999999993"/>
  </r>
  <r>
    <s v="560-30-5617"/>
    <x v="147"/>
    <s v="B"/>
    <x v="2"/>
    <x v="1"/>
    <x v="0"/>
    <x v="18"/>
    <x v="2"/>
    <n v="24.77"/>
    <n v="26.008499999999998"/>
    <n v="5"/>
    <s v="Cash"/>
    <x v="28"/>
    <n v="1.2384999999999984"/>
  </r>
  <r>
    <s v="319-74-2561"/>
    <x v="148"/>
    <s v="A"/>
    <x v="0"/>
    <x v="0"/>
    <x v="0"/>
    <x v="4"/>
    <x v="1"/>
    <n v="94.64"/>
    <n v="99.372"/>
    <n v="3"/>
    <s v="Cash"/>
    <x v="38"/>
    <n v="4.7319999999999993"/>
  </r>
  <r>
    <s v="790-29-1172"/>
    <x v="149"/>
    <s v="B"/>
    <x v="2"/>
    <x v="1"/>
    <x v="0"/>
    <x v="7"/>
    <x v="4"/>
    <n v="57.34"/>
    <n v="60.207000000000001"/>
    <n v="3"/>
    <s v="Credit card"/>
    <x v="56"/>
    <n v="2.8669999999999973"/>
  </r>
  <r>
    <s v="239-36-3640"/>
    <x v="150"/>
    <s v="B"/>
    <x v="2"/>
    <x v="1"/>
    <x v="1"/>
    <x v="5"/>
    <x v="1"/>
    <n v="45.35"/>
    <n v="47.6175"/>
    <n v="6"/>
    <s v="Ewallet"/>
    <x v="41"/>
    <n v="2.2674999999999983"/>
  </r>
  <r>
    <s v="468-01-2051"/>
    <x v="151"/>
    <s v="B"/>
    <x v="2"/>
    <x v="1"/>
    <x v="1"/>
    <x v="24"/>
    <x v="4"/>
    <n v="62.08"/>
    <n v="65.183999999999997"/>
    <n v="7"/>
    <s v="Ewallet"/>
    <x v="37"/>
    <n v="3.1039999999999992"/>
  </r>
  <r>
    <s v="389-25-3394"/>
    <x v="152"/>
    <s v="C"/>
    <x v="1"/>
    <x v="1"/>
    <x v="1"/>
    <x v="4"/>
    <x v="1"/>
    <n v="11.81"/>
    <n v="12.400499999999999"/>
    <n v="5"/>
    <s v="Cash"/>
    <x v="51"/>
    <n v="0.59049999999999869"/>
  </r>
  <r>
    <s v="213-72-6612"/>
    <x v="153"/>
    <s v="A"/>
    <x v="0"/>
    <x v="1"/>
    <x v="1"/>
    <x v="24"/>
    <x v="4"/>
    <n v="43.25"/>
    <n v="45.412500000000001"/>
    <n v="2"/>
    <s v="Cash"/>
    <x v="58"/>
    <n v="2.1625000000000014"/>
  </r>
  <r>
    <s v="746-68-6593"/>
    <x v="154"/>
    <s v="C"/>
    <x v="1"/>
    <x v="0"/>
    <x v="0"/>
    <x v="3"/>
    <x v="2"/>
    <n v="87.16"/>
    <n v="91.518000000000001"/>
    <n v="2"/>
    <s v="Credit card"/>
    <x v="57"/>
    <n v="4.3580000000000041"/>
  </r>
  <r>
    <s v="836-82-5858"/>
    <x v="155"/>
    <s v="B"/>
    <x v="2"/>
    <x v="0"/>
    <x v="1"/>
    <x v="17"/>
    <x v="0"/>
    <n v="69.37"/>
    <n v="72.83850000000001"/>
    <n v="9"/>
    <s v="Ewallet"/>
    <x v="35"/>
    <n v="3.4685000000000059"/>
  </r>
  <r>
    <s v="583-72-1480"/>
    <x v="156"/>
    <s v="C"/>
    <x v="1"/>
    <x v="0"/>
    <x v="1"/>
    <x v="4"/>
    <x v="1"/>
    <n v="37.06"/>
    <n v="38.912999999999997"/>
    <n v="4"/>
    <s v="Ewallet"/>
    <x v="57"/>
    <n v="1.8529999999999944"/>
  </r>
  <r>
    <s v="466-61-5506"/>
    <x v="157"/>
    <s v="B"/>
    <x v="2"/>
    <x v="0"/>
    <x v="0"/>
    <x v="4"/>
    <x v="1"/>
    <n v="90.7"/>
    <n v="95.234999999999999"/>
    <n v="6"/>
    <s v="Cash"/>
    <x v="3"/>
    <n v="4.5349999999999966"/>
  </r>
  <r>
    <s v="545-46-3100"/>
    <x v="158"/>
    <s v="B"/>
    <x v="2"/>
    <x v="0"/>
    <x v="0"/>
    <x v="4"/>
    <x v="1"/>
    <n v="10.59"/>
    <n v="11.1195"/>
    <n v="3"/>
    <s v="Credit card"/>
    <x v="36"/>
    <n v="0.52950000000000053"/>
  </r>
  <r>
    <s v="418-02-5978"/>
    <x v="159"/>
    <s v="B"/>
    <x v="2"/>
    <x v="1"/>
    <x v="0"/>
    <x v="0"/>
    <x v="0"/>
    <n v="84.09"/>
    <n v="88.294499999999999"/>
    <n v="9"/>
    <s v="Cash"/>
    <x v="43"/>
    <n v="4.2044999999999959"/>
  </r>
  <r>
    <s v="157-13-5295"/>
    <x v="160"/>
    <s v="A"/>
    <x v="0"/>
    <x v="0"/>
    <x v="1"/>
    <x v="17"/>
    <x v="0"/>
    <n v="51.94"/>
    <n v="54.536999999999999"/>
    <n v="10"/>
    <s v="Ewallet"/>
    <x v="48"/>
    <n v="2.5970000000000013"/>
  </r>
  <r>
    <s v="645-78-8093"/>
    <x v="161"/>
    <s v="A"/>
    <x v="0"/>
    <x v="1"/>
    <x v="0"/>
    <x v="11"/>
    <x v="2"/>
    <n v="93.14"/>
    <n v="97.796999999999997"/>
    <n v="2"/>
    <s v="Ewallet"/>
    <x v="4"/>
    <n v="4.6569999999999965"/>
  </r>
  <r>
    <s v="211-30-9270"/>
    <x v="162"/>
    <s v="C"/>
    <x v="1"/>
    <x v="1"/>
    <x v="1"/>
    <x v="0"/>
    <x v="0"/>
    <n v="17.41"/>
    <n v="18.2805"/>
    <n v="5"/>
    <s v="Credit card"/>
    <x v="42"/>
    <n v="0.87049999999999983"/>
  </r>
  <r>
    <s v="346-84-3103"/>
    <x v="163"/>
    <s v="B"/>
    <x v="2"/>
    <x v="0"/>
    <x v="0"/>
    <x v="4"/>
    <x v="1"/>
    <n v="13.22"/>
    <n v="13.881"/>
    <n v="5"/>
    <s v="Cash"/>
    <x v="34"/>
    <n v="0.66099999999999959"/>
  </r>
  <r>
    <s v="540-11-4336"/>
    <x v="164"/>
    <s v="A"/>
    <x v="0"/>
    <x v="1"/>
    <x v="1"/>
    <x v="9"/>
    <x v="4"/>
    <n v="24.94"/>
    <n v="26.186999999999998"/>
    <n v="9"/>
    <s v="Credit card"/>
    <x v="25"/>
    <n v="1.2469999999999963"/>
  </r>
  <r>
    <s v="448-81-5016"/>
    <x v="165"/>
    <s v="A"/>
    <x v="0"/>
    <x v="1"/>
    <x v="1"/>
    <x v="17"/>
    <x v="0"/>
    <n v="59.77"/>
    <n v="62.758499999999998"/>
    <n v="2"/>
    <s v="Credit card"/>
    <x v="5"/>
    <n v="2.9884999999999948"/>
  </r>
  <r>
    <s v="866-05-7563"/>
    <x v="166"/>
    <s v="B"/>
    <x v="2"/>
    <x v="0"/>
    <x v="0"/>
    <x v="4"/>
    <x v="1"/>
    <n v="81.400000000000006"/>
    <n v="85.470000000000013"/>
    <n v="3"/>
    <s v="Cash"/>
    <x v="16"/>
    <n v="4.0700000000000074"/>
  </r>
  <r>
    <s v="799-71-1548"/>
    <x v="167"/>
    <s v="A"/>
    <x v="0"/>
    <x v="0"/>
    <x v="1"/>
    <x v="4"/>
    <x v="1"/>
    <n v="77.72"/>
    <n v="81.605999999999995"/>
    <n v="4"/>
    <s v="Credit card"/>
    <x v="50"/>
    <n v="3.8859999999999957"/>
  </r>
  <r>
    <s v="785-13-7708"/>
    <x v="168"/>
    <s v="B"/>
    <x v="2"/>
    <x v="1"/>
    <x v="1"/>
    <x v="24"/>
    <x v="4"/>
    <n v="73.06"/>
    <n v="76.712999999999994"/>
    <n v="7"/>
    <s v="Credit card"/>
    <x v="44"/>
    <n v="3.6529999999999916"/>
  </r>
  <r>
    <s v="845-51-0542"/>
    <x v="169"/>
    <s v="B"/>
    <x v="2"/>
    <x v="0"/>
    <x v="1"/>
    <x v="24"/>
    <x v="4"/>
    <n v="46.55"/>
    <n v="48.877499999999998"/>
    <n v="9"/>
    <s v="Ewallet"/>
    <x v="33"/>
    <n v="2.3275000000000006"/>
  </r>
  <r>
    <s v="883-17-4236"/>
    <x v="170"/>
    <s v="C"/>
    <x v="1"/>
    <x v="1"/>
    <x v="0"/>
    <x v="18"/>
    <x v="2"/>
    <n v="14.39"/>
    <n v="15.109500000000001"/>
    <n v="2"/>
    <s v="Credit card"/>
    <x v="6"/>
    <n v="0.71950000000000003"/>
  </r>
  <r>
    <s v="366-93-0948"/>
    <x v="171"/>
    <s v="A"/>
    <x v="0"/>
    <x v="0"/>
    <x v="1"/>
    <x v="4"/>
    <x v="1"/>
    <n v="66.349999999999994"/>
    <n v="69.667500000000004"/>
    <n v="1"/>
    <s v="Credit card"/>
    <x v="57"/>
    <n v="3.3175000000000097"/>
  </r>
  <r>
    <s v="151-16-1484"/>
    <x v="172"/>
    <s v="A"/>
    <x v="0"/>
    <x v="0"/>
    <x v="1"/>
    <x v="4"/>
    <x v="1"/>
    <n v="32.25"/>
    <n v="33.862499999999997"/>
    <n v="4"/>
    <s v="Ewallet"/>
    <x v="48"/>
    <n v="1.6124999999999972"/>
  </r>
  <r>
    <s v="380-94-4661"/>
    <x v="173"/>
    <s v="C"/>
    <x v="1"/>
    <x v="0"/>
    <x v="1"/>
    <x v="4"/>
    <x v="1"/>
    <n v="65.94"/>
    <n v="69.236999999999995"/>
    <n v="4"/>
    <s v="Credit card"/>
    <x v="14"/>
    <n v="3.296999999999997"/>
  </r>
  <r>
    <s v="850-41-9669"/>
    <x v="174"/>
    <s v="A"/>
    <x v="0"/>
    <x v="1"/>
    <x v="0"/>
    <x v="5"/>
    <x v="1"/>
    <n v="75.06"/>
    <n v="78.813000000000002"/>
    <n v="9"/>
    <s v="Ewallet"/>
    <x v="58"/>
    <n v="3.7530000000000001"/>
  </r>
  <r>
    <s v="447-15-7839"/>
    <x v="175"/>
    <s v="A"/>
    <x v="0"/>
    <x v="0"/>
    <x v="0"/>
    <x v="18"/>
    <x v="2"/>
    <n v="22.24"/>
    <n v="23.352"/>
    <n v="10"/>
    <s v="Cash"/>
    <x v="44"/>
    <n v="1.1120000000000019"/>
  </r>
  <r>
    <s v="154-74-7179"/>
    <x v="176"/>
    <s v="B"/>
    <x v="2"/>
    <x v="1"/>
    <x v="1"/>
    <x v="15"/>
    <x v="2"/>
    <n v="54.45"/>
    <n v="57.172499999999999"/>
    <n v="1"/>
    <s v="Ewallet"/>
    <x v="56"/>
    <n v="2.7224999999999966"/>
  </r>
  <r>
    <s v="253-12-6086"/>
    <x v="177"/>
    <s v="A"/>
    <x v="0"/>
    <x v="0"/>
    <x v="0"/>
    <x v="18"/>
    <x v="2"/>
    <n v="98.4"/>
    <n v="103.32000000000001"/>
    <n v="7"/>
    <s v="Credit card"/>
    <x v="36"/>
    <n v="4.9200000000000017"/>
  </r>
  <r>
    <s v="571-94-0759"/>
    <x v="178"/>
    <s v="B"/>
    <x v="2"/>
    <x v="0"/>
    <x v="0"/>
    <x v="24"/>
    <x v="4"/>
    <n v="74.599999999999994"/>
    <n v="78.33"/>
    <n v="10"/>
    <s v="Cash"/>
    <x v="26"/>
    <n v="3.730000000000004"/>
  </r>
  <r>
    <s v="783-09-1637"/>
    <x v="179"/>
    <s v="B"/>
    <x v="2"/>
    <x v="1"/>
    <x v="0"/>
    <x v="18"/>
    <x v="2"/>
    <n v="67.430000000000007"/>
    <n v="70.801500000000004"/>
    <n v="5"/>
    <s v="Ewallet"/>
    <x v="52"/>
    <n v="3.3714999999999975"/>
  </r>
  <r>
    <s v="687-15-1097"/>
    <x v="180"/>
    <s v="C"/>
    <x v="1"/>
    <x v="0"/>
    <x v="0"/>
    <x v="17"/>
    <x v="0"/>
    <n v="21.12"/>
    <n v="22.175999999999998"/>
    <n v="2"/>
    <s v="Cash"/>
    <x v="57"/>
    <n v="1.0559999999999974"/>
  </r>
  <r>
    <s v="477-24-6490"/>
    <x v="181"/>
    <s v="B"/>
    <x v="2"/>
    <x v="1"/>
    <x v="0"/>
    <x v="0"/>
    <x v="0"/>
    <n v="99.71"/>
    <n v="104.6955"/>
    <n v="6"/>
    <s v="Ewallet"/>
    <x v="56"/>
    <n v="4.9855000000000018"/>
  </r>
  <r>
    <s v="828-61-5674"/>
    <x v="182"/>
    <s v="A"/>
    <x v="0"/>
    <x v="0"/>
    <x v="1"/>
    <x v="3"/>
    <x v="2"/>
    <n v="44.02"/>
    <n v="46.220999999999997"/>
    <n v="10"/>
    <s v="Credit card"/>
    <x v="1"/>
    <n v="2.2009999999999934"/>
  </r>
  <r>
    <s v="490-29-1201"/>
    <x v="183"/>
    <s v="A"/>
    <x v="0"/>
    <x v="1"/>
    <x v="0"/>
    <x v="18"/>
    <x v="2"/>
    <n v="15.34"/>
    <n v="16.106999999999999"/>
    <n v="1"/>
    <s v="Cash"/>
    <x v="48"/>
    <n v="0.76699999999999946"/>
  </r>
  <r>
    <s v="667-92-0055"/>
    <x v="184"/>
    <s v="A"/>
    <x v="0"/>
    <x v="0"/>
    <x v="1"/>
    <x v="10"/>
    <x v="0"/>
    <n v="99.83"/>
    <n v="104.8215"/>
    <n v="6"/>
    <s v="Ewallet"/>
    <x v="28"/>
    <n v="4.991500000000002"/>
  </r>
  <r>
    <s v="565-17-3836"/>
    <x v="185"/>
    <s v="A"/>
    <x v="0"/>
    <x v="0"/>
    <x v="0"/>
    <x v="12"/>
    <x v="0"/>
    <n v="47.67"/>
    <n v="50.0535"/>
    <n v="4"/>
    <s v="Cash"/>
    <x v="0"/>
    <n v="2.383499999999998"/>
  </r>
  <r>
    <s v="498-41-1961"/>
    <x v="186"/>
    <s v="B"/>
    <x v="2"/>
    <x v="1"/>
    <x v="1"/>
    <x v="20"/>
    <x v="0"/>
    <n v="66.680000000000007"/>
    <n v="70.013999999999996"/>
    <n v="5"/>
    <s v="Cash"/>
    <x v="24"/>
    <n v="3.333999999999989"/>
  </r>
  <r>
    <s v="226-71-3580"/>
    <x v="187"/>
    <s v="C"/>
    <x v="1"/>
    <x v="1"/>
    <x v="0"/>
    <x v="13"/>
    <x v="2"/>
    <n v="23.75"/>
    <n v="24.9375"/>
    <n v="9"/>
    <s v="Cash"/>
    <x v="26"/>
    <n v="1.1875"/>
  </r>
  <r>
    <s v="283-79-9594"/>
    <x v="188"/>
    <s v="B"/>
    <x v="2"/>
    <x v="1"/>
    <x v="0"/>
    <x v="24"/>
    <x v="4"/>
    <n v="48.51"/>
    <n v="50.935499999999998"/>
    <n v="7"/>
    <s v="Credit card"/>
    <x v="47"/>
    <n v="2.4254999999999995"/>
  </r>
  <r>
    <s v="139-20-0155"/>
    <x v="189"/>
    <s v="B"/>
    <x v="2"/>
    <x v="0"/>
    <x v="1"/>
    <x v="4"/>
    <x v="1"/>
    <n v="40.299999999999997"/>
    <n v="42.314999999999998"/>
    <n v="10"/>
    <s v="Credit card"/>
    <x v="22"/>
    <n v="2.0150000000000006"/>
  </r>
  <r>
    <s v="558-80-4082"/>
    <x v="190"/>
    <s v="C"/>
    <x v="1"/>
    <x v="1"/>
    <x v="1"/>
    <x v="5"/>
    <x v="1"/>
    <n v="27.85"/>
    <n v="29.2425"/>
    <n v="7"/>
    <s v="Ewallet"/>
    <x v="19"/>
    <n v="1.3924999999999983"/>
  </r>
  <r>
    <s v="278-97-7759"/>
    <x v="191"/>
    <s v="A"/>
    <x v="0"/>
    <x v="0"/>
    <x v="0"/>
    <x v="4"/>
    <x v="1"/>
    <n v="62.48"/>
    <n v="65.603999999999999"/>
    <n v="1"/>
    <s v="Cash"/>
    <x v="23"/>
    <n v="3.1240000000000023"/>
  </r>
  <r>
    <s v="316-68-6352"/>
    <x v="192"/>
    <s v="A"/>
    <x v="0"/>
    <x v="0"/>
    <x v="0"/>
    <x v="24"/>
    <x v="4"/>
    <n v="36.36"/>
    <n v="38.177999999999997"/>
    <n v="2"/>
    <s v="Cash"/>
    <x v="9"/>
    <n v="1.8179999999999978"/>
  </r>
  <r>
    <s v="585-03-5943"/>
    <x v="193"/>
    <s v="B"/>
    <x v="2"/>
    <x v="1"/>
    <x v="1"/>
    <x v="20"/>
    <x v="0"/>
    <n v="18.11"/>
    <n v="19.015499999999999"/>
    <n v="10"/>
    <s v="Ewallet"/>
    <x v="7"/>
    <n v="0.90549999999999997"/>
  </r>
  <r>
    <s v="211-05-0490"/>
    <x v="194"/>
    <s v="C"/>
    <x v="1"/>
    <x v="0"/>
    <x v="0"/>
    <x v="4"/>
    <x v="1"/>
    <n v="51.92"/>
    <n v="54.515999999999998"/>
    <n v="5"/>
    <s v="Cash"/>
    <x v="21"/>
    <n v="2.5959999999999965"/>
  </r>
  <r>
    <s v="727-75-6477"/>
    <x v="195"/>
    <s v="C"/>
    <x v="1"/>
    <x v="1"/>
    <x v="1"/>
    <x v="4"/>
    <x v="1"/>
    <n v="28.84"/>
    <n v="30.282"/>
    <n v="4"/>
    <s v="Cash"/>
    <x v="33"/>
    <n v="1.4420000000000002"/>
  </r>
  <r>
    <s v="573-10-3877"/>
    <x v="196"/>
    <s v="B"/>
    <x v="2"/>
    <x v="0"/>
    <x v="1"/>
    <x v="10"/>
    <x v="0"/>
    <n v="39.01"/>
    <n v="40.960500000000003"/>
    <n v="1"/>
    <s v="Credit card"/>
    <x v="23"/>
    <n v="1.9505000000000052"/>
  </r>
  <r>
    <s v="735-06-4124"/>
    <x v="197"/>
    <s v="C"/>
    <x v="1"/>
    <x v="1"/>
    <x v="1"/>
    <x v="24"/>
    <x v="4"/>
    <n v="48.61"/>
    <n v="51.040500000000002"/>
    <n v="1"/>
    <s v="Cash"/>
    <x v="54"/>
    <n v="2.4305000000000021"/>
  </r>
  <r>
    <s v="439-54-7422"/>
    <x v="198"/>
    <s v="A"/>
    <x v="0"/>
    <x v="1"/>
    <x v="0"/>
    <x v="4"/>
    <x v="1"/>
    <n v="51.19"/>
    <n v="53.749499999999998"/>
    <n v="4"/>
    <s v="Credit card"/>
    <x v="23"/>
    <n v="2.5594999999999999"/>
  </r>
  <r>
    <s v="396-90-2219"/>
    <x v="199"/>
    <s v="B"/>
    <x v="2"/>
    <x v="1"/>
    <x v="0"/>
    <x v="4"/>
    <x v="1"/>
    <n v="14.96"/>
    <n v="15.708"/>
    <n v="8"/>
    <s v="Cash"/>
    <x v="15"/>
    <n v="0.74799999999999933"/>
  </r>
  <r>
    <s v="411-77-0180"/>
    <x v="200"/>
    <s v="A"/>
    <x v="0"/>
    <x v="0"/>
    <x v="1"/>
    <x v="4"/>
    <x v="1"/>
    <n v="72.2"/>
    <n v="75.809999999999988"/>
    <n v="7"/>
    <s v="Ewallet"/>
    <x v="34"/>
    <n v="3.6099999999999852"/>
  </r>
  <r>
    <s v="286-01-5402"/>
    <x v="201"/>
    <s v="A"/>
    <x v="0"/>
    <x v="1"/>
    <x v="0"/>
    <x v="13"/>
    <x v="2"/>
    <n v="40.229999999999997"/>
    <n v="42.241499999999995"/>
    <n v="7"/>
    <s v="Cash"/>
    <x v="1"/>
    <n v="2.0114999999999981"/>
  </r>
  <r>
    <s v="512-98-1403"/>
    <x v="202"/>
    <s v="A"/>
    <x v="0"/>
    <x v="0"/>
    <x v="0"/>
    <x v="4"/>
    <x v="1"/>
    <n v="26.48"/>
    <n v="27.804000000000002"/>
    <n v="3"/>
    <s v="Ewallet"/>
    <x v="23"/>
    <n v="1.3240000000000016"/>
  </r>
  <r>
    <s v="532-59-7201"/>
    <x v="203"/>
    <s v="B"/>
    <x v="2"/>
    <x v="0"/>
    <x v="1"/>
    <x v="13"/>
    <x v="2"/>
    <n v="79.930000000000007"/>
    <n v="83.926500000000004"/>
    <n v="6"/>
    <s v="Cash"/>
    <x v="38"/>
    <n v="3.9964999999999975"/>
  </r>
  <r>
    <s v="870-76-1733"/>
    <x v="204"/>
    <s v="A"/>
    <x v="0"/>
    <x v="0"/>
    <x v="0"/>
    <x v="24"/>
    <x v="4"/>
    <n v="14.23"/>
    <n v="14.9415"/>
    <n v="5"/>
    <s v="Credit card"/>
    <x v="54"/>
    <n v="0.71149999999999913"/>
  </r>
  <r>
    <s v="423-64-4619"/>
    <x v="205"/>
    <s v="A"/>
    <x v="0"/>
    <x v="0"/>
    <x v="0"/>
    <x v="20"/>
    <x v="0"/>
    <n v="15.55"/>
    <n v="16.327500000000001"/>
    <n v="9"/>
    <s v="Cash"/>
    <x v="59"/>
    <n v="0.77749999999999986"/>
  </r>
  <r>
    <s v="227-07-4446"/>
    <x v="206"/>
    <s v="C"/>
    <x v="1"/>
    <x v="0"/>
    <x v="0"/>
    <x v="4"/>
    <x v="1"/>
    <n v="78.13"/>
    <n v="82.036500000000004"/>
    <n v="10"/>
    <s v="Cash"/>
    <x v="54"/>
    <n v="3.9065000000000083"/>
  </r>
  <r>
    <s v="174-36-3675"/>
    <x v="207"/>
    <s v="C"/>
    <x v="1"/>
    <x v="0"/>
    <x v="1"/>
    <x v="24"/>
    <x v="4"/>
    <n v="99.37"/>
    <n v="104.3385"/>
    <n v="2"/>
    <s v="Cash"/>
    <x v="47"/>
    <n v="4.9684999999999917"/>
  </r>
  <r>
    <s v="428-83-5800"/>
    <x v="208"/>
    <s v="C"/>
    <x v="1"/>
    <x v="0"/>
    <x v="0"/>
    <x v="9"/>
    <x v="4"/>
    <n v="21.08"/>
    <n v="22.134"/>
    <n v="3"/>
    <s v="Cash"/>
    <x v="40"/>
    <n v="1.054000000000002"/>
  </r>
  <r>
    <s v="603-07-0961"/>
    <x v="209"/>
    <s v="C"/>
    <x v="1"/>
    <x v="0"/>
    <x v="1"/>
    <x v="1"/>
    <x v="1"/>
    <n v="74.790000000000006"/>
    <n v="78.529499999999999"/>
    <n v="5"/>
    <s v="Cash"/>
    <x v="42"/>
    <n v="3.7394999999999925"/>
  </r>
  <r>
    <s v="704-20-4138"/>
    <x v="210"/>
    <s v="C"/>
    <x v="1"/>
    <x v="0"/>
    <x v="0"/>
    <x v="20"/>
    <x v="0"/>
    <n v="29.67"/>
    <n v="31.153500000000001"/>
    <n v="7"/>
    <s v="Credit card"/>
    <x v="27"/>
    <n v="1.4834999999999994"/>
  </r>
  <r>
    <s v="787-15-1757"/>
    <x v="211"/>
    <s v="C"/>
    <x v="1"/>
    <x v="0"/>
    <x v="1"/>
    <x v="17"/>
    <x v="0"/>
    <n v="44.07"/>
    <n v="46.273499999999999"/>
    <n v="4"/>
    <s v="Ewallet"/>
    <x v="2"/>
    <n v="2.2034999999999982"/>
  </r>
  <r>
    <s v="649-11-3678"/>
    <x v="212"/>
    <s v="C"/>
    <x v="1"/>
    <x v="1"/>
    <x v="0"/>
    <x v="24"/>
    <x v="4"/>
    <n v="22.93"/>
    <n v="24.076499999999999"/>
    <n v="9"/>
    <s v="Cash"/>
    <x v="38"/>
    <n v="1.1464999999999996"/>
  </r>
  <r>
    <s v="622-20-1945"/>
    <x v="213"/>
    <s v="C"/>
    <x v="1"/>
    <x v="1"/>
    <x v="0"/>
    <x v="6"/>
    <x v="0"/>
    <n v="39.42"/>
    <n v="41.390999999999998"/>
    <n v="1"/>
    <s v="Cash"/>
    <x v="2"/>
    <n v="1.9709999999999965"/>
  </r>
  <r>
    <s v="372-94-8041"/>
    <x v="214"/>
    <s v="A"/>
    <x v="0"/>
    <x v="1"/>
    <x v="1"/>
    <x v="20"/>
    <x v="0"/>
    <n v="15.26"/>
    <n v="16.023"/>
    <n v="6"/>
    <s v="Ewallet"/>
    <x v="53"/>
    <n v="0.7629999999999999"/>
  </r>
  <r>
    <s v="276-54-0879"/>
    <x v="215"/>
    <s v="B"/>
    <x v="2"/>
    <x v="1"/>
    <x v="1"/>
    <x v="11"/>
    <x v="2"/>
    <n v="97.74"/>
    <n v="102.627"/>
    <n v="4"/>
    <s v="Ewallet"/>
    <x v="33"/>
    <n v="4.8870000000000005"/>
  </r>
  <r>
    <s v="815-11-1168"/>
    <x v="216"/>
    <s v="A"/>
    <x v="0"/>
    <x v="0"/>
    <x v="1"/>
    <x v="24"/>
    <x v="4"/>
    <n v="99.78"/>
    <n v="104.76900000000001"/>
    <n v="5"/>
    <s v="Cash"/>
    <x v="37"/>
    <n v="4.9890000000000043"/>
  </r>
  <r>
    <s v="719-76-3868"/>
    <x v="217"/>
    <s v="C"/>
    <x v="1"/>
    <x v="0"/>
    <x v="1"/>
    <x v="24"/>
    <x v="4"/>
    <n v="94.26"/>
    <n v="98.972999999999999"/>
    <n v="4"/>
    <s v="Cash"/>
    <x v="15"/>
    <n v="4.7129999999999939"/>
  </r>
  <r>
    <s v="730-61-8757"/>
    <x v="218"/>
    <s v="B"/>
    <x v="2"/>
    <x v="0"/>
    <x v="1"/>
    <x v="12"/>
    <x v="0"/>
    <n v="51.13"/>
    <n v="53.686500000000002"/>
    <n v="4"/>
    <s v="Credit card"/>
    <x v="35"/>
    <n v="2.5564999999999998"/>
  </r>
  <r>
    <s v="340-66-0321"/>
    <x v="219"/>
    <s v="A"/>
    <x v="0"/>
    <x v="0"/>
    <x v="1"/>
    <x v="1"/>
    <x v="1"/>
    <n v="36.36"/>
    <n v="38.177999999999997"/>
    <n v="4"/>
    <s v="Cash"/>
    <x v="24"/>
    <n v="1.8179999999999978"/>
  </r>
  <r>
    <s v="634-97-8956"/>
    <x v="220"/>
    <s v="A"/>
    <x v="0"/>
    <x v="1"/>
    <x v="1"/>
    <x v="24"/>
    <x v="4"/>
    <n v="32.9"/>
    <n v="34.545000000000002"/>
    <n v="3"/>
    <s v="Credit card"/>
    <x v="0"/>
    <n v="1.6450000000000031"/>
  </r>
  <r>
    <s v="442-48-3607"/>
    <x v="221"/>
    <s v="A"/>
    <x v="0"/>
    <x v="0"/>
    <x v="1"/>
    <x v="24"/>
    <x v="4"/>
    <n v="23.48"/>
    <n v="24.654"/>
    <n v="2"/>
    <s v="Credit card"/>
    <x v="56"/>
    <n v="1.1739999999999995"/>
  </r>
  <r>
    <s v="835-16-0096"/>
    <x v="222"/>
    <s v="C"/>
    <x v="1"/>
    <x v="0"/>
    <x v="1"/>
    <x v="18"/>
    <x v="2"/>
    <n v="14.7"/>
    <n v="15.434999999999999"/>
    <n v="5"/>
    <s v="Ewallet"/>
    <x v="28"/>
    <n v="0.73499999999999943"/>
  </r>
  <r>
    <s v="527-09-6272"/>
    <x v="223"/>
    <s v="A"/>
    <x v="0"/>
    <x v="0"/>
    <x v="0"/>
    <x v="1"/>
    <x v="1"/>
    <n v="28.45"/>
    <n v="29.872500000000002"/>
    <n v="5"/>
    <s v="Credit card"/>
    <x v="0"/>
    <n v="1.422500000000003"/>
  </r>
  <r>
    <s v="692-27-8933"/>
    <x v="224"/>
    <s v="B"/>
    <x v="2"/>
    <x v="1"/>
    <x v="0"/>
    <x v="18"/>
    <x v="2"/>
    <n v="57.95"/>
    <n v="60.847499999999997"/>
    <n v="6"/>
    <s v="Cash"/>
    <x v="47"/>
    <n v="2.8974999999999937"/>
  </r>
  <r>
    <s v="633-09-3463"/>
    <x v="225"/>
    <s v="C"/>
    <x v="1"/>
    <x v="1"/>
    <x v="0"/>
    <x v="25"/>
    <x v="1"/>
    <n v="47.65"/>
    <n v="50.032499999999999"/>
    <n v="3"/>
    <s v="Credit card"/>
    <x v="26"/>
    <n v="2.3825000000000003"/>
  </r>
  <r>
    <s v="374-17-3652"/>
    <x v="226"/>
    <s v="B"/>
    <x v="2"/>
    <x v="0"/>
    <x v="0"/>
    <x v="16"/>
    <x v="4"/>
    <n v="42.82"/>
    <n v="44.960999999999999"/>
    <n v="9"/>
    <s v="Credit card"/>
    <x v="60"/>
    <n v="2.1409999999999982"/>
  </r>
  <r>
    <s v="378-07-7001"/>
    <x v="227"/>
    <s v="B"/>
    <x v="2"/>
    <x v="0"/>
    <x v="1"/>
    <x v="1"/>
    <x v="1"/>
    <n v="48.09"/>
    <n v="50.494499999999995"/>
    <n v="3"/>
    <s v="Credit card"/>
    <x v="46"/>
    <n v="2.4044999999999916"/>
  </r>
  <r>
    <s v="433-75-6987"/>
    <x v="228"/>
    <s v="B"/>
    <x v="2"/>
    <x v="0"/>
    <x v="0"/>
    <x v="12"/>
    <x v="0"/>
    <n v="55.97"/>
    <n v="58.768500000000003"/>
    <n v="7"/>
    <s v="Ewallet"/>
    <x v="60"/>
    <n v="2.7985000000000042"/>
  </r>
  <r>
    <s v="873-95-4984"/>
    <x v="229"/>
    <s v="B"/>
    <x v="2"/>
    <x v="0"/>
    <x v="0"/>
    <x v="20"/>
    <x v="0"/>
    <n v="76.900000000000006"/>
    <n v="80.745000000000005"/>
    <n v="7"/>
    <s v="Cash"/>
    <x v="55"/>
    <n v="3.8449999999999989"/>
  </r>
  <r>
    <s v="416-13-5917"/>
    <x v="230"/>
    <s v="C"/>
    <x v="1"/>
    <x v="1"/>
    <x v="0"/>
    <x v="9"/>
    <x v="4"/>
    <n v="97.03"/>
    <n v="101.8815"/>
    <n v="5"/>
    <s v="Ewallet"/>
    <x v="30"/>
    <n v="4.8515000000000015"/>
  </r>
  <r>
    <s v="150-89-8043"/>
    <x v="231"/>
    <s v="A"/>
    <x v="0"/>
    <x v="1"/>
    <x v="1"/>
    <x v="3"/>
    <x v="2"/>
    <n v="44.65"/>
    <n v="46.8825"/>
    <n v="3"/>
    <s v="Cash"/>
    <x v="58"/>
    <n v="2.2325000000000017"/>
  </r>
  <r>
    <s v="441-94-7118"/>
    <x v="232"/>
    <s v="A"/>
    <x v="0"/>
    <x v="0"/>
    <x v="1"/>
    <x v="25"/>
    <x v="1"/>
    <n v="71.95"/>
    <n v="75.547499999999999"/>
    <n v="1"/>
    <s v="Cash"/>
    <x v="40"/>
    <n v="3.5974999999999966"/>
  </r>
  <r>
    <s v="531-80-1784"/>
    <x v="233"/>
    <s v="A"/>
    <x v="0"/>
    <x v="1"/>
    <x v="1"/>
    <x v="1"/>
    <x v="1"/>
    <n v="26.02"/>
    <n v="27.321000000000002"/>
    <n v="7"/>
    <s v="Cash"/>
    <x v="17"/>
    <n v="1.3010000000000019"/>
  </r>
  <r>
    <s v="400-45-1220"/>
    <x v="234"/>
    <s v="B"/>
    <x v="2"/>
    <x v="1"/>
    <x v="0"/>
    <x v="10"/>
    <x v="0"/>
    <n v="13.5"/>
    <n v="14.175000000000001"/>
    <n v="10"/>
    <s v="Credit card"/>
    <x v="16"/>
    <n v="0.67500000000000071"/>
  </r>
  <r>
    <s v="834-61-8124"/>
    <x v="235"/>
    <s v="A"/>
    <x v="0"/>
    <x v="1"/>
    <x v="1"/>
    <x v="1"/>
    <x v="1"/>
    <n v="51.69"/>
    <n v="54.274499999999996"/>
    <n v="7"/>
    <s v="Cash"/>
    <x v="38"/>
    <n v="2.5844999999999985"/>
  </r>
  <r>
    <s v="320-49-6392"/>
    <x v="236"/>
    <s v="C"/>
    <x v="1"/>
    <x v="1"/>
    <x v="0"/>
    <x v="1"/>
    <x v="1"/>
    <n v="30.24"/>
    <n v="31.751999999999999"/>
    <n v="1"/>
    <s v="Cash"/>
    <x v="2"/>
    <n v="1.5120000000000005"/>
  </r>
  <r>
    <s v="889-04-9723"/>
    <x v="237"/>
    <s v="B"/>
    <x v="2"/>
    <x v="0"/>
    <x v="0"/>
    <x v="16"/>
    <x v="4"/>
    <n v="89.14"/>
    <n v="93.596999999999994"/>
    <n v="4"/>
    <s v="Credit card"/>
    <x v="46"/>
    <n v="4.4569999999999936"/>
  </r>
  <r>
    <s v="554-42-2417"/>
    <x v="238"/>
    <s v="C"/>
    <x v="1"/>
    <x v="1"/>
    <x v="0"/>
    <x v="18"/>
    <x v="2"/>
    <n v="95.44"/>
    <n v="100.212"/>
    <n v="10"/>
    <s v="Cash"/>
    <x v="47"/>
    <n v="4.7720000000000056"/>
  </r>
  <r>
    <s v="453-63-6187"/>
    <x v="239"/>
    <s v="B"/>
    <x v="2"/>
    <x v="1"/>
    <x v="1"/>
    <x v="25"/>
    <x v="1"/>
    <n v="27.5"/>
    <n v="28.875"/>
    <n v="3"/>
    <s v="Ewallet"/>
    <x v="48"/>
    <n v="1.375"/>
  </r>
  <r>
    <s v="578-80-7669"/>
    <x v="240"/>
    <s v="B"/>
    <x v="2"/>
    <x v="1"/>
    <x v="1"/>
    <x v="18"/>
    <x v="2"/>
    <n v="74.97"/>
    <n v="78.718500000000006"/>
    <n v="1"/>
    <s v="Cash"/>
    <x v="25"/>
    <n v="3.748500000000007"/>
  </r>
  <r>
    <s v="612-36-5536"/>
    <x v="241"/>
    <s v="A"/>
    <x v="0"/>
    <x v="0"/>
    <x v="1"/>
    <x v="16"/>
    <x v="4"/>
    <n v="80.959999999999994"/>
    <n v="85.007999999999996"/>
    <n v="8"/>
    <s v="Credit card"/>
    <x v="20"/>
    <n v="4.0480000000000018"/>
  </r>
  <r>
    <s v="605-72-4132"/>
    <x v="242"/>
    <s v="C"/>
    <x v="1"/>
    <x v="1"/>
    <x v="0"/>
    <x v="16"/>
    <x v="4"/>
    <n v="94.47"/>
    <n v="99.1935"/>
    <n v="8"/>
    <s v="Cash"/>
    <x v="0"/>
    <n v="4.7235000000000014"/>
  </r>
  <r>
    <s v="471-41-2823"/>
    <x v="243"/>
    <s v="C"/>
    <x v="1"/>
    <x v="1"/>
    <x v="1"/>
    <x v="9"/>
    <x v="4"/>
    <n v="99.79"/>
    <n v="104.7795"/>
    <n v="2"/>
    <s v="Ewallet"/>
    <x v="43"/>
    <n v="4.9894999999999925"/>
  </r>
  <r>
    <s v="272-27-9238"/>
    <x v="244"/>
    <s v="C"/>
    <x v="1"/>
    <x v="1"/>
    <x v="0"/>
    <x v="9"/>
    <x v="4"/>
    <n v="41.24"/>
    <n v="43.302"/>
    <n v="4"/>
    <s v="Cash"/>
    <x v="9"/>
    <n v="2.0619999999999976"/>
  </r>
  <r>
    <s v="122-61-9553"/>
    <x v="245"/>
    <s v="C"/>
    <x v="1"/>
    <x v="1"/>
    <x v="0"/>
    <x v="1"/>
    <x v="1"/>
    <n v="51.32"/>
    <n v="53.885999999999996"/>
    <n v="9"/>
    <s v="Cash"/>
    <x v="25"/>
    <n v="2.5659999999999954"/>
  </r>
  <r>
    <s v="613-59-9758"/>
    <x v="246"/>
    <s v="C"/>
    <x v="1"/>
    <x v="1"/>
    <x v="0"/>
    <x v="18"/>
    <x v="2"/>
    <n v="14.36"/>
    <n v="15.077999999999999"/>
    <n v="10"/>
    <s v="Cash"/>
    <x v="37"/>
    <n v="0.71799999999999997"/>
  </r>
  <r>
    <s v="254-31-0042"/>
    <x v="247"/>
    <s v="A"/>
    <x v="0"/>
    <x v="0"/>
    <x v="1"/>
    <x v="1"/>
    <x v="1"/>
    <n v="21.5"/>
    <n v="22.575000000000003"/>
    <n v="9"/>
    <s v="Credit card"/>
    <x v="46"/>
    <n v="1.0750000000000028"/>
  </r>
  <r>
    <s v="201-86-2184"/>
    <x v="248"/>
    <s v="B"/>
    <x v="2"/>
    <x v="0"/>
    <x v="0"/>
    <x v="1"/>
    <x v="1"/>
    <n v="26.26"/>
    <n v="27.573"/>
    <n v="7"/>
    <s v="Cash"/>
    <x v="18"/>
    <n v="1.3129999999999988"/>
  </r>
  <r>
    <s v="743-88-1662"/>
    <x v="249"/>
    <s v="C"/>
    <x v="1"/>
    <x v="1"/>
    <x v="1"/>
    <x v="15"/>
    <x v="2"/>
    <n v="95.49"/>
    <n v="100.2645"/>
    <n v="7"/>
    <s v="Ewallet"/>
    <x v="36"/>
    <n v="4.7745000000000033"/>
  </r>
  <r>
    <s v="182-69-8360"/>
    <x v="250"/>
    <s v="B"/>
    <x v="2"/>
    <x v="1"/>
    <x v="0"/>
    <x v="25"/>
    <x v="1"/>
    <n v="23.65"/>
    <n v="24.8325"/>
    <n v="4"/>
    <s v="Credit card"/>
    <x v="35"/>
    <n v="1.182500000000001"/>
  </r>
  <r>
    <s v="289-15-7034"/>
    <x v="251"/>
    <s v="A"/>
    <x v="0"/>
    <x v="0"/>
    <x v="1"/>
    <x v="18"/>
    <x v="2"/>
    <n v="82.33"/>
    <n v="86.4465"/>
    <n v="4"/>
    <s v="Credit card"/>
    <x v="21"/>
    <n v="4.116500000000002"/>
  </r>
  <r>
    <s v="462-78-5240"/>
    <x v="252"/>
    <s v="C"/>
    <x v="1"/>
    <x v="1"/>
    <x v="0"/>
    <x v="1"/>
    <x v="1"/>
    <n v="26.61"/>
    <n v="27.9405"/>
    <n v="2"/>
    <s v="Cash"/>
    <x v="44"/>
    <n v="1.3305000000000007"/>
  </r>
  <r>
    <s v="868-52-7573"/>
    <x v="253"/>
    <s v="B"/>
    <x v="2"/>
    <x v="1"/>
    <x v="0"/>
    <x v="9"/>
    <x v="4"/>
    <n v="99.69"/>
    <n v="104.67449999999999"/>
    <n v="5"/>
    <s v="Cash"/>
    <x v="18"/>
    <n v="4.984499999999997"/>
  </r>
  <r>
    <s v="153-58-4872"/>
    <x v="254"/>
    <s v="C"/>
    <x v="1"/>
    <x v="0"/>
    <x v="0"/>
    <x v="9"/>
    <x v="4"/>
    <n v="74.89"/>
    <n v="78.634500000000003"/>
    <n v="4"/>
    <s v="Ewallet"/>
    <x v="44"/>
    <n v="3.7445000000000022"/>
  </r>
  <r>
    <s v="662-72-2873"/>
    <x v="255"/>
    <s v="A"/>
    <x v="0"/>
    <x v="1"/>
    <x v="0"/>
    <x v="9"/>
    <x v="4"/>
    <n v="40.94"/>
    <n v="42.987000000000002"/>
    <n v="5"/>
    <s v="Ewallet"/>
    <x v="18"/>
    <n v="2.0470000000000041"/>
  </r>
  <r>
    <s v="525-88-7307"/>
    <x v="256"/>
    <s v="B"/>
    <x v="2"/>
    <x v="0"/>
    <x v="1"/>
    <x v="18"/>
    <x v="2"/>
    <n v="75.819999999999993"/>
    <n v="79.611000000000004"/>
    <n v="1"/>
    <s v="Cash"/>
    <x v="5"/>
    <n v="3.791000000000011"/>
  </r>
  <r>
    <s v="689-16-9784"/>
    <x v="257"/>
    <s v="C"/>
    <x v="1"/>
    <x v="1"/>
    <x v="1"/>
    <x v="9"/>
    <x v="4"/>
    <n v="46.77"/>
    <n v="49.108499999999999"/>
    <n v="6"/>
    <s v="Cash"/>
    <x v="19"/>
    <n v="2.3384999999999962"/>
  </r>
  <r>
    <s v="725-56-0833"/>
    <x v="258"/>
    <s v="A"/>
    <x v="0"/>
    <x v="1"/>
    <x v="0"/>
    <x v="17"/>
    <x v="0"/>
    <n v="32.32"/>
    <n v="33.936"/>
    <n v="10"/>
    <s v="Credit card"/>
    <x v="31"/>
    <n v="1.6159999999999997"/>
  </r>
  <r>
    <s v="596-42-3999"/>
    <x v="259"/>
    <s v="B"/>
    <x v="2"/>
    <x v="1"/>
    <x v="1"/>
    <x v="9"/>
    <x v="4"/>
    <n v="18.22"/>
    <n v="19.131"/>
    <n v="7"/>
    <s v="Credit card"/>
    <x v="29"/>
    <n v="0.91100000000000136"/>
  </r>
  <r>
    <s v="563-36-9814"/>
    <x v="260"/>
    <s v="A"/>
    <x v="0"/>
    <x v="0"/>
    <x v="1"/>
    <x v="1"/>
    <x v="1"/>
    <n v="76.819999999999993"/>
    <n v="80.661000000000001"/>
    <n v="1"/>
    <s v="Ewallet"/>
    <x v="6"/>
    <n v="3.8410000000000082"/>
  </r>
  <r>
    <s v="308-47-4913"/>
    <x v="261"/>
    <s v="A"/>
    <x v="0"/>
    <x v="0"/>
    <x v="0"/>
    <x v="18"/>
    <x v="2"/>
    <n v="52.26"/>
    <n v="54.873000000000005"/>
    <n v="10"/>
    <s v="Credit card"/>
    <x v="58"/>
    <n v="2.6130000000000067"/>
  </r>
  <r>
    <s v="885-17-6250"/>
    <x v="262"/>
    <s v="A"/>
    <x v="0"/>
    <x v="1"/>
    <x v="0"/>
    <x v="17"/>
    <x v="0"/>
    <n v="79.739999999999995"/>
    <n v="83.727000000000004"/>
    <n v="1"/>
    <s v="Ewallet"/>
    <x v="40"/>
    <n v="3.987000000000009"/>
  </r>
  <r>
    <s v="726-27-2396"/>
    <x v="263"/>
    <s v="A"/>
    <x v="0"/>
    <x v="1"/>
    <x v="0"/>
    <x v="17"/>
    <x v="0"/>
    <n v="77.5"/>
    <n v="81.375"/>
    <n v="5"/>
    <s v="Ewallet"/>
    <x v="34"/>
    <n v="3.875"/>
  </r>
  <r>
    <s v="316-01-3952"/>
    <x v="264"/>
    <s v="A"/>
    <x v="0"/>
    <x v="1"/>
    <x v="0"/>
    <x v="9"/>
    <x v="4"/>
    <n v="54.27"/>
    <n v="56.983500000000006"/>
    <n v="5"/>
    <s v="Ewallet"/>
    <x v="13"/>
    <n v="2.7135000000000034"/>
  </r>
  <r>
    <s v="793-10-3222"/>
    <x v="265"/>
    <s v="B"/>
    <x v="2"/>
    <x v="0"/>
    <x v="0"/>
    <x v="17"/>
    <x v="0"/>
    <n v="41.06"/>
    <n v="43.113"/>
    <n v="6"/>
    <s v="Credit card"/>
    <x v="39"/>
    <n v="2.0529999999999973"/>
  </r>
  <r>
    <s v="346-12-3257"/>
    <x v="266"/>
    <s v="B"/>
    <x v="2"/>
    <x v="0"/>
    <x v="1"/>
    <x v="1"/>
    <x v="1"/>
    <n v="19.239999999999998"/>
    <n v="20.202000000000002"/>
    <n v="9"/>
    <s v="Cash"/>
    <x v="43"/>
    <n v="0.9620000000000033"/>
  </r>
  <r>
    <s v="110-05-6330"/>
    <x v="267"/>
    <s v="C"/>
    <x v="1"/>
    <x v="1"/>
    <x v="0"/>
    <x v="9"/>
    <x v="4"/>
    <n v="39.43"/>
    <n v="41.401499999999999"/>
    <n v="6"/>
    <s v="Credit card"/>
    <x v="51"/>
    <n v="1.9714999999999989"/>
  </r>
  <r>
    <s v="882-40-4577"/>
    <x v="268"/>
    <s v="A"/>
    <x v="0"/>
    <x v="0"/>
    <x v="1"/>
    <x v="3"/>
    <x v="2"/>
    <n v="67.260000000000005"/>
    <n v="70.623000000000005"/>
    <n v="4"/>
    <s v="Credit card"/>
    <x v="43"/>
    <n v="3.3629999999999995"/>
  </r>
  <r>
    <s v="732-67-5346"/>
    <x v="269"/>
    <s v="A"/>
    <x v="0"/>
    <x v="1"/>
    <x v="1"/>
    <x v="9"/>
    <x v="4"/>
    <n v="13.79"/>
    <n v="14.479499999999998"/>
    <n v="5"/>
    <s v="Credit card"/>
    <x v="46"/>
    <n v="0.68949999999999889"/>
  </r>
  <r>
    <s v="244-08-0162"/>
    <x v="270"/>
    <s v="B"/>
    <x v="2"/>
    <x v="1"/>
    <x v="0"/>
    <x v="10"/>
    <x v="0"/>
    <n v="34.21"/>
    <n v="35.920499999999997"/>
    <n v="10"/>
    <s v="Cash"/>
    <x v="17"/>
    <n v="1.7104999999999961"/>
  </r>
  <r>
    <s v="569-71-4390"/>
    <x v="271"/>
    <s v="B"/>
    <x v="2"/>
    <x v="1"/>
    <x v="1"/>
    <x v="19"/>
    <x v="2"/>
    <n v="21.87"/>
    <n v="22.9635"/>
    <n v="2"/>
    <s v="Ewallet"/>
    <x v="14"/>
    <n v="1.0934999999999988"/>
  </r>
  <r>
    <s v="132-23-6451"/>
    <x v="272"/>
    <s v="A"/>
    <x v="0"/>
    <x v="0"/>
    <x v="1"/>
    <x v="17"/>
    <x v="0"/>
    <n v="20.97"/>
    <n v="22.0185"/>
    <n v="5"/>
    <s v="Cash"/>
    <x v="46"/>
    <n v="1.0485000000000007"/>
  </r>
  <r>
    <s v="696-90-2548"/>
    <x v="273"/>
    <s v="A"/>
    <x v="0"/>
    <x v="1"/>
    <x v="1"/>
    <x v="11"/>
    <x v="2"/>
    <n v="25.84"/>
    <n v="27.132000000000001"/>
    <n v="3"/>
    <s v="Ewallet"/>
    <x v="29"/>
    <n v="1.2920000000000016"/>
  </r>
  <r>
    <s v="268-03-6164"/>
    <x v="274"/>
    <s v="B"/>
    <x v="2"/>
    <x v="1"/>
    <x v="1"/>
    <x v="17"/>
    <x v="0"/>
    <n v="96.11"/>
    <n v="100.91549999999999"/>
    <n v="1"/>
    <s v="Ewallet"/>
    <x v="46"/>
    <n v="4.805499999999995"/>
  </r>
  <r>
    <s v="186-09-3669"/>
    <x v="275"/>
    <s v="C"/>
    <x v="1"/>
    <x v="0"/>
    <x v="0"/>
    <x v="17"/>
    <x v="0"/>
    <n v="81.510000000000005"/>
    <n v="85.585499999999996"/>
    <n v="1"/>
    <s v="Ewallet"/>
    <x v="45"/>
    <n v="4.075499999999991"/>
  </r>
  <r>
    <s v="848-07-1692"/>
    <x v="276"/>
    <s v="B"/>
    <x v="2"/>
    <x v="1"/>
    <x v="0"/>
    <x v="17"/>
    <x v="0"/>
    <n v="57.22"/>
    <n v="60.081000000000003"/>
    <n v="2"/>
    <s v="Ewallet"/>
    <x v="39"/>
    <n v="2.8610000000000042"/>
  </r>
  <r>
    <s v="745-71-3520"/>
    <x v="277"/>
    <s v="A"/>
    <x v="0"/>
    <x v="0"/>
    <x v="0"/>
    <x v="25"/>
    <x v="1"/>
    <n v="25.22"/>
    <n v="26.480999999999998"/>
    <n v="7"/>
    <s v="Cash"/>
    <x v="10"/>
    <n v="1.2609999999999992"/>
  </r>
  <r>
    <s v="266-76-6436"/>
    <x v="278"/>
    <s v="C"/>
    <x v="1"/>
    <x v="0"/>
    <x v="0"/>
    <x v="9"/>
    <x v="4"/>
    <n v="38.6"/>
    <n v="40.53"/>
    <n v="3"/>
    <s v="Ewallet"/>
    <x v="21"/>
    <n v="1.9299999999999997"/>
  </r>
  <r>
    <s v="740-22-2500"/>
    <x v="279"/>
    <s v="C"/>
    <x v="1"/>
    <x v="1"/>
    <x v="0"/>
    <x v="25"/>
    <x v="1"/>
    <n v="84.05"/>
    <n v="88.252499999999998"/>
    <n v="3"/>
    <s v="Cash"/>
    <x v="53"/>
    <n v="4.2025000000000006"/>
  </r>
  <r>
    <s v="269-10-8440"/>
    <x v="280"/>
    <s v="A"/>
    <x v="0"/>
    <x v="0"/>
    <x v="1"/>
    <x v="10"/>
    <x v="0"/>
    <n v="53.17"/>
    <n v="55.828500000000005"/>
    <n v="7"/>
    <s v="Cash"/>
    <x v="60"/>
    <n v="2.6585000000000036"/>
  </r>
  <r>
    <s v="650-98-6268"/>
    <x v="281"/>
    <s v="B"/>
    <x v="2"/>
    <x v="0"/>
    <x v="0"/>
    <x v="9"/>
    <x v="4"/>
    <n v="20.87"/>
    <n v="21.913499999999999"/>
    <n v="3"/>
    <s v="Credit card"/>
    <x v="43"/>
    <n v="1.0434999999999981"/>
  </r>
  <r>
    <s v="741-73-3559"/>
    <x v="282"/>
    <s v="B"/>
    <x v="2"/>
    <x v="1"/>
    <x v="1"/>
    <x v="19"/>
    <x v="2"/>
    <n v="67.27"/>
    <n v="70.633499999999998"/>
    <n v="5"/>
    <s v="Cash"/>
    <x v="14"/>
    <n v="3.3635000000000019"/>
  </r>
  <r>
    <s v="574-57-9721"/>
    <x v="283"/>
    <s v="C"/>
    <x v="1"/>
    <x v="1"/>
    <x v="1"/>
    <x v="16"/>
    <x v="4"/>
    <n v="43.27"/>
    <n v="45.433500000000002"/>
    <n v="2"/>
    <s v="Ewallet"/>
    <x v="11"/>
    <n v="2.1634999999999991"/>
  </r>
  <r>
    <s v="459-50-7686"/>
    <x v="284"/>
    <s v="A"/>
    <x v="0"/>
    <x v="1"/>
    <x v="0"/>
    <x v="1"/>
    <x v="1"/>
    <n v="23.46"/>
    <n v="24.632999999999999"/>
    <n v="6"/>
    <s v="Ewallet"/>
    <x v="33"/>
    <n v="1.1729999999999983"/>
  </r>
  <r>
    <s v="751-69-0068"/>
    <x v="285"/>
    <s v="C"/>
    <x v="1"/>
    <x v="1"/>
    <x v="1"/>
    <x v="19"/>
    <x v="2"/>
    <n v="99.24"/>
    <n v="104.202"/>
    <n v="9"/>
    <s v="Ewallet"/>
    <x v="49"/>
    <n v="4.9620000000000033"/>
  </r>
  <r>
    <s v="257-73-1380"/>
    <x v="286"/>
    <s v="C"/>
    <x v="1"/>
    <x v="0"/>
    <x v="1"/>
    <x v="19"/>
    <x v="2"/>
    <n v="82.93"/>
    <n v="87.076499999999996"/>
    <n v="4"/>
    <s v="Ewallet"/>
    <x v="1"/>
    <n v="4.146499999999989"/>
  </r>
  <r>
    <s v="549-96-4200"/>
    <x v="287"/>
    <s v="C"/>
    <x v="1"/>
    <x v="0"/>
    <x v="1"/>
    <x v="16"/>
    <x v="4"/>
    <n v="17.04"/>
    <n v="17.891999999999999"/>
    <n v="4"/>
    <s v="Ewallet"/>
    <x v="22"/>
    <n v="0.85200000000000031"/>
  </r>
  <r>
    <s v="810-60-6344"/>
    <x v="288"/>
    <s v="C"/>
    <x v="1"/>
    <x v="1"/>
    <x v="0"/>
    <x v="1"/>
    <x v="1"/>
    <n v="40.86"/>
    <n v="42.902999999999999"/>
    <n v="8"/>
    <s v="Credit card"/>
    <x v="48"/>
    <n v="2.0429999999999993"/>
  </r>
  <r>
    <s v="450-28-2866"/>
    <x v="289"/>
    <s v="C"/>
    <x v="1"/>
    <x v="0"/>
    <x v="1"/>
    <x v="16"/>
    <x v="4"/>
    <n v="17.440000000000001"/>
    <n v="18.312000000000001"/>
    <n v="5"/>
    <s v="Cash"/>
    <x v="27"/>
    <n v="0.87199999999999989"/>
  </r>
  <r>
    <s v="394-30-3170"/>
    <x v="290"/>
    <s v="B"/>
    <x v="2"/>
    <x v="0"/>
    <x v="0"/>
    <x v="19"/>
    <x v="2"/>
    <n v="88.43"/>
    <n v="92.851500000000001"/>
    <n v="8"/>
    <s v="Credit card"/>
    <x v="34"/>
    <n v="4.4214999999999947"/>
  </r>
  <r>
    <s v="301-11-9629"/>
    <x v="291"/>
    <s v="A"/>
    <x v="0"/>
    <x v="1"/>
    <x v="0"/>
    <x v="15"/>
    <x v="2"/>
    <n v="19.100000000000001"/>
    <n v="20.055"/>
    <n v="7"/>
    <s v="Cash"/>
    <x v="57"/>
    <n v="0.95499999999999829"/>
  </r>
  <r>
    <s v="390-80-5128"/>
    <x v="292"/>
    <s v="B"/>
    <x v="2"/>
    <x v="0"/>
    <x v="0"/>
    <x v="17"/>
    <x v="0"/>
    <n v="19.149999999999999"/>
    <n v="20.107500000000002"/>
    <n v="1"/>
    <s v="Credit card"/>
    <x v="26"/>
    <n v="0.95750000000000313"/>
  </r>
  <r>
    <s v="235-46-8343"/>
    <x v="293"/>
    <s v="C"/>
    <x v="1"/>
    <x v="0"/>
    <x v="1"/>
    <x v="16"/>
    <x v="4"/>
    <n v="27.66"/>
    <n v="29.042999999999999"/>
    <n v="10"/>
    <s v="Credit card"/>
    <x v="60"/>
    <n v="1.3829999999999991"/>
  </r>
  <r>
    <s v="296-11-7041"/>
    <x v="294"/>
    <s v="B"/>
    <x v="2"/>
    <x v="0"/>
    <x v="0"/>
    <x v="17"/>
    <x v="0"/>
    <n v="27.07"/>
    <n v="28.423500000000001"/>
    <n v="1"/>
    <s v="Credit card"/>
    <x v="3"/>
    <n v="1.3535000000000004"/>
  </r>
  <r>
    <s v="449-27-2918"/>
    <x v="295"/>
    <s v="B"/>
    <x v="2"/>
    <x v="0"/>
    <x v="0"/>
    <x v="3"/>
    <x v="2"/>
    <n v="39.119999999999997"/>
    <n v="41.076000000000001"/>
    <n v="1"/>
    <s v="Credit card"/>
    <x v="1"/>
    <n v="1.9560000000000031"/>
  </r>
  <r>
    <s v="891-01-7034"/>
    <x v="296"/>
    <s v="B"/>
    <x v="2"/>
    <x v="1"/>
    <x v="0"/>
    <x v="25"/>
    <x v="1"/>
    <n v="74.709999999999994"/>
    <n v="78.445499999999996"/>
    <n v="6"/>
    <s v="Cash"/>
    <x v="32"/>
    <n v="3.7355000000000018"/>
  </r>
  <r>
    <s v="744-09-5786"/>
    <x v="297"/>
    <s v="B"/>
    <x v="2"/>
    <x v="1"/>
    <x v="1"/>
    <x v="1"/>
    <x v="1"/>
    <n v="22.01"/>
    <n v="23.110500000000002"/>
    <n v="6"/>
    <s v="Cash"/>
    <x v="24"/>
    <n v="1.1005000000000003"/>
  </r>
  <r>
    <s v="727-17-0390"/>
    <x v="298"/>
    <s v="A"/>
    <x v="0"/>
    <x v="1"/>
    <x v="0"/>
    <x v="24"/>
    <x v="4"/>
    <n v="63.61"/>
    <n v="66.790499999999994"/>
    <n v="5"/>
    <s v="Ewallet"/>
    <x v="16"/>
    <n v="3.180499999999995"/>
  </r>
  <r>
    <s v="568-88-3448"/>
    <x v="299"/>
    <s v="A"/>
    <x v="0"/>
    <x v="1"/>
    <x v="1"/>
    <x v="17"/>
    <x v="0"/>
    <n v="25"/>
    <n v="26.25"/>
    <n v="1"/>
    <s v="Ewallet"/>
    <x v="38"/>
    <n v="1.25"/>
  </r>
  <r>
    <s v="187-83-5490"/>
    <x v="300"/>
    <s v="A"/>
    <x v="0"/>
    <x v="0"/>
    <x v="1"/>
    <x v="1"/>
    <x v="1"/>
    <n v="20.77"/>
    <n v="21.808499999999999"/>
    <n v="4"/>
    <s v="Cash"/>
    <x v="23"/>
    <n v="1.0384999999999991"/>
  </r>
  <r>
    <s v="710-46-4433"/>
    <x v="301"/>
    <s v="B"/>
    <x v="2"/>
    <x v="0"/>
    <x v="0"/>
    <x v="24"/>
    <x v="4"/>
    <n v="77.400000000000006"/>
    <n v="81.27"/>
    <n v="9"/>
    <s v="Credit card"/>
    <x v="12"/>
    <n v="3.8699999999999903"/>
  </r>
  <r>
    <s v="533-33-5337"/>
    <x v="302"/>
    <s v="B"/>
    <x v="2"/>
    <x v="1"/>
    <x v="1"/>
    <x v="1"/>
    <x v="1"/>
    <n v="79.39"/>
    <n v="83.359499999999997"/>
    <n v="10"/>
    <s v="Cash"/>
    <x v="58"/>
    <n v="3.9694999999999965"/>
  </r>
  <r>
    <s v="325-90-8763"/>
    <x v="303"/>
    <s v="C"/>
    <x v="1"/>
    <x v="0"/>
    <x v="0"/>
    <x v="25"/>
    <x v="1"/>
    <n v="46.57"/>
    <n v="48.898499999999999"/>
    <n v="10"/>
    <s v="Cash"/>
    <x v="24"/>
    <n v="2.3284999999999982"/>
  </r>
  <r>
    <s v="729-46-7422"/>
    <x v="304"/>
    <s v="C"/>
    <x v="1"/>
    <x v="1"/>
    <x v="1"/>
    <x v="24"/>
    <x v="4"/>
    <n v="35.89"/>
    <n v="37.6845"/>
    <n v="1"/>
    <s v="Credit card"/>
    <x v="56"/>
    <n v="1.7944999999999993"/>
  </r>
  <r>
    <s v="639-76-1242"/>
    <x v="305"/>
    <s v="C"/>
    <x v="1"/>
    <x v="1"/>
    <x v="1"/>
    <x v="24"/>
    <x v="4"/>
    <n v="40.520000000000003"/>
    <n v="42.545999999999999"/>
    <n v="5"/>
    <s v="Cash"/>
    <x v="12"/>
    <n v="2.0259999999999962"/>
  </r>
  <r>
    <s v="234-03-4040"/>
    <x v="306"/>
    <s v="B"/>
    <x v="2"/>
    <x v="0"/>
    <x v="0"/>
    <x v="24"/>
    <x v="4"/>
    <n v="73.05"/>
    <n v="76.702500000000001"/>
    <n v="10"/>
    <s v="Credit card"/>
    <x v="36"/>
    <n v="3.6525000000000034"/>
  </r>
  <r>
    <s v="326-71-2155"/>
    <x v="307"/>
    <s v="C"/>
    <x v="1"/>
    <x v="1"/>
    <x v="0"/>
    <x v="13"/>
    <x v="2"/>
    <n v="73.95"/>
    <n v="77.647499999999994"/>
    <n v="4"/>
    <s v="Cash"/>
    <x v="41"/>
    <n v="3.6974999999999909"/>
  </r>
  <r>
    <s v="320-32-8842"/>
    <x v="308"/>
    <s v="C"/>
    <x v="1"/>
    <x v="0"/>
    <x v="0"/>
    <x v="24"/>
    <x v="4"/>
    <n v="22.62"/>
    <n v="23.751000000000001"/>
    <n v="1"/>
    <s v="Cash"/>
    <x v="33"/>
    <n v="1.1310000000000002"/>
  </r>
  <r>
    <s v="470-32-9057"/>
    <x v="309"/>
    <s v="A"/>
    <x v="0"/>
    <x v="0"/>
    <x v="1"/>
    <x v="24"/>
    <x v="4"/>
    <n v="51.34"/>
    <n v="53.907000000000004"/>
    <n v="5"/>
    <s v="Credit card"/>
    <x v="0"/>
    <n v="2.5670000000000002"/>
  </r>
  <r>
    <s v="878-30-2331"/>
    <x v="310"/>
    <s v="C"/>
    <x v="1"/>
    <x v="0"/>
    <x v="0"/>
    <x v="13"/>
    <x v="2"/>
    <n v="54.55"/>
    <n v="57.277499999999996"/>
    <n v="10"/>
    <s v="Credit card"/>
    <x v="9"/>
    <n v="2.7274999999999991"/>
  </r>
  <r>
    <s v="440-59-5691"/>
    <x v="311"/>
    <s v="C"/>
    <x v="1"/>
    <x v="0"/>
    <x v="0"/>
    <x v="10"/>
    <x v="0"/>
    <n v="37.15"/>
    <n v="39.0075"/>
    <n v="7"/>
    <s v="Credit card"/>
    <x v="55"/>
    <n v="1.8575000000000017"/>
  </r>
  <r>
    <s v="554-53-3790"/>
    <x v="312"/>
    <s v="B"/>
    <x v="2"/>
    <x v="1"/>
    <x v="1"/>
    <x v="13"/>
    <x v="2"/>
    <n v="37.020000000000003"/>
    <n v="38.871000000000002"/>
    <n v="6"/>
    <s v="Cash"/>
    <x v="12"/>
    <n v="1.8509999999999991"/>
  </r>
  <r>
    <s v="746-19-0921"/>
    <x v="313"/>
    <s v="C"/>
    <x v="1"/>
    <x v="1"/>
    <x v="1"/>
    <x v="24"/>
    <x v="4"/>
    <n v="21.58"/>
    <n v="22.658999999999999"/>
    <n v="1"/>
    <s v="Ewallet"/>
    <x v="6"/>
    <n v="1.0790000000000006"/>
  </r>
  <r>
    <s v="233-34-0817"/>
    <x v="314"/>
    <s v="C"/>
    <x v="1"/>
    <x v="0"/>
    <x v="0"/>
    <x v="1"/>
    <x v="1"/>
    <n v="98.84"/>
    <n v="103.782"/>
    <n v="1"/>
    <s v="Cash"/>
    <x v="2"/>
    <n v="4.9419999999999931"/>
  </r>
  <r>
    <s v="340-21-9136"/>
    <x v="315"/>
    <s v="A"/>
    <x v="0"/>
    <x v="0"/>
    <x v="0"/>
    <x v="13"/>
    <x v="2"/>
    <n v="40.049999999999997"/>
    <n v="42.052500000000002"/>
    <n v="4"/>
    <s v="Cash"/>
    <x v="57"/>
    <n v="2.0025000000000048"/>
  </r>
  <r>
    <s v="731-59-7531"/>
    <x v="316"/>
    <s v="B"/>
    <x v="2"/>
    <x v="0"/>
    <x v="1"/>
    <x v="10"/>
    <x v="0"/>
    <n v="72.569999999999993"/>
    <n v="76.198499999999996"/>
    <n v="8"/>
    <s v="Cash"/>
    <x v="13"/>
    <n v="3.6285000000000025"/>
  </r>
  <r>
    <s v="676-39-6028"/>
    <x v="317"/>
    <s v="A"/>
    <x v="0"/>
    <x v="0"/>
    <x v="0"/>
    <x v="1"/>
    <x v="1"/>
    <n v="64.44"/>
    <n v="67.662000000000006"/>
    <n v="5"/>
    <s v="Cash"/>
    <x v="29"/>
    <n v="3.2220000000000084"/>
  </r>
  <r>
    <s v="502-05-1910"/>
    <x v="318"/>
    <s v="A"/>
    <x v="0"/>
    <x v="1"/>
    <x v="1"/>
    <x v="17"/>
    <x v="0"/>
    <n v="65.180000000000007"/>
    <n v="68.439000000000007"/>
    <n v="3"/>
    <s v="Credit card"/>
    <x v="52"/>
    <n v="3.2590000000000003"/>
  </r>
  <r>
    <s v="485-30-8700"/>
    <x v="319"/>
    <s v="A"/>
    <x v="0"/>
    <x v="1"/>
    <x v="0"/>
    <x v="19"/>
    <x v="2"/>
    <n v="33.26"/>
    <n v="34.923000000000002"/>
    <n v="5"/>
    <s v="Credit card"/>
    <x v="44"/>
    <n v="1.6630000000000038"/>
  </r>
  <r>
    <s v="598-47-9715"/>
    <x v="320"/>
    <s v="C"/>
    <x v="1"/>
    <x v="1"/>
    <x v="1"/>
    <x v="1"/>
    <x v="1"/>
    <n v="84.07"/>
    <n v="88.273499999999999"/>
    <n v="4"/>
    <s v="Ewallet"/>
    <x v="54"/>
    <n v="4.2035000000000053"/>
  </r>
  <r>
    <s v="701-69-8742"/>
    <x v="321"/>
    <s v="B"/>
    <x v="2"/>
    <x v="1"/>
    <x v="1"/>
    <x v="3"/>
    <x v="2"/>
    <n v="34.369999999999997"/>
    <n v="36.088499999999996"/>
    <n v="10"/>
    <s v="Ewallet"/>
    <x v="32"/>
    <n v="1.7184999999999988"/>
  </r>
  <r>
    <s v="575-67-1508"/>
    <x v="322"/>
    <s v="A"/>
    <x v="0"/>
    <x v="1"/>
    <x v="1"/>
    <x v="1"/>
    <x v="1"/>
    <n v="38.6"/>
    <n v="40.53"/>
    <n v="1"/>
    <s v="Ewallet"/>
    <x v="32"/>
    <n v="1.9299999999999997"/>
  </r>
  <r>
    <s v="541-08-3113"/>
    <x v="323"/>
    <s v="C"/>
    <x v="1"/>
    <x v="1"/>
    <x v="1"/>
    <x v="24"/>
    <x v="4"/>
    <n v="65.97"/>
    <n v="69.268500000000003"/>
    <n v="8"/>
    <s v="Cash"/>
    <x v="2"/>
    <n v="3.2985000000000042"/>
  </r>
  <r>
    <s v="246-11-3901"/>
    <x v="324"/>
    <s v="C"/>
    <x v="1"/>
    <x v="1"/>
    <x v="0"/>
    <x v="1"/>
    <x v="1"/>
    <n v="32.799999999999997"/>
    <n v="34.44"/>
    <n v="10"/>
    <s v="Cash"/>
    <x v="58"/>
    <n v="1.6400000000000006"/>
  </r>
  <r>
    <s v="674-15-9296"/>
    <x v="325"/>
    <s v="A"/>
    <x v="0"/>
    <x v="1"/>
    <x v="1"/>
    <x v="15"/>
    <x v="2"/>
    <n v="37.14"/>
    <n v="38.997"/>
    <n v="5"/>
    <s v="Ewallet"/>
    <x v="59"/>
    <n v="1.8569999999999993"/>
  </r>
  <r>
    <s v="493-65-6248"/>
    <x v="326"/>
    <s v="C"/>
    <x v="1"/>
    <x v="0"/>
    <x v="0"/>
    <x v="15"/>
    <x v="2"/>
    <n v="36.979999999999997"/>
    <n v="38.829000000000001"/>
    <n v="10"/>
    <s v="Credit card"/>
    <x v="22"/>
    <n v="1.8490000000000038"/>
  </r>
  <r>
    <s v="438-01-4015"/>
    <x v="327"/>
    <s v="B"/>
    <x v="2"/>
    <x v="0"/>
    <x v="0"/>
    <x v="11"/>
    <x v="2"/>
    <n v="49.49"/>
    <n v="51.964500000000001"/>
    <n v="4"/>
    <s v="Ewallet"/>
    <x v="29"/>
    <n v="2.474499999999999"/>
  </r>
  <r>
    <s v="608-04-3797"/>
    <x v="328"/>
    <s v="B"/>
    <x v="2"/>
    <x v="0"/>
    <x v="0"/>
    <x v="17"/>
    <x v="0"/>
    <n v="25.32"/>
    <n v="26.585999999999999"/>
    <n v="8"/>
    <s v="Ewallet"/>
    <x v="36"/>
    <n v="1.2659999999999982"/>
  </r>
  <r>
    <s v="632-32-4574"/>
    <x v="329"/>
    <s v="B"/>
    <x v="2"/>
    <x v="1"/>
    <x v="1"/>
    <x v="15"/>
    <x v="2"/>
    <n v="75.92"/>
    <n v="79.715999999999994"/>
    <n v="8"/>
    <s v="Cash"/>
    <x v="38"/>
    <n v="3.7959999999999923"/>
  </r>
  <r>
    <s v="556-97-7101"/>
    <x v="330"/>
    <s v="C"/>
    <x v="1"/>
    <x v="1"/>
    <x v="0"/>
    <x v="1"/>
    <x v="1"/>
    <n v="63.22"/>
    <n v="66.381"/>
    <n v="2"/>
    <s v="Cash"/>
    <x v="28"/>
    <n v="3.1610000000000014"/>
  </r>
  <r>
    <s v="862-59-8517"/>
    <x v="331"/>
    <s v="C"/>
    <x v="1"/>
    <x v="1"/>
    <x v="0"/>
    <x v="24"/>
    <x v="4"/>
    <n v="90.24"/>
    <n v="94.751999999999995"/>
    <n v="6"/>
    <s v="Cash"/>
    <x v="58"/>
    <n v="4.5120000000000005"/>
  </r>
  <r>
    <s v="401-18-8016"/>
    <x v="332"/>
    <s v="B"/>
    <x v="2"/>
    <x v="0"/>
    <x v="0"/>
    <x v="15"/>
    <x v="2"/>
    <n v="98.13"/>
    <n v="103.0365"/>
    <n v="1"/>
    <s v="Cash"/>
    <x v="60"/>
    <n v="4.9065000000000083"/>
  </r>
  <r>
    <s v="420-18-8989"/>
    <x v="333"/>
    <s v="A"/>
    <x v="0"/>
    <x v="0"/>
    <x v="0"/>
    <x v="15"/>
    <x v="2"/>
    <n v="51.52"/>
    <n v="54.095999999999997"/>
    <n v="8"/>
    <s v="Cash"/>
    <x v="1"/>
    <n v="2.5759999999999934"/>
  </r>
  <r>
    <s v="277-63-2961"/>
    <x v="334"/>
    <s v="B"/>
    <x v="2"/>
    <x v="0"/>
    <x v="1"/>
    <x v="3"/>
    <x v="2"/>
    <n v="73.97"/>
    <n v="77.668499999999995"/>
    <n v="1"/>
    <s v="Credit card"/>
    <x v="37"/>
    <n v="3.6984999999999957"/>
  </r>
  <r>
    <s v="282-35-2475"/>
    <x v="335"/>
    <s v="B"/>
    <x v="2"/>
    <x v="1"/>
    <x v="0"/>
    <x v="15"/>
    <x v="2"/>
    <n v="93.31"/>
    <n v="97.975499999999997"/>
    <n v="2"/>
    <s v="Cash"/>
    <x v="52"/>
    <n v="4.6654999999999944"/>
  </r>
  <r>
    <s v="511-54-3087"/>
    <x v="336"/>
    <s v="B"/>
    <x v="2"/>
    <x v="1"/>
    <x v="1"/>
    <x v="15"/>
    <x v="2"/>
    <n v="88.45"/>
    <n v="92.872500000000002"/>
    <n v="1"/>
    <s v="Credit card"/>
    <x v="26"/>
    <n v="4.4224999999999994"/>
  </r>
  <r>
    <s v="726-29-6793"/>
    <x v="337"/>
    <s v="A"/>
    <x v="0"/>
    <x v="0"/>
    <x v="1"/>
    <x v="1"/>
    <x v="1"/>
    <n v="24.18"/>
    <n v="25.388999999999999"/>
    <n v="8"/>
    <s v="Ewallet"/>
    <x v="53"/>
    <n v="1.2089999999999996"/>
  </r>
  <r>
    <s v="387-49-4215"/>
    <x v="338"/>
    <s v="B"/>
    <x v="2"/>
    <x v="0"/>
    <x v="0"/>
    <x v="15"/>
    <x v="2"/>
    <n v="48.5"/>
    <n v="50.925000000000004"/>
    <n v="3"/>
    <s v="Cash"/>
    <x v="32"/>
    <n v="2.4250000000000043"/>
  </r>
  <r>
    <s v="862-17-9201"/>
    <x v="339"/>
    <s v="B"/>
    <x v="2"/>
    <x v="1"/>
    <x v="0"/>
    <x v="24"/>
    <x v="4"/>
    <n v="84.05"/>
    <n v="88.252499999999998"/>
    <n v="6"/>
    <s v="Credit card"/>
    <x v="55"/>
    <n v="4.2025000000000006"/>
  </r>
  <r>
    <s v="291-21-5991"/>
    <x v="340"/>
    <s v="B"/>
    <x v="2"/>
    <x v="0"/>
    <x v="1"/>
    <x v="17"/>
    <x v="0"/>
    <n v="61.29"/>
    <n v="64.354500000000002"/>
    <n v="5"/>
    <s v="Cash"/>
    <x v="22"/>
    <n v="3.0645000000000024"/>
  </r>
  <r>
    <s v="347-72-6115"/>
    <x v="341"/>
    <s v="B"/>
    <x v="2"/>
    <x v="0"/>
    <x v="0"/>
    <x v="15"/>
    <x v="2"/>
    <n v="90.74"/>
    <n v="95.277000000000001"/>
    <n v="7"/>
    <s v="Credit card"/>
    <x v="58"/>
    <n v="4.5370000000000061"/>
  </r>
  <r>
    <s v="189-52-0236"/>
    <x v="342"/>
    <s v="A"/>
    <x v="0"/>
    <x v="1"/>
    <x v="1"/>
    <x v="1"/>
    <x v="1"/>
    <n v="99.55"/>
    <n v="104.5275"/>
    <n v="7"/>
    <s v="Cash"/>
    <x v="24"/>
    <n v="4.9775000000000063"/>
  </r>
  <r>
    <s v="503-07-0930"/>
    <x v="343"/>
    <s v="C"/>
    <x v="1"/>
    <x v="0"/>
    <x v="1"/>
    <x v="15"/>
    <x v="2"/>
    <n v="58.39"/>
    <n v="61.3095"/>
    <n v="7"/>
    <s v="Credit card"/>
    <x v="10"/>
    <n v="2.9194999999999993"/>
  </r>
  <r>
    <s v="425-85-2085"/>
    <x v="344"/>
    <s v="B"/>
    <x v="2"/>
    <x v="0"/>
    <x v="1"/>
    <x v="20"/>
    <x v="0"/>
    <n v="54.86"/>
    <n v="57.602999999999994"/>
    <n v="5"/>
    <s v="Ewallet"/>
    <x v="53"/>
    <n v="2.742999999999995"/>
  </r>
  <r>
    <s v="600-38-9738"/>
    <x v="345"/>
    <s v="C"/>
    <x v="1"/>
    <x v="0"/>
    <x v="1"/>
    <x v="15"/>
    <x v="2"/>
    <n v="71.92"/>
    <n v="75.515999999999991"/>
    <n v="5"/>
    <s v="Credit card"/>
    <x v="34"/>
    <n v="3.5959999999999894"/>
  </r>
  <r>
    <s v="734-91-1155"/>
    <x v="346"/>
    <s v="B"/>
    <x v="2"/>
    <x v="1"/>
    <x v="0"/>
    <x v="25"/>
    <x v="1"/>
    <n v="45.71"/>
    <n v="47.9955"/>
    <n v="3"/>
    <s v="Credit card"/>
    <x v="55"/>
    <n v="2.285499999999999"/>
  </r>
  <r>
    <s v="133-14-7229"/>
    <x v="347"/>
    <s v="C"/>
    <x v="1"/>
    <x v="1"/>
    <x v="1"/>
    <x v="20"/>
    <x v="0"/>
    <n v="62.87"/>
    <n v="66.013499999999993"/>
    <n v="2"/>
    <s v="Cash"/>
    <x v="59"/>
    <n v="3.143499999999996"/>
  </r>
  <r>
    <s v="534-01-4457"/>
    <x v="348"/>
    <s v="A"/>
    <x v="0"/>
    <x v="1"/>
    <x v="1"/>
    <x v="24"/>
    <x v="4"/>
    <n v="81.709999999999994"/>
    <n v="85.795500000000004"/>
    <n v="6"/>
    <s v="Credit card"/>
    <x v="43"/>
    <n v="4.0855000000000103"/>
  </r>
  <r>
    <s v="719-89-8991"/>
    <x v="349"/>
    <s v="A"/>
    <x v="0"/>
    <x v="0"/>
    <x v="0"/>
    <x v="3"/>
    <x v="2"/>
    <n v="91.41"/>
    <n v="95.980499999999992"/>
    <n v="5"/>
    <s v="Ewallet"/>
    <x v="9"/>
    <n v="4.5704999999999956"/>
  </r>
  <r>
    <s v="827-44-5872"/>
    <x v="350"/>
    <s v="B"/>
    <x v="2"/>
    <x v="0"/>
    <x v="0"/>
    <x v="24"/>
    <x v="4"/>
    <n v="54.36"/>
    <n v="57.077999999999996"/>
    <n v="10"/>
    <s v="Credit card"/>
    <x v="41"/>
    <n v="2.7179999999999964"/>
  </r>
  <r>
    <s v="827-77-7633"/>
    <x v="351"/>
    <s v="A"/>
    <x v="0"/>
    <x v="1"/>
    <x v="1"/>
    <x v="3"/>
    <x v="2"/>
    <n v="98.09"/>
    <n v="102.9945"/>
    <n v="9"/>
    <s v="Cash"/>
    <x v="30"/>
    <n v="4.9044999999999987"/>
  </r>
  <r>
    <s v="287-83-1405"/>
    <x v="352"/>
    <s v="A"/>
    <x v="0"/>
    <x v="1"/>
    <x v="1"/>
    <x v="6"/>
    <x v="0"/>
    <n v="25.43"/>
    <n v="26.701499999999999"/>
    <n v="6"/>
    <s v="Ewallet"/>
    <x v="22"/>
    <n v="1.2714999999999996"/>
  </r>
  <r>
    <s v="857-67-9057"/>
    <x v="353"/>
    <s v="B"/>
    <x v="2"/>
    <x v="1"/>
    <x v="1"/>
    <x v="1"/>
    <x v="1"/>
    <n v="22.95"/>
    <n v="24.0975"/>
    <n v="10"/>
    <s v="Ewallet"/>
    <x v="10"/>
    <n v="1.1475000000000009"/>
  </r>
  <r>
    <s v="236-27-1144"/>
    <x v="354"/>
    <s v="C"/>
    <x v="1"/>
    <x v="1"/>
    <x v="0"/>
    <x v="24"/>
    <x v="4"/>
    <n v="16.309999999999999"/>
    <n v="17.125500000000002"/>
    <n v="9"/>
    <s v="Ewallet"/>
    <x v="2"/>
    <n v="0.81550000000000367"/>
  </r>
  <r>
    <s v="358-88-9262"/>
    <x v="355"/>
    <s v="C"/>
    <x v="1"/>
    <x v="0"/>
    <x v="0"/>
    <x v="16"/>
    <x v="4"/>
    <n v="87.48"/>
    <n v="91.853999999999999"/>
    <n v="6"/>
    <s v="Ewallet"/>
    <x v="17"/>
    <n v="4.3739999999999952"/>
  </r>
  <r>
    <s v="343-87-0864"/>
    <x v="356"/>
    <s v="C"/>
    <x v="1"/>
    <x v="0"/>
    <x v="1"/>
    <x v="12"/>
    <x v="0"/>
    <n v="75.88"/>
    <n v="79.674000000000007"/>
    <n v="1"/>
    <s v="Credit card"/>
    <x v="9"/>
    <n v="3.7940000000000111"/>
  </r>
  <r>
    <s v="173-50-1108"/>
    <x v="357"/>
    <s v="B"/>
    <x v="2"/>
    <x v="0"/>
    <x v="0"/>
    <x v="3"/>
    <x v="2"/>
    <n v="20.18"/>
    <n v="21.189"/>
    <n v="4"/>
    <s v="Credit card"/>
    <x v="59"/>
    <n v="1.0090000000000003"/>
  </r>
  <r>
    <s v="243-47-2663"/>
    <x v="358"/>
    <s v="C"/>
    <x v="1"/>
    <x v="0"/>
    <x v="1"/>
    <x v="1"/>
    <x v="1"/>
    <n v="18.77"/>
    <n v="19.708500000000001"/>
    <n v="6"/>
    <s v="Credit card"/>
    <x v="38"/>
    <n v="0.93850000000000122"/>
  </r>
  <r>
    <s v="841-18-8232"/>
    <x v="359"/>
    <s v="B"/>
    <x v="2"/>
    <x v="1"/>
    <x v="0"/>
    <x v="16"/>
    <x v="4"/>
    <n v="71.2"/>
    <n v="74.760000000000005"/>
    <n v="1"/>
    <s v="Credit card"/>
    <x v="45"/>
    <n v="3.5600000000000023"/>
  </r>
  <r>
    <s v="541-48-8554"/>
    <x v="360"/>
    <s v="A"/>
    <x v="0"/>
    <x v="1"/>
    <x v="1"/>
    <x v="11"/>
    <x v="2"/>
    <n v="60.95"/>
    <n v="63.997499999999995"/>
    <n v="9"/>
    <s v="Credit card"/>
    <x v="19"/>
    <n v="3.0474999999999923"/>
  </r>
  <r>
    <s v="539-21-7227"/>
    <x v="361"/>
    <s v="B"/>
    <x v="2"/>
    <x v="1"/>
    <x v="0"/>
    <x v="3"/>
    <x v="2"/>
    <n v="51.54"/>
    <n v="54.116999999999997"/>
    <n v="5"/>
    <s v="Cash"/>
    <x v="44"/>
    <n v="2.5769999999999982"/>
  </r>
  <r>
    <s v="213-32-1216"/>
    <x v="362"/>
    <s v="A"/>
    <x v="0"/>
    <x v="1"/>
    <x v="0"/>
    <x v="25"/>
    <x v="1"/>
    <n v="66.06"/>
    <n v="69.363"/>
    <n v="6"/>
    <s v="Cash"/>
    <x v="40"/>
    <n v="3.3029999999999973"/>
  </r>
  <r>
    <s v="210-57-1719"/>
    <x v="363"/>
    <s v="B"/>
    <x v="2"/>
    <x v="1"/>
    <x v="0"/>
    <x v="10"/>
    <x v="0"/>
    <n v="58.24"/>
    <n v="61.152000000000008"/>
    <n v="9"/>
    <s v="Cash"/>
    <x v="57"/>
    <n v="2.9120000000000061"/>
  </r>
  <r>
    <s v="399-69-4630"/>
    <x v="364"/>
    <s v="C"/>
    <x v="1"/>
    <x v="1"/>
    <x v="1"/>
    <x v="1"/>
    <x v="1"/>
    <n v="22.21"/>
    <n v="23.320499999999999"/>
    <n v="6"/>
    <s v="Credit card"/>
    <x v="15"/>
    <n v="1.1104999999999983"/>
  </r>
  <r>
    <s v="134-75-2619"/>
    <x v="365"/>
    <s v="A"/>
    <x v="0"/>
    <x v="0"/>
    <x v="1"/>
    <x v="1"/>
    <x v="1"/>
    <n v="19.32"/>
    <n v="20.286000000000001"/>
    <n v="7"/>
    <s v="Cash"/>
    <x v="14"/>
    <n v="0.96600000000000108"/>
  </r>
  <r>
    <s v="283-26-5248"/>
    <x v="366"/>
    <s v="C"/>
    <x v="1"/>
    <x v="0"/>
    <x v="0"/>
    <x v="16"/>
    <x v="4"/>
    <n v="98.52"/>
    <n v="103.446"/>
    <n v="10"/>
    <s v="Ewallet"/>
    <x v="12"/>
    <n v="4.9260000000000019"/>
  </r>
  <r>
    <s v="712-39-0363"/>
    <x v="367"/>
    <s v="A"/>
    <x v="0"/>
    <x v="0"/>
    <x v="1"/>
    <x v="16"/>
    <x v="4"/>
    <n v="41.66"/>
    <n v="43.743000000000002"/>
    <n v="6"/>
    <s v="Ewallet"/>
    <x v="25"/>
    <n v="2.0830000000000055"/>
  </r>
  <r>
    <s v="174-75-0888"/>
    <x v="368"/>
    <s v="B"/>
    <x v="2"/>
    <x v="1"/>
    <x v="1"/>
    <x v="1"/>
    <x v="1"/>
    <n v="21.58"/>
    <n v="22.659000000000002"/>
    <n v="9"/>
    <s v="Cash"/>
    <x v="40"/>
    <n v="1.0790000000000042"/>
  </r>
  <r>
    <s v="866-99-7614"/>
    <x v="369"/>
    <s v="C"/>
    <x v="1"/>
    <x v="1"/>
    <x v="1"/>
    <x v="16"/>
    <x v="4"/>
    <n v="89.2"/>
    <n v="93.66"/>
    <n v="10"/>
    <s v="Credit card"/>
    <x v="54"/>
    <n v="4.4599999999999937"/>
  </r>
  <r>
    <s v="134-54-4720"/>
    <x v="370"/>
    <s v="B"/>
    <x v="2"/>
    <x v="1"/>
    <x v="0"/>
    <x v="1"/>
    <x v="1"/>
    <n v="42.42"/>
    <n v="44.540999999999997"/>
    <n v="8"/>
    <s v="Ewallet"/>
    <x v="11"/>
    <n v="2.1209999999999951"/>
  </r>
  <r>
    <s v="760-90-2357"/>
    <x v="371"/>
    <s v="A"/>
    <x v="0"/>
    <x v="0"/>
    <x v="1"/>
    <x v="25"/>
    <x v="1"/>
    <n v="74.510000000000005"/>
    <n v="78.235500000000002"/>
    <n v="6"/>
    <s v="Ewallet"/>
    <x v="59"/>
    <n v="3.7254999999999967"/>
  </r>
  <r>
    <s v="698-98-5964"/>
    <x v="372"/>
    <s v="A"/>
    <x v="0"/>
    <x v="1"/>
    <x v="0"/>
    <x v="14"/>
    <x v="4"/>
    <n v="81.209999999999994"/>
    <n v="85.270499999999998"/>
    <n v="10"/>
    <s v="Credit card"/>
    <x v="52"/>
    <n v="4.0605000000000047"/>
  </r>
  <r>
    <s v="718-57-9773"/>
    <x v="373"/>
    <s v="C"/>
    <x v="1"/>
    <x v="1"/>
    <x v="0"/>
    <x v="11"/>
    <x v="2"/>
    <n v="49.33"/>
    <n v="51.796500000000002"/>
    <n v="10"/>
    <s v="Credit card"/>
    <x v="51"/>
    <n v="2.4665000000000035"/>
  </r>
  <r>
    <s v="408-26-9866"/>
    <x v="374"/>
    <s v="C"/>
    <x v="1"/>
    <x v="1"/>
    <x v="0"/>
    <x v="3"/>
    <x v="2"/>
    <n v="73.98"/>
    <n v="77.679000000000002"/>
    <n v="7"/>
    <s v="Ewallet"/>
    <x v="4"/>
    <n v="3.6989999999999981"/>
  </r>
  <r>
    <s v="343-61-3544"/>
    <x v="375"/>
    <s v="B"/>
    <x v="2"/>
    <x v="0"/>
    <x v="1"/>
    <x v="11"/>
    <x v="2"/>
    <n v="26.67"/>
    <n v="28.003500000000003"/>
    <n v="10"/>
    <s v="Cash"/>
    <x v="15"/>
    <n v="1.3335000000000008"/>
  </r>
  <r>
    <s v="239-48-4278"/>
    <x v="376"/>
    <s v="A"/>
    <x v="0"/>
    <x v="0"/>
    <x v="1"/>
    <x v="16"/>
    <x v="4"/>
    <n v="10.130000000000001"/>
    <n v="10.6365"/>
    <n v="7"/>
    <s v="Ewallet"/>
    <x v="39"/>
    <n v="0.50649999999999906"/>
  </r>
  <r>
    <s v="355-34-6244"/>
    <x v="377"/>
    <s v="B"/>
    <x v="2"/>
    <x v="1"/>
    <x v="1"/>
    <x v="16"/>
    <x v="4"/>
    <n v="72.39"/>
    <n v="76.009500000000003"/>
    <n v="2"/>
    <s v="Credit card"/>
    <x v="27"/>
    <n v="3.6195000000000022"/>
  </r>
  <r>
    <s v="550-84-8664"/>
    <x v="378"/>
    <s v="A"/>
    <x v="0"/>
    <x v="1"/>
    <x v="1"/>
    <x v="3"/>
    <x v="2"/>
    <n v="85.91"/>
    <n v="90.205500000000001"/>
    <n v="5"/>
    <s v="Credit card"/>
    <x v="15"/>
    <n v="4.2955000000000041"/>
  </r>
  <r>
    <s v="458-61-0011"/>
    <x v="379"/>
    <s v="B"/>
    <x v="2"/>
    <x v="1"/>
    <x v="1"/>
    <x v="16"/>
    <x v="4"/>
    <n v="60.3"/>
    <n v="63.314999999999998"/>
    <n v="4"/>
    <s v="Cash"/>
    <x v="5"/>
    <n v="3.0150000000000006"/>
  </r>
  <r>
    <s v="592-34-6155"/>
    <x v="380"/>
    <s v="C"/>
    <x v="1"/>
    <x v="1"/>
    <x v="1"/>
    <x v="24"/>
    <x v="4"/>
    <n v="31.77"/>
    <n v="33.358499999999999"/>
    <n v="4"/>
    <s v="Ewallet"/>
    <x v="58"/>
    <n v="1.5884999999999998"/>
  </r>
  <r>
    <s v="797-88-0493"/>
    <x v="381"/>
    <s v="A"/>
    <x v="0"/>
    <x v="1"/>
    <x v="0"/>
    <x v="6"/>
    <x v="0"/>
    <n v="64.27"/>
    <n v="67.483500000000006"/>
    <n v="4"/>
    <s v="Cash"/>
    <x v="55"/>
    <n v="3.2135000000000105"/>
  </r>
  <r>
    <s v="207-73-1363"/>
    <x v="382"/>
    <s v="B"/>
    <x v="2"/>
    <x v="1"/>
    <x v="1"/>
    <x v="10"/>
    <x v="0"/>
    <n v="69.510000000000005"/>
    <n v="72.985500000000002"/>
    <n v="2"/>
    <s v="Ewallet"/>
    <x v="27"/>
    <n v="3.4754999999999967"/>
  </r>
  <r>
    <s v="390-31-6381"/>
    <x v="383"/>
    <s v="C"/>
    <x v="1"/>
    <x v="1"/>
    <x v="1"/>
    <x v="24"/>
    <x v="4"/>
    <n v="27.22"/>
    <n v="28.581"/>
    <n v="3"/>
    <s v="Cash"/>
    <x v="40"/>
    <n v="1.3610000000000007"/>
  </r>
  <r>
    <s v="443-82-0585"/>
    <x v="384"/>
    <s v="A"/>
    <x v="0"/>
    <x v="0"/>
    <x v="0"/>
    <x v="6"/>
    <x v="0"/>
    <n v="77.680000000000007"/>
    <n v="81.563999999999993"/>
    <n v="4"/>
    <s v="Cash"/>
    <x v="2"/>
    <n v="3.8839999999999861"/>
  </r>
  <r>
    <s v="375-72-3056"/>
    <x v="385"/>
    <s v="B"/>
    <x v="2"/>
    <x v="1"/>
    <x v="1"/>
    <x v="15"/>
    <x v="2"/>
    <n v="63.06"/>
    <n v="66.213000000000008"/>
    <n v="3"/>
    <s v="Ewallet"/>
    <x v="22"/>
    <n v="3.1530000000000058"/>
  </r>
  <r>
    <s v="127-47-6963"/>
    <x v="386"/>
    <s v="A"/>
    <x v="0"/>
    <x v="1"/>
    <x v="1"/>
    <x v="12"/>
    <x v="0"/>
    <n v="51.71"/>
    <n v="54.295499999999997"/>
    <n v="4"/>
    <s v="Credit card"/>
    <x v="53"/>
    <n v="2.5854999999999961"/>
  </r>
  <r>
    <s v="278-86-2735"/>
    <x v="387"/>
    <s v="A"/>
    <x v="0"/>
    <x v="1"/>
    <x v="0"/>
    <x v="24"/>
    <x v="4"/>
    <n v="52.34"/>
    <n v="54.957000000000001"/>
    <n v="3"/>
    <s v="Cash"/>
    <x v="45"/>
    <n v="2.6169999999999973"/>
  </r>
  <r>
    <s v="695-28-6250"/>
    <x v="388"/>
    <s v="A"/>
    <x v="0"/>
    <x v="1"/>
    <x v="0"/>
    <x v="15"/>
    <x v="2"/>
    <n v="43.06"/>
    <n v="45.213000000000001"/>
    <n v="5"/>
    <s v="Ewallet"/>
    <x v="55"/>
    <n v="2.1529999999999987"/>
  </r>
  <r>
    <s v="227-50-3718"/>
    <x v="389"/>
    <s v="A"/>
    <x v="0"/>
    <x v="1"/>
    <x v="1"/>
    <x v="6"/>
    <x v="0"/>
    <n v="14.62"/>
    <n v="15.350999999999999"/>
    <n v="5"/>
    <s v="Cash"/>
    <x v="54"/>
    <n v="0.73099999999999987"/>
  </r>
  <r>
    <s v="302-15-2162"/>
    <x v="390"/>
    <s v="C"/>
    <x v="1"/>
    <x v="0"/>
    <x v="1"/>
    <x v="6"/>
    <x v="0"/>
    <n v="46.53"/>
    <n v="48.856500000000004"/>
    <n v="6"/>
    <s v="Credit card"/>
    <x v="34"/>
    <n v="2.3265000000000029"/>
  </r>
  <r>
    <s v="560-49-6611"/>
    <x v="391"/>
    <s v="A"/>
    <x v="0"/>
    <x v="0"/>
    <x v="0"/>
    <x v="15"/>
    <x v="2"/>
    <n v="45.58"/>
    <n v="47.859000000000002"/>
    <n v="1"/>
    <s v="Cash"/>
    <x v="53"/>
    <n v="2.2790000000000035"/>
  </r>
  <r>
    <s v="880-35-0356"/>
    <x v="392"/>
    <s v="A"/>
    <x v="0"/>
    <x v="0"/>
    <x v="0"/>
    <x v="11"/>
    <x v="2"/>
    <n v="75.2"/>
    <n v="78.959999999999994"/>
    <n v="3"/>
    <s v="Ewallet"/>
    <x v="16"/>
    <n v="3.7599999999999909"/>
  </r>
  <r>
    <s v="585-11-6748"/>
    <x v="393"/>
    <s v="B"/>
    <x v="2"/>
    <x v="0"/>
    <x v="1"/>
    <x v="15"/>
    <x v="2"/>
    <n v="96.8"/>
    <n v="101.64"/>
    <n v="3"/>
    <s v="Cash"/>
    <x v="3"/>
    <n v="4.8400000000000034"/>
  </r>
  <r>
    <s v="470-31-3286"/>
    <x v="394"/>
    <s v="B"/>
    <x v="2"/>
    <x v="1"/>
    <x v="1"/>
    <x v="10"/>
    <x v="0"/>
    <n v="14.82"/>
    <n v="15.561"/>
    <n v="3"/>
    <s v="Credit card"/>
    <x v="36"/>
    <n v="0.74099999999999966"/>
  </r>
  <r>
    <s v="152-68-2907"/>
    <x v="395"/>
    <s v="A"/>
    <x v="0"/>
    <x v="1"/>
    <x v="1"/>
    <x v="24"/>
    <x v="4"/>
    <n v="52.2"/>
    <n v="54.81"/>
    <n v="3"/>
    <s v="Credit card"/>
    <x v="26"/>
    <n v="2.6099999999999994"/>
  </r>
  <r>
    <s v="123-35-4896"/>
    <x v="396"/>
    <s v="C"/>
    <x v="1"/>
    <x v="1"/>
    <x v="0"/>
    <x v="19"/>
    <x v="2"/>
    <n v="46.66"/>
    <n v="48.993000000000002"/>
    <n v="9"/>
    <s v="Ewallet"/>
    <x v="3"/>
    <n v="2.3330000000000055"/>
  </r>
  <r>
    <s v="219-61-4139"/>
    <x v="397"/>
    <s v="C"/>
    <x v="1"/>
    <x v="1"/>
    <x v="1"/>
    <x v="1"/>
    <x v="1"/>
    <n v="83.08"/>
    <n v="87.233999999999995"/>
    <n v="1"/>
    <s v="Ewallet"/>
    <x v="33"/>
    <n v="4.1539999999999964"/>
  </r>
  <r>
    <s v="373-09-4567"/>
    <x v="398"/>
    <s v="C"/>
    <x v="1"/>
    <x v="1"/>
    <x v="1"/>
    <x v="24"/>
    <x v="4"/>
    <n v="77.56"/>
    <n v="81.438000000000002"/>
    <n v="10"/>
    <s v="Ewallet"/>
    <x v="14"/>
    <n v="3.8780000000000001"/>
  </r>
  <r>
    <s v="642-30-6693"/>
    <x v="399"/>
    <s v="B"/>
    <x v="2"/>
    <x v="1"/>
    <x v="0"/>
    <x v="19"/>
    <x v="2"/>
    <n v="54.51"/>
    <n v="57.235500000000002"/>
    <n v="6"/>
    <s v="Ewallet"/>
    <x v="46"/>
    <n v="2.7255000000000038"/>
  </r>
  <r>
    <s v="544-32-5024"/>
    <x v="400"/>
    <s v="C"/>
    <x v="1"/>
    <x v="0"/>
    <x v="0"/>
    <x v="24"/>
    <x v="4"/>
    <n v="49.79"/>
    <n v="52.279499999999999"/>
    <n v="4"/>
    <s v="Credit card"/>
    <x v="33"/>
    <n v="2.4894999999999996"/>
  </r>
  <r>
    <s v="349-97-8902"/>
    <x v="401"/>
    <s v="B"/>
    <x v="2"/>
    <x v="0"/>
    <x v="1"/>
    <x v="24"/>
    <x v="4"/>
    <n v="57.89"/>
    <n v="60.784500000000001"/>
    <n v="2"/>
    <s v="Ewallet"/>
    <x v="60"/>
    <n v="2.8945000000000007"/>
  </r>
  <r>
    <s v="421-95-9805"/>
    <x v="402"/>
    <s v="A"/>
    <x v="0"/>
    <x v="1"/>
    <x v="0"/>
    <x v="1"/>
    <x v="1"/>
    <n v="28.96"/>
    <n v="30.408000000000001"/>
    <n v="1"/>
    <s v="Credit card"/>
    <x v="58"/>
    <n v="1.4480000000000004"/>
  </r>
  <r>
    <s v="277-35-5865"/>
    <x v="403"/>
    <s v="C"/>
    <x v="1"/>
    <x v="0"/>
    <x v="0"/>
    <x v="24"/>
    <x v="4"/>
    <n v="98.97"/>
    <n v="103.91849999999999"/>
    <n v="9"/>
    <s v="Cash"/>
    <x v="32"/>
    <n v="4.9484999999999957"/>
  </r>
  <r>
    <s v="284-54-4231"/>
    <x v="404"/>
    <s v="C"/>
    <x v="1"/>
    <x v="0"/>
    <x v="1"/>
    <x v="19"/>
    <x v="2"/>
    <n v="80.930000000000007"/>
    <n v="84.976500000000001"/>
    <n v="1"/>
    <s v="Credit card"/>
    <x v="49"/>
    <n v="4.0464999999999947"/>
  </r>
  <r>
    <s v="443-59-0061"/>
    <x v="405"/>
    <s v="A"/>
    <x v="0"/>
    <x v="0"/>
    <x v="1"/>
    <x v="16"/>
    <x v="4"/>
    <n v="67.45"/>
    <n v="70.822500000000005"/>
    <n v="10"/>
    <s v="Ewallet"/>
    <x v="44"/>
    <n v="3.3725000000000023"/>
  </r>
  <r>
    <s v="509-29-3912"/>
    <x v="406"/>
    <s v="A"/>
    <x v="0"/>
    <x v="0"/>
    <x v="0"/>
    <x v="19"/>
    <x v="2"/>
    <n v="38.72"/>
    <n v="40.655999999999999"/>
    <n v="9"/>
    <s v="Ewallet"/>
    <x v="44"/>
    <n v="1.9359999999999999"/>
  </r>
  <r>
    <s v="327-40-9673"/>
    <x v="407"/>
    <s v="B"/>
    <x v="2"/>
    <x v="0"/>
    <x v="1"/>
    <x v="19"/>
    <x v="2"/>
    <n v="72.599999999999994"/>
    <n v="76.23"/>
    <n v="6"/>
    <s v="Cash"/>
    <x v="14"/>
    <n v="3.6300000000000097"/>
  </r>
  <r>
    <s v="840-19-2096"/>
    <x v="408"/>
    <s v="C"/>
    <x v="1"/>
    <x v="0"/>
    <x v="1"/>
    <x v="1"/>
    <x v="1"/>
    <n v="87.91"/>
    <n v="92.305499999999995"/>
    <n v="5"/>
    <s v="Ewallet"/>
    <x v="54"/>
    <n v="4.3954999999999984"/>
  </r>
  <r>
    <s v="828-46-6863"/>
    <x v="409"/>
    <s v="A"/>
    <x v="0"/>
    <x v="0"/>
    <x v="1"/>
    <x v="16"/>
    <x v="4"/>
    <n v="98.53"/>
    <n v="103.45650000000001"/>
    <n v="6"/>
    <s v="Credit card"/>
    <x v="35"/>
    <n v="4.9265000000000043"/>
  </r>
  <r>
    <s v="420-97-3340"/>
    <x v="410"/>
    <s v="A"/>
    <x v="0"/>
    <x v="1"/>
    <x v="0"/>
    <x v="16"/>
    <x v="4"/>
    <n v="71.680000000000007"/>
    <n v="75.263999999999996"/>
    <n v="3"/>
    <s v="Credit card"/>
    <x v="45"/>
    <n v="3.583999999999989"/>
  </r>
  <r>
    <s v="436-54-4512"/>
    <x v="411"/>
    <s v="A"/>
    <x v="0"/>
    <x v="0"/>
    <x v="0"/>
    <x v="16"/>
    <x v="4"/>
    <n v="91.61"/>
    <n v="96.1905"/>
    <n v="1"/>
    <s v="Cash"/>
    <x v="53"/>
    <n v="4.5805000000000007"/>
  </r>
  <r>
    <s v="135-13-8269"/>
    <x v="412"/>
    <s v="B"/>
    <x v="2"/>
    <x v="0"/>
    <x v="0"/>
    <x v="16"/>
    <x v="4"/>
    <n v="78.88"/>
    <n v="82.823999999999998"/>
    <n v="2"/>
    <s v="Cash"/>
    <x v="0"/>
    <n v="3.9440000000000026"/>
  </r>
  <r>
    <s v="816-57-2053"/>
    <x v="413"/>
    <s v="A"/>
    <x v="0"/>
    <x v="1"/>
    <x v="1"/>
    <x v="19"/>
    <x v="2"/>
    <n v="60.87"/>
    <n v="63.913499999999999"/>
    <n v="2"/>
    <s v="Ewallet"/>
    <x v="36"/>
    <n v="3.0435000000000016"/>
  </r>
  <r>
    <s v="628-90-8624"/>
    <x v="414"/>
    <s v="B"/>
    <x v="2"/>
    <x v="0"/>
    <x v="1"/>
    <x v="6"/>
    <x v="0"/>
    <n v="82.58"/>
    <n v="86.709000000000003"/>
    <n v="10"/>
    <s v="Cash"/>
    <x v="59"/>
    <n v="4.1290000000000049"/>
  </r>
  <r>
    <s v="149-61-1929"/>
    <x v="415"/>
    <s v="A"/>
    <x v="0"/>
    <x v="1"/>
    <x v="1"/>
    <x v="22"/>
    <x v="2"/>
    <n v="64.19"/>
    <n v="67.399500000000003"/>
    <n v="10"/>
    <s v="Credit card"/>
    <x v="32"/>
    <n v="3.2095000000000056"/>
  </r>
  <r>
    <s v="655-07-2265"/>
    <x v="416"/>
    <s v="A"/>
    <x v="0"/>
    <x v="1"/>
    <x v="1"/>
    <x v="1"/>
    <x v="1"/>
    <n v="78.31"/>
    <n v="82.225499999999997"/>
    <n v="3"/>
    <s v="Ewallet"/>
    <x v="37"/>
    <n v="3.9154999999999944"/>
  </r>
  <r>
    <s v="589-02-8023"/>
    <x v="417"/>
    <s v="A"/>
    <x v="0"/>
    <x v="0"/>
    <x v="1"/>
    <x v="16"/>
    <x v="4"/>
    <n v="83.77"/>
    <n v="87.958500000000001"/>
    <n v="2"/>
    <s v="Credit card"/>
    <x v="22"/>
    <n v="4.1885000000000048"/>
  </r>
  <r>
    <s v="182-88-2763"/>
    <x v="418"/>
    <s v="B"/>
    <x v="2"/>
    <x v="0"/>
    <x v="1"/>
    <x v="16"/>
    <x v="4"/>
    <n v="79.91"/>
    <n v="83.905500000000004"/>
    <n v="3"/>
    <s v="Credit card"/>
    <x v="59"/>
    <n v="3.9955000000000069"/>
  </r>
  <r>
    <s v="188-55-0967"/>
    <x v="419"/>
    <s v="B"/>
    <x v="2"/>
    <x v="0"/>
    <x v="1"/>
    <x v="12"/>
    <x v="0"/>
    <n v="66.47"/>
    <n v="69.793499999999995"/>
    <n v="10"/>
    <s v="Credit card"/>
    <x v="59"/>
    <n v="3.3234999999999957"/>
  </r>
  <r>
    <s v="610-46-4100"/>
    <x v="420"/>
    <s v="A"/>
    <x v="0"/>
    <x v="1"/>
    <x v="1"/>
    <x v="6"/>
    <x v="0"/>
    <n v="28.95"/>
    <n v="30.397500000000001"/>
    <n v="7"/>
    <s v="Credit card"/>
    <x v="19"/>
    <n v="1.4475000000000016"/>
  </r>
  <r>
    <s v="318-81-2368"/>
    <x v="421"/>
    <s v="C"/>
    <x v="1"/>
    <x v="1"/>
    <x v="0"/>
    <x v="25"/>
    <x v="1"/>
    <n v="46.2"/>
    <n v="48.51"/>
    <n v="1"/>
    <s v="Cash"/>
    <x v="52"/>
    <n v="2.3099999999999952"/>
  </r>
  <r>
    <s v="364-33-8584"/>
    <x v="422"/>
    <s v="B"/>
    <x v="2"/>
    <x v="0"/>
    <x v="0"/>
    <x v="16"/>
    <x v="4"/>
    <n v="17.63"/>
    <n v="18.511500000000002"/>
    <n v="5"/>
    <s v="Cash"/>
    <x v="28"/>
    <n v="0.88150000000000261"/>
  </r>
  <r>
    <s v="695-09-5146"/>
    <x v="423"/>
    <s v="B"/>
    <x v="2"/>
    <x v="0"/>
    <x v="0"/>
    <x v="16"/>
    <x v="4"/>
    <n v="98.79"/>
    <n v="103.72949999999999"/>
    <n v="3"/>
    <s v="Ewallet"/>
    <x v="33"/>
    <n v="4.9394999999999811"/>
  </r>
  <r>
    <s v="155-45-3814"/>
    <x v="424"/>
    <s v="C"/>
    <x v="1"/>
    <x v="0"/>
    <x v="0"/>
    <x v="5"/>
    <x v="1"/>
    <n v="88.55"/>
    <n v="92.977500000000006"/>
    <n v="8"/>
    <s v="Ewallet"/>
    <x v="23"/>
    <n v="4.4275000000000091"/>
  </r>
  <r>
    <s v="794-32-2436"/>
    <x v="425"/>
    <s v="B"/>
    <x v="2"/>
    <x v="0"/>
    <x v="1"/>
    <x v="5"/>
    <x v="1"/>
    <n v="55.67"/>
    <n v="58.453499999999998"/>
    <n v="2"/>
    <s v="Ewallet"/>
    <x v="19"/>
    <n v="2.7834999999999965"/>
  </r>
  <r>
    <s v="131-15-8856"/>
    <x v="426"/>
    <s v="C"/>
    <x v="1"/>
    <x v="0"/>
    <x v="0"/>
    <x v="16"/>
    <x v="4"/>
    <n v="72.52"/>
    <n v="76.146000000000001"/>
    <n v="8"/>
    <s v="Credit card"/>
    <x v="35"/>
    <n v="3.6260000000000048"/>
  </r>
  <r>
    <s v="273-84-2164"/>
    <x v="427"/>
    <s v="C"/>
    <x v="1"/>
    <x v="0"/>
    <x v="1"/>
    <x v="5"/>
    <x v="1"/>
    <n v="12.05"/>
    <n v="12.6525"/>
    <n v="5"/>
    <s v="Ewallet"/>
    <x v="38"/>
    <n v="0.60249999999999915"/>
  </r>
  <r>
    <s v="778-89-7974"/>
    <x v="428"/>
    <s v="C"/>
    <x v="1"/>
    <x v="1"/>
    <x v="1"/>
    <x v="6"/>
    <x v="0"/>
    <n v="70.209999999999994"/>
    <n v="73.720500000000001"/>
    <n v="6"/>
    <s v="Cash"/>
    <x v="20"/>
    <n v="3.5105000000000075"/>
  </r>
  <r>
    <s v="859-71-0933"/>
    <x v="429"/>
    <s v="C"/>
    <x v="1"/>
    <x v="0"/>
    <x v="0"/>
    <x v="22"/>
    <x v="2"/>
    <n v="15.49"/>
    <n v="16.264500000000002"/>
    <n v="2"/>
    <s v="Cash"/>
    <x v="52"/>
    <n v="0.77450000000000152"/>
  </r>
  <r>
    <s v="740-11-5257"/>
    <x v="430"/>
    <s v="C"/>
    <x v="1"/>
    <x v="1"/>
    <x v="1"/>
    <x v="5"/>
    <x v="1"/>
    <n v="24.74"/>
    <n v="25.976999999999997"/>
    <n v="10"/>
    <s v="Cash"/>
    <x v="9"/>
    <n v="1.2369999999999983"/>
  </r>
  <r>
    <s v="369-82-2676"/>
    <x v="431"/>
    <s v="B"/>
    <x v="2"/>
    <x v="1"/>
    <x v="1"/>
    <x v="5"/>
    <x v="1"/>
    <n v="75.66"/>
    <n v="79.442999999999998"/>
    <n v="5"/>
    <s v="Ewallet"/>
    <x v="46"/>
    <n v="3.7830000000000013"/>
  </r>
  <r>
    <s v="563-47-4072"/>
    <x v="432"/>
    <s v="B"/>
    <x v="2"/>
    <x v="1"/>
    <x v="0"/>
    <x v="20"/>
    <x v="0"/>
    <n v="55.81"/>
    <n v="58.600500000000004"/>
    <n v="6"/>
    <s v="Cash"/>
    <x v="18"/>
    <n v="2.7905000000000015"/>
  </r>
  <r>
    <s v="149-15-7606"/>
    <x v="433"/>
    <s v="B"/>
    <x v="2"/>
    <x v="0"/>
    <x v="1"/>
    <x v="22"/>
    <x v="2"/>
    <n v="37.32"/>
    <n v="39.186"/>
    <n v="9"/>
    <s v="Ewallet"/>
    <x v="17"/>
    <n v="1.8659999999999997"/>
  </r>
  <r>
    <s v="169-52-4504"/>
    <x v="434"/>
    <s v="A"/>
    <x v="0"/>
    <x v="1"/>
    <x v="0"/>
    <x v="5"/>
    <x v="1"/>
    <n v="15.69"/>
    <n v="16.474499999999999"/>
    <n v="3"/>
    <s v="Credit card"/>
    <x v="5"/>
    <n v="0.78449999999999953"/>
  </r>
  <r>
    <s v="250-81-7186"/>
    <x v="435"/>
    <s v="C"/>
    <x v="1"/>
    <x v="1"/>
    <x v="0"/>
    <x v="5"/>
    <x v="1"/>
    <n v="99.69"/>
    <n v="104.67449999999999"/>
    <n v="1"/>
    <s v="Credit card"/>
    <x v="43"/>
    <n v="4.984499999999997"/>
  </r>
  <r>
    <s v="816-72-8853"/>
    <x v="436"/>
    <s v="A"/>
    <x v="0"/>
    <x v="0"/>
    <x v="0"/>
    <x v="22"/>
    <x v="2"/>
    <n v="27.93"/>
    <n v="29.326499999999999"/>
    <n v="5"/>
    <s v="Cash"/>
    <x v="7"/>
    <n v="1.3964999999999996"/>
  </r>
  <r>
    <s v="322-02-2271"/>
    <x v="437"/>
    <s v="B"/>
    <x v="2"/>
    <x v="1"/>
    <x v="0"/>
    <x v="22"/>
    <x v="2"/>
    <n v="42.97"/>
    <n v="45.118500000000004"/>
    <n v="3"/>
    <s v="Cash"/>
    <x v="30"/>
    <n v="2.1485000000000056"/>
  </r>
  <r>
    <s v="842-29-4695"/>
    <x v="438"/>
    <s v="C"/>
    <x v="1"/>
    <x v="0"/>
    <x v="1"/>
    <x v="22"/>
    <x v="2"/>
    <n v="17.14"/>
    <n v="17.997"/>
    <n v="7"/>
    <s v="Credit card"/>
    <x v="56"/>
    <n v="0.85699999999999932"/>
  </r>
  <r>
    <s v="641-51-2661"/>
    <x v="439"/>
    <s v="C"/>
    <x v="1"/>
    <x v="0"/>
    <x v="0"/>
    <x v="16"/>
    <x v="4"/>
    <n v="87.1"/>
    <n v="91.454999999999998"/>
    <n v="10"/>
    <s v="Credit card"/>
    <x v="18"/>
    <n v="4.355000000000004"/>
  </r>
  <r>
    <s v="714-02-3114"/>
    <x v="440"/>
    <s v="C"/>
    <x v="1"/>
    <x v="1"/>
    <x v="0"/>
    <x v="22"/>
    <x v="2"/>
    <n v="98.8"/>
    <n v="103.74"/>
    <n v="2"/>
    <s v="Cash"/>
    <x v="55"/>
    <n v="4.9399999999999977"/>
  </r>
  <r>
    <s v="779-42-2410"/>
    <x v="441"/>
    <s v="B"/>
    <x v="2"/>
    <x v="0"/>
    <x v="1"/>
    <x v="16"/>
    <x v="4"/>
    <n v="57.74"/>
    <n v="60.627000000000002"/>
    <n v="3"/>
    <s v="Ewallet"/>
    <x v="55"/>
    <n v="2.8870000000000005"/>
  </r>
  <r>
    <s v="190-14-3147"/>
    <x v="442"/>
    <s v="B"/>
    <x v="2"/>
    <x v="1"/>
    <x v="0"/>
    <x v="10"/>
    <x v="0"/>
    <n v="17.97"/>
    <n v="18.868500000000001"/>
    <n v="4"/>
    <s v="Ewallet"/>
    <x v="33"/>
    <n v="0.89850000000000207"/>
  </r>
  <r>
    <s v="408-66-6712"/>
    <x v="443"/>
    <s v="C"/>
    <x v="1"/>
    <x v="0"/>
    <x v="0"/>
    <x v="20"/>
    <x v="0"/>
    <n v="47.71"/>
    <n v="50.095499999999994"/>
    <n v="6"/>
    <s v="Ewallet"/>
    <x v="54"/>
    <n v="2.3854999999999933"/>
  </r>
  <r>
    <s v="679-22-6530"/>
    <x v="444"/>
    <s v="B"/>
    <x v="2"/>
    <x v="1"/>
    <x v="0"/>
    <x v="26"/>
    <x v="2"/>
    <n v="40.619999999999997"/>
    <n v="42.651000000000003"/>
    <n v="2"/>
    <s v="Credit card"/>
    <x v="4"/>
    <n v="2.0310000000000059"/>
  </r>
  <r>
    <s v="642-61-4706"/>
    <x v="445"/>
    <s v="B"/>
    <x v="2"/>
    <x v="0"/>
    <x v="1"/>
    <x v="16"/>
    <x v="4"/>
    <n v="93.4"/>
    <n v="98.07"/>
    <n v="2"/>
    <s v="Cash"/>
    <x v="38"/>
    <n v="4.6699999999999875"/>
  </r>
  <r>
    <s v="576-31-4774"/>
    <x v="446"/>
    <s v="B"/>
    <x v="2"/>
    <x v="1"/>
    <x v="0"/>
    <x v="12"/>
    <x v="0"/>
    <n v="73.41"/>
    <n v="77.080500000000001"/>
    <n v="3"/>
    <s v="Ewallet"/>
    <x v="35"/>
    <n v="3.6705000000000041"/>
  </r>
  <r>
    <s v="556-41-6224"/>
    <x v="447"/>
    <s v="C"/>
    <x v="1"/>
    <x v="1"/>
    <x v="1"/>
    <x v="10"/>
    <x v="0"/>
    <n v="33.64"/>
    <n v="35.322000000000003"/>
    <n v="8"/>
    <s v="Credit card"/>
    <x v="30"/>
    <n v="1.6820000000000022"/>
  </r>
  <r>
    <s v="811-03-8790"/>
    <x v="448"/>
    <s v="A"/>
    <x v="0"/>
    <x v="1"/>
    <x v="0"/>
    <x v="5"/>
    <x v="1"/>
    <n v="45.48"/>
    <n v="47.754000000000005"/>
    <n v="10"/>
    <s v="Credit card"/>
    <x v="16"/>
    <n v="2.274000000000008"/>
  </r>
  <r>
    <s v="752-23-3760"/>
    <x v="449"/>
    <s v="B"/>
    <x v="2"/>
    <x v="0"/>
    <x v="0"/>
    <x v="26"/>
    <x v="2"/>
    <n v="64.08"/>
    <n v="67.284000000000006"/>
    <n v="7"/>
    <s v="Credit card"/>
    <x v="40"/>
    <n v="3.2040000000000077"/>
  </r>
  <r>
    <s v="274-05-5470"/>
    <x v="450"/>
    <s v="A"/>
    <x v="0"/>
    <x v="0"/>
    <x v="0"/>
    <x v="16"/>
    <x v="4"/>
    <n v="73.47"/>
    <n v="77.143500000000003"/>
    <n v="4"/>
    <s v="Cash"/>
    <x v="19"/>
    <n v="3.6735000000000042"/>
  </r>
  <r>
    <s v="648-94-3045"/>
    <x v="451"/>
    <s v="C"/>
    <x v="1"/>
    <x v="1"/>
    <x v="1"/>
    <x v="10"/>
    <x v="0"/>
    <n v="58.95"/>
    <n v="61.897500000000001"/>
    <n v="10"/>
    <s v="Ewallet"/>
    <x v="27"/>
    <n v="2.947499999999998"/>
  </r>
  <r>
    <s v="130-67-4723"/>
    <x v="452"/>
    <s v="A"/>
    <x v="0"/>
    <x v="0"/>
    <x v="1"/>
    <x v="16"/>
    <x v="4"/>
    <n v="48.5"/>
    <n v="50.925000000000004"/>
    <n v="6"/>
    <s v="Ewallet"/>
    <x v="51"/>
    <n v="2.4250000000000043"/>
  </r>
  <r>
    <s v="528-87-5606"/>
    <x v="453"/>
    <s v="B"/>
    <x v="2"/>
    <x v="0"/>
    <x v="0"/>
    <x v="5"/>
    <x v="1"/>
    <n v="39.479999999999997"/>
    <n v="41.454000000000001"/>
    <n v="1"/>
    <s v="Cash"/>
    <x v="48"/>
    <n v="1.9740000000000038"/>
  </r>
  <r>
    <s v="320-85-2052"/>
    <x v="454"/>
    <s v="B"/>
    <x v="2"/>
    <x v="1"/>
    <x v="0"/>
    <x v="26"/>
    <x v="2"/>
    <n v="34.81"/>
    <n v="36.5505"/>
    <n v="1"/>
    <s v="Credit card"/>
    <x v="22"/>
    <n v="1.7404999999999973"/>
  </r>
  <r>
    <s v="510-79-0415"/>
    <x v="455"/>
    <s v="B"/>
    <x v="2"/>
    <x v="0"/>
    <x v="0"/>
    <x v="26"/>
    <x v="2"/>
    <n v="23.08"/>
    <n v="24.233999999999998"/>
    <n v="6"/>
    <s v="Ewallet"/>
    <x v="42"/>
    <n v="1.1539999999999999"/>
  </r>
  <r>
    <s v="767-97-4650"/>
    <x v="456"/>
    <s v="B"/>
    <x v="2"/>
    <x v="0"/>
    <x v="0"/>
    <x v="26"/>
    <x v="2"/>
    <n v="64.83"/>
    <n v="68.0715"/>
    <n v="2"/>
    <s v="Credit card"/>
    <x v="43"/>
    <n v="3.241500000000002"/>
  </r>
  <r>
    <s v="173-57-2300"/>
    <x v="457"/>
    <s v="C"/>
    <x v="1"/>
    <x v="0"/>
    <x v="1"/>
    <x v="26"/>
    <x v="2"/>
    <n v="72.88"/>
    <n v="76.524000000000001"/>
    <n v="2"/>
    <s v="Cash"/>
    <x v="41"/>
    <n v="3.6440000000000055"/>
  </r>
  <r>
    <s v="305-03-2383"/>
    <x v="458"/>
    <s v="A"/>
    <x v="0"/>
    <x v="1"/>
    <x v="0"/>
    <x v="16"/>
    <x v="4"/>
    <n v="67.099999999999994"/>
    <n v="70.454999999999998"/>
    <n v="3"/>
    <s v="Cash"/>
    <x v="21"/>
    <n v="3.355000000000004"/>
  </r>
  <r>
    <s v="394-55-6384"/>
    <x v="459"/>
    <s v="C"/>
    <x v="1"/>
    <x v="0"/>
    <x v="0"/>
    <x v="26"/>
    <x v="2"/>
    <n v="70.19"/>
    <n v="73.6995"/>
    <n v="9"/>
    <s v="Cash"/>
    <x v="32"/>
    <n v="3.5095000000000027"/>
  </r>
  <r>
    <s v="266-20-6657"/>
    <x v="460"/>
    <s v="C"/>
    <x v="1"/>
    <x v="0"/>
    <x v="1"/>
    <x v="16"/>
    <x v="4"/>
    <n v="55.04"/>
    <n v="57.791999999999994"/>
    <n v="7"/>
    <s v="Ewallet"/>
    <x v="47"/>
    <n v="2.7519999999999953"/>
  </r>
  <r>
    <s v="689-05-1884"/>
    <x v="461"/>
    <s v="A"/>
    <x v="0"/>
    <x v="0"/>
    <x v="1"/>
    <x v="10"/>
    <x v="0"/>
    <n v="48.63"/>
    <n v="51.061500000000002"/>
    <n v="10"/>
    <s v="Cash"/>
    <x v="50"/>
    <n v="2.4314999999999998"/>
  </r>
  <r>
    <s v="372-62-5264"/>
    <x v="462"/>
    <s v="C"/>
    <x v="1"/>
    <x v="1"/>
    <x v="0"/>
    <x v="16"/>
    <x v="4"/>
    <n v="52.6"/>
    <n v="55.23"/>
    <n v="9"/>
    <s v="Cash"/>
    <x v="24"/>
    <n v="2.6299999999999955"/>
  </r>
  <r>
    <s v="182-52-7000"/>
    <x v="463"/>
    <s v="A"/>
    <x v="0"/>
    <x v="0"/>
    <x v="0"/>
    <x v="26"/>
    <x v="2"/>
    <n v="27.04"/>
    <n v="28.391999999999999"/>
    <n v="4"/>
    <s v="Ewallet"/>
    <x v="14"/>
    <n v="1.3520000000000003"/>
  </r>
  <r>
    <s v="868-06-0466"/>
    <x v="464"/>
    <s v="A"/>
    <x v="0"/>
    <x v="0"/>
    <x v="1"/>
    <x v="1"/>
    <x v="1"/>
    <n v="69.58"/>
    <n v="73.058999999999997"/>
    <n v="9"/>
    <s v="Credit card"/>
    <x v="46"/>
    <n v="3.4789999999999992"/>
  </r>
  <r>
    <s v="176-64-7711"/>
    <x v="465"/>
    <s v="B"/>
    <x v="2"/>
    <x v="1"/>
    <x v="1"/>
    <x v="16"/>
    <x v="4"/>
    <n v="32.32"/>
    <n v="33.936"/>
    <n v="3"/>
    <s v="Credit card"/>
    <x v="34"/>
    <n v="1.6159999999999997"/>
  </r>
  <r>
    <s v="729-06-2010"/>
    <x v="466"/>
    <s v="B"/>
    <x v="2"/>
    <x v="0"/>
    <x v="1"/>
    <x v="10"/>
    <x v="0"/>
    <n v="80.47"/>
    <n v="84.493499999999997"/>
    <n v="9"/>
    <s v="Cash"/>
    <x v="45"/>
    <n v="4.0234999999999985"/>
  </r>
  <r>
    <s v="186-79-9562"/>
    <x v="467"/>
    <s v="B"/>
    <x v="2"/>
    <x v="1"/>
    <x v="1"/>
    <x v="10"/>
    <x v="0"/>
    <n v="71.77"/>
    <n v="75.358500000000006"/>
    <n v="7"/>
    <s v="Cash"/>
    <x v="60"/>
    <n v="3.5885000000000105"/>
  </r>
  <r>
    <s v="834-45-5519"/>
    <x v="468"/>
    <s v="B"/>
    <x v="2"/>
    <x v="1"/>
    <x v="0"/>
    <x v="1"/>
    <x v="1"/>
    <n v="43"/>
    <n v="45.15"/>
    <n v="4"/>
    <s v="Ewallet"/>
    <x v="24"/>
    <n v="2.1499999999999986"/>
  </r>
  <r>
    <s v="162-65-8559"/>
    <x v="469"/>
    <s v="C"/>
    <x v="1"/>
    <x v="0"/>
    <x v="1"/>
    <x v="21"/>
    <x v="4"/>
    <n v="68.98"/>
    <n v="72.429000000000002"/>
    <n v="1"/>
    <s v="Cash"/>
    <x v="16"/>
    <n v="3.4489999999999981"/>
  </r>
  <r>
    <s v="445-30-9252"/>
    <x v="470"/>
    <s v="A"/>
    <x v="0"/>
    <x v="1"/>
    <x v="1"/>
    <x v="26"/>
    <x v="2"/>
    <n v="25.7"/>
    <n v="26.984999999999999"/>
    <n v="3"/>
    <s v="Ewallet"/>
    <x v="41"/>
    <n v="1.2850000000000001"/>
  </r>
  <r>
    <s v="786-94-2700"/>
    <x v="471"/>
    <s v="A"/>
    <x v="0"/>
    <x v="0"/>
    <x v="1"/>
    <x v="27"/>
    <x v="4"/>
    <n v="80.62"/>
    <n v="84.650999999999996"/>
    <n v="6"/>
    <s v="Cash"/>
    <x v="0"/>
    <n v="4.0309999999999917"/>
  </r>
  <r>
    <s v="183-21-3799"/>
    <x v="472"/>
    <s v="C"/>
    <x v="1"/>
    <x v="1"/>
    <x v="0"/>
    <x v="1"/>
    <x v="1"/>
    <n v="77.63"/>
    <n v="81.511500000000012"/>
    <n v="9"/>
    <s v="Ewallet"/>
    <x v="6"/>
    <n v="3.8815000000000168"/>
  </r>
  <r>
    <s v="268-20-3585"/>
    <x v="473"/>
    <s v="C"/>
    <x v="1"/>
    <x v="1"/>
    <x v="0"/>
    <x v="12"/>
    <x v="0"/>
    <n v="13.85"/>
    <n v="14.542499999999999"/>
    <n v="9"/>
    <s v="Ewallet"/>
    <x v="19"/>
    <n v="0.69249999999999901"/>
  </r>
  <r>
    <s v="258-92-7466"/>
    <x v="474"/>
    <s v="A"/>
    <x v="0"/>
    <x v="1"/>
    <x v="0"/>
    <x v="20"/>
    <x v="0"/>
    <n v="35.68"/>
    <n v="37.463999999999999"/>
    <n v="5"/>
    <s v="Credit card"/>
    <x v="29"/>
    <n v="1.7839999999999989"/>
  </r>
  <r>
    <s v="482-17-1179"/>
    <x v="475"/>
    <s v="A"/>
    <x v="0"/>
    <x v="0"/>
    <x v="1"/>
    <x v="1"/>
    <x v="1"/>
    <n v="11.94"/>
    <n v="12.536999999999999"/>
    <n v="3"/>
    <s v="Credit card"/>
    <x v="27"/>
    <n v="0.59699999999999953"/>
  </r>
  <r>
    <s v="678-79-0726"/>
    <x v="476"/>
    <s v="C"/>
    <x v="1"/>
    <x v="0"/>
    <x v="0"/>
    <x v="26"/>
    <x v="2"/>
    <n v="90.63"/>
    <n v="95.16149999999999"/>
    <n v="9"/>
    <s v="Cash"/>
    <x v="17"/>
    <n v="4.5314999999999941"/>
  </r>
  <r>
    <s v="592-46-1692"/>
    <x v="477"/>
    <s v="C"/>
    <x v="1"/>
    <x v="0"/>
    <x v="0"/>
    <x v="27"/>
    <x v="4"/>
    <n v="36.770000000000003"/>
    <n v="38.608499999999999"/>
    <n v="7"/>
    <s v="Cash"/>
    <x v="20"/>
    <n v="1.8384999999999962"/>
  </r>
  <r>
    <s v="434-35-9162"/>
    <x v="478"/>
    <s v="B"/>
    <x v="2"/>
    <x v="0"/>
    <x v="1"/>
    <x v="27"/>
    <x v="4"/>
    <n v="23.34"/>
    <n v="24.507000000000001"/>
    <n v="4"/>
    <s v="Ewallet"/>
    <x v="20"/>
    <n v="1.1670000000000016"/>
  </r>
  <r>
    <s v="149-14-0304"/>
    <x v="479"/>
    <s v="C"/>
    <x v="1"/>
    <x v="0"/>
    <x v="0"/>
    <x v="12"/>
    <x v="0"/>
    <n v="28.5"/>
    <n v="29.925000000000001"/>
    <n v="8"/>
    <s v="Cash"/>
    <x v="29"/>
    <n v="1.4250000000000007"/>
  </r>
  <r>
    <s v="174-64-0215"/>
    <x v="480"/>
    <s v="B"/>
    <x v="2"/>
    <x v="1"/>
    <x v="1"/>
    <x v="26"/>
    <x v="2"/>
    <n v="69.739999999999995"/>
    <n v="73.227000000000004"/>
    <n v="10"/>
    <s v="Credit card"/>
    <x v="60"/>
    <n v="3.487000000000009"/>
  </r>
  <r>
    <s v="635-28-5728"/>
    <x v="481"/>
    <s v="A"/>
    <x v="0"/>
    <x v="1"/>
    <x v="1"/>
    <x v="20"/>
    <x v="0"/>
    <n v="56"/>
    <n v="58.800000000000004"/>
    <n v="3"/>
    <s v="Ewallet"/>
    <x v="16"/>
    <n v="2.8000000000000043"/>
  </r>
  <r>
    <s v="438-23-1242"/>
    <x v="482"/>
    <s v="B"/>
    <x v="2"/>
    <x v="1"/>
    <x v="1"/>
    <x v="25"/>
    <x v="1"/>
    <n v="75.88"/>
    <n v="79.673999999999992"/>
    <n v="7"/>
    <s v="Ewallet"/>
    <x v="60"/>
    <n v="3.7939999999999969"/>
  </r>
  <r>
    <s v="238-45-6950"/>
    <x v="483"/>
    <s v="B"/>
    <x v="2"/>
    <x v="0"/>
    <x v="1"/>
    <x v="27"/>
    <x v="4"/>
    <n v="53.72"/>
    <n v="56.405999999999999"/>
    <n v="1"/>
    <s v="Ewallet"/>
    <x v="33"/>
    <n v="2.6859999999999999"/>
  </r>
  <r>
    <s v="607-65-2441"/>
    <x v="484"/>
    <s v="C"/>
    <x v="1"/>
    <x v="0"/>
    <x v="1"/>
    <x v="12"/>
    <x v="0"/>
    <n v="81.95"/>
    <n v="86.047499999999999"/>
    <n v="10"/>
    <s v="Credit card"/>
    <x v="19"/>
    <n v="4.0974999999999966"/>
  </r>
  <r>
    <s v="137-63-5492"/>
    <x v="485"/>
    <s v="C"/>
    <x v="1"/>
    <x v="1"/>
    <x v="1"/>
    <x v="25"/>
    <x v="1"/>
    <n v="58.76"/>
    <n v="61.698"/>
    <n v="10"/>
    <s v="Ewallet"/>
    <x v="49"/>
    <n v="2.9380000000000024"/>
  </r>
  <r>
    <s v="197-77-7132"/>
    <x v="486"/>
    <s v="B"/>
    <x v="2"/>
    <x v="0"/>
    <x v="1"/>
    <x v="5"/>
    <x v="1"/>
    <n v="91.56"/>
    <n v="96.138000000000005"/>
    <n v="8"/>
    <s v="Ewallet"/>
    <x v="19"/>
    <n v="4.578000000000003"/>
  </r>
  <r>
    <s v="451-73-2711"/>
    <x v="487"/>
    <s v="C"/>
    <x v="1"/>
    <x v="1"/>
    <x v="1"/>
    <x v="24"/>
    <x v="4"/>
    <n v="84.83"/>
    <n v="89.0715"/>
    <n v="1"/>
    <s v="Ewallet"/>
    <x v="50"/>
    <n v="4.241500000000002"/>
  </r>
  <r>
    <s v="373-14-0504"/>
    <x v="488"/>
    <s v="A"/>
    <x v="0"/>
    <x v="0"/>
    <x v="0"/>
    <x v="26"/>
    <x v="2"/>
    <n v="71.63"/>
    <n v="75.211500000000001"/>
    <n v="2"/>
    <s v="Ewallet"/>
    <x v="50"/>
    <n v="3.5815000000000055"/>
  </r>
  <r>
    <s v="345-68-9016"/>
    <x v="489"/>
    <s v="C"/>
    <x v="1"/>
    <x v="0"/>
    <x v="0"/>
    <x v="26"/>
    <x v="2"/>
    <n v="31.67"/>
    <n v="33.253500000000003"/>
    <n v="8"/>
    <s v="Credit card"/>
    <x v="25"/>
    <n v="1.5835000000000008"/>
  </r>
  <r>
    <s v="390-17-5806"/>
    <x v="490"/>
    <s v="C"/>
    <x v="1"/>
    <x v="0"/>
    <x v="0"/>
    <x v="24"/>
    <x v="4"/>
    <n v="38.42"/>
    <n v="40.341000000000001"/>
    <n v="1"/>
    <s v="Cash"/>
    <x v="15"/>
    <n v="1.9209999999999994"/>
  </r>
  <r>
    <s v="314-23-4520"/>
    <x v="491"/>
    <s v="C"/>
    <x v="1"/>
    <x v="0"/>
    <x v="1"/>
    <x v="20"/>
    <x v="0"/>
    <n v="81.23"/>
    <n v="85.291499999999999"/>
    <n v="7"/>
    <s v="Cash"/>
    <x v="49"/>
    <n v="4.0614999999999952"/>
  </r>
  <r>
    <s v="585-86-8361"/>
    <x v="492"/>
    <s v="A"/>
    <x v="0"/>
    <x v="1"/>
    <x v="0"/>
    <x v="24"/>
    <x v="4"/>
    <n v="27.28"/>
    <n v="28.643999999999998"/>
    <n v="5"/>
    <s v="Credit card"/>
    <x v="15"/>
    <n v="1.3639999999999972"/>
  </r>
  <r>
    <s v="807-14-7833"/>
    <x v="493"/>
    <s v="A"/>
    <x v="0"/>
    <x v="0"/>
    <x v="0"/>
    <x v="25"/>
    <x v="1"/>
    <n v="17.420000000000002"/>
    <n v="18.291"/>
    <n v="10"/>
    <s v="Ewallet"/>
    <x v="22"/>
    <n v="0.87099999999999866"/>
  </r>
  <r>
    <s v="785-96-0615"/>
    <x v="494"/>
    <s v="B"/>
    <x v="2"/>
    <x v="0"/>
    <x v="0"/>
    <x v="25"/>
    <x v="1"/>
    <n v="35.74"/>
    <n v="37.527000000000001"/>
    <n v="8"/>
    <s v="Ewallet"/>
    <x v="42"/>
    <n v="1.786999999999999"/>
  </r>
  <r>
    <s v="250-17-5703"/>
    <x v="495"/>
    <s v="A"/>
    <x v="0"/>
    <x v="0"/>
    <x v="1"/>
    <x v="24"/>
    <x v="4"/>
    <n v="18.850000000000001"/>
    <n v="19.7925"/>
    <n v="10"/>
    <s v="Ewallet"/>
    <x v="25"/>
    <n v="0.94249999999999901"/>
  </r>
  <r>
    <s v="156-95-3964"/>
    <x v="496"/>
    <s v="A"/>
    <x v="0"/>
    <x v="1"/>
    <x v="0"/>
    <x v="24"/>
    <x v="4"/>
    <n v="55.39"/>
    <n v="58.159500000000001"/>
    <n v="4"/>
    <s v="Ewallet"/>
    <x v="43"/>
    <n v="2.7695000000000007"/>
  </r>
  <r>
    <s v="842-40-8179"/>
    <x v="497"/>
    <s v="B"/>
    <x v="2"/>
    <x v="0"/>
    <x v="0"/>
    <x v="24"/>
    <x v="4"/>
    <n v="77.2"/>
    <n v="81.06"/>
    <n v="10"/>
    <s v="Credit card"/>
    <x v="25"/>
    <n v="3.8599999999999994"/>
  </r>
  <r>
    <s v="525-09-8450"/>
    <x v="498"/>
    <s v="B"/>
    <x v="2"/>
    <x v="1"/>
    <x v="1"/>
    <x v="25"/>
    <x v="1"/>
    <n v="72.13"/>
    <n v="75.736500000000007"/>
    <n v="10"/>
    <s v="Credit card"/>
    <x v="44"/>
    <n v="3.6065000000000111"/>
  </r>
  <r>
    <s v="587-73-4862"/>
    <x v="499"/>
    <s v="A"/>
    <x v="0"/>
    <x v="0"/>
    <x v="0"/>
    <x v="10"/>
    <x v="0"/>
    <n v="10.69"/>
    <n v="11.224500000000001"/>
    <n v="5"/>
    <s v="Ewallet"/>
    <x v="24"/>
    <n v="0.53450000000000131"/>
  </r>
  <r>
    <s v="787-87-2010"/>
    <x v="500"/>
    <s v="A"/>
    <x v="0"/>
    <x v="0"/>
    <x v="1"/>
    <x v="10"/>
    <x v="0"/>
    <n v="55.5"/>
    <n v="58.274999999999999"/>
    <n v="4"/>
    <s v="Credit card"/>
    <x v="29"/>
    <n v="2.7749999999999986"/>
  </r>
  <r>
    <s v="388-76-2555"/>
    <x v="501"/>
    <s v="B"/>
    <x v="2"/>
    <x v="1"/>
    <x v="1"/>
    <x v="26"/>
    <x v="2"/>
    <n v="13.69"/>
    <n v="14.374499999999999"/>
    <n v="6"/>
    <s v="Cash"/>
    <x v="52"/>
    <n v="0.68449999999999989"/>
  </r>
  <r>
    <s v="711-31-1234"/>
    <x v="502"/>
    <s v="B"/>
    <x v="2"/>
    <x v="1"/>
    <x v="0"/>
    <x v="25"/>
    <x v="1"/>
    <n v="95.64"/>
    <n v="100.422"/>
    <n v="4"/>
    <s v="Cash"/>
    <x v="56"/>
    <n v="4.7819999999999965"/>
  </r>
  <r>
    <s v="707-32-7409"/>
    <x v="503"/>
    <s v="B"/>
    <x v="2"/>
    <x v="0"/>
    <x v="0"/>
    <x v="23"/>
    <x v="2"/>
    <n v="95.54"/>
    <n v="100.31699999999999"/>
    <n v="4"/>
    <s v="Ewallet"/>
    <x v="12"/>
    <n v="4.7769999999999868"/>
  </r>
  <r>
    <s v="759-98-4285"/>
    <x v="504"/>
    <s v="C"/>
    <x v="1"/>
    <x v="0"/>
    <x v="0"/>
    <x v="10"/>
    <x v="0"/>
    <n v="85.87"/>
    <n v="90.163499999999999"/>
    <n v="7"/>
    <s v="Credit card"/>
    <x v="43"/>
    <n v="4.2934999999999945"/>
  </r>
  <r>
    <s v="201-63-8275"/>
    <x v="505"/>
    <s v="C"/>
    <x v="1"/>
    <x v="0"/>
    <x v="0"/>
    <x v="23"/>
    <x v="2"/>
    <n v="67.989999999999995"/>
    <n v="71.389499999999998"/>
    <n v="7"/>
    <s v="Ewallet"/>
    <x v="11"/>
    <n v="3.3995000000000033"/>
  </r>
  <r>
    <s v="471-06-8611"/>
    <x v="506"/>
    <s v="C"/>
    <x v="1"/>
    <x v="1"/>
    <x v="0"/>
    <x v="24"/>
    <x v="4"/>
    <n v="52.42"/>
    <n v="55.040999999999997"/>
    <n v="1"/>
    <s v="Credit card"/>
    <x v="52"/>
    <n v="2.6209999999999951"/>
  </r>
  <r>
    <s v="200-16-5952"/>
    <x v="507"/>
    <s v="C"/>
    <x v="1"/>
    <x v="0"/>
    <x v="1"/>
    <x v="24"/>
    <x v="4"/>
    <n v="65.650000000000006"/>
    <n v="68.932500000000005"/>
    <n v="2"/>
    <s v="Cash"/>
    <x v="19"/>
    <n v="3.2824999999999989"/>
  </r>
  <r>
    <s v="120-54-2248"/>
    <x v="508"/>
    <s v="B"/>
    <x v="2"/>
    <x v="1"/>
    <x v="0"/>
    <x v="24"/>
    <x v="4"/>
    <n v="28.86"/>
    <n v="30.302999999999997"/>
    <n v="5"/>
    <s v="Credit card"/>
    <x v="43"/>
    <n v="1.4429999999999978"/>
  </r>
  <r>
    <s v="102-77-2261"/>
    <x v="509"/>
    <s v="C"/>
    <x v="1"/>
    <x v="0"/>
    <x v="1"/>
    <x v="10"/>
    <x v="0"/>
    <n v="65.31"/>
    <n v="68.575500000000005"/>
    <n v="7"/>
    <s v="Credit card"/>
    <x v="44"/>
    <n v="3.265500000000003"/>
  </r>
  <r>
    <s v="875-31-8302"/>
    <x v="510"/>
    <s v="B"/>
    <x v="2"/>
    <x v="1"/>
    <x v="1"/>
    <x v="23"/>
    <x v="2"/>
    <n v="93.38"/>
    <n v="98.049000000000007"/>
    <n v="1"/>
    <s v="Cash"/>
    <x v="1"/>
    <n v="4.6690000000000111"/>
  </r>
  <r>
    <s v="102-06-2002"/>
    <x v="511"/>
    <s v="C"/>
    <x v="1"/>
    <x v="0"/>
    <x v="1"/>
    <x v="23"/>
    <x v="2"/>
    <n v="25.25"/>
    <n v="26.512499999999999"/>
    <n v="5"/>
    <s v="Cash"/>
    <x v="41"/>
    <n v="1.2624999999999993"/>
  </r>
  <r>
    <s v="457-94-0464"/>
    <x v="512"/>
    <s v="B"/>
    <x v="2"/>
    <x v="0"/>
    <x v="1"/>
    <x v="5"/>
    <x v="1"/>
    <n v="87.87"/>
    <n v="92.263499999999993"/>
    <n v="9"/>
    <s v="Ewallet"/>
    <x v="25"/>
    <n v="4.3934999999999889"/>
  </r>
  <r>
    <s v="629-42-4133"/>
    <x v="513"/>
    <s v="C"/>
    <x v="1"/>
    <x v="1"/>
    <x v="1"/>
    <x v="10"/>
    <x v="0"/>
    <n v="21.8"/>
    <n v="22.89"/>
    <n v="8"/>
    <s v="Cash"/>
    <x v="39"/>
    <n v="1.0899999999999999"/>
  </r>
  <r>
    <s v="534-53-3526"/>
    <x v="514"/>
    <s v="A"/>
    <x v="0"/>
    <x v="1"/>
    <x v="0"/>
    <x v="23"/>
    <x v="2"/>
    <n v="94.76"/>
    <n v="99.498000000000005"/>
    <n v="4"/>
    <s v="Ewallet"/>
    <x v="46"/>
    <n v="4.7379999999999995"/>
  </r>
  <r>
    <s v="516-77-6464"/>
    <x v="515"/>
    <s v="C"/>
    <x v="1"/>
    <x v="0"/>
    <x v="0"/>
    <x v="10"/>
    <x v="0"/>
    <n v="10.16"/>
    <n v="10.668000000000001"/>
    <n v="5"/>
    <s v="Ewallet"/>
    <x v="4"/>
    <n v="0.5080000000000009"/>
  </r>
  <r>
    <s v="404-91-5964"/>
    <x v="516"/>
    <s v="A"/>
    <x v="0"/>
    <x v="1"/>
    <x v="1"/>
    <x v="25"/>
    <x v="1"/>
    <n v="74.58"/>
    <n v="78.308999999999997"/>
    <n v="7"/>
    <s v="Credit card"/>
    <x v="49"/>
    <n v="3.7289999999999992"/>
  </r>
  <r>
    <s v="886-77-9084"/>
    <x v="517"/>
    <s v="C"/>
    <x v="1"/>
    <x v="1"/>
    <x v="1"/>
    <x v="25"/>
    <x v="1"/>
    <n v="71.89"/>
    <n v="75.484499999999997"/>
    <n v="8"/>
    <s v="Ewallet"/>
    <x v="38"/>
    <n v="3.5944999999999965"/>
  </r>
  <r>
    <s v="790-38-4466"/>
    <x v="518"/>
    <s v="C"/>
    <x v="1"/>
    <x v="1"/>
    <x v="0"/>
    <x v="20"/>
    <x v="0"/>
    <n v="10.99"/>
    <n v="11.5395"/>
    <n v="5"/>
    <s v="Credit card"/>
    <x v="30"/>
    <n v="0.5495000000000001"/>
  </r>
  <r>
    <s v="704-10-4056"/>
    <x v="519"/>
    <s v="C"/>
    <x v="1"/>
    <x v="0"/>
    <x v="1"/>
    <x v="12"/>
    <x v="0"/>
    <n v="60.47"/>
    <n v="63.493500000000004"/>
    <n v="3"/>
    <s v="Credit card"/>
    <x v="25"/>
    <n v="3.0235000000000056"/>
  </r>
  <r>
    <s v="497-37-6538"/>
    <x v="520"/>
    <s v="A"/>
    <x v="0"/>
    <x v="1"/>
    <x v="1"/>
    <x v="23"/>
    <x v="2"/>
    <n v="58.91"/>
    <n v="61.855499999999999"/>
    <n v="7"/>
    <s v="Ewallet"/>
    <x v="57"/>
    <n v="2.9455000000000027"/>
  </r>
  <r>
    <s v="400-80-4065"/>
    <x v="521"/>
    <s v="C"/>
    <x v="1"/>
    <x v="0"/>
    <x v="1"/>
    <x v="20"/>
    <x v="0"/>
    <n v="68.55"/>
    <n v="71.977500000000006"/>
    <n v="4"/>
    <s v="Credit card"/>
    <x v="45"/>
    <n v="3.4275000000000091"/>
  </r>
  <r>
    <s v="263-12-5321"/>
    <x v="522"/>
    <s v="A"/>
    <x v="0"/>
    <x v="0"/>
    <x v="1"/>
    <x v="25"/>
    <x v="1"/>
    <n v="92.6"/>
    <n v="97.23"/>
    <n v="7"/>
    <s v="Credit card"/>
    <x v="30"/>
    <n v="4.6300000000000097"/>
  </r>
  <r>
    <s v="702-72-0487"/>
    <x v="523"/>
    <s v="A"/>
    <x v="0"/>
    <x v="1"/>
    <x v="0"/>
    <x v="25"/>
    <x v="1"/>
    <n v="46.61"/>
    <n v="48.9405"/>
    <n v="2"/>
    <s v="Credit card"/>
    <x v="29"/>
    <n v="2.3305000000000007"/>
  </r>
  <r>
    <s v="864-24-7918"/>
    <x v="524"/>
    <s v="A"/>
    <x v="0"/>
    <x v="0"/>
    <x v="0"/>
    <x v="23"/>
    <x v="2"/>
    <n v="24.49"/>
    <n v="25.714499999999997"/>
    <n v="10"/>
    <s v="Cash"/>
    <x v="27"/>
    <n v="1.224499999999999"/>
  </r>
  <r>
    <s v="359-94-5395"/>
    <x v="525"/>
    <s v="B"/>
    <x v="2"/>
    <x v="1"/>
    <x v="1"/>
    <x v="12"/>
    <x v="0"/>
    <n v="92.78"/>
    <n v="97.418999999999997"/>
    <n v="1"/>
    <s v="Credit card"/>
    <x v="53"/>
    <n v="4.6389999999999958"/>
  </r>
  <r>
    <s v="751-15-6198"/>
    <x v="526"/>
    <s v="B"/>
    <x v="2"/>
    <x v="1"/>
    <x v="1"/>
    <x v="23"/>
    <x v="2"/>
    <n v="23.01"/>
    <n v="24.160499999999999"/>
    <n v="6"/>
    <s v="Ewallet"/>
    <x v="56"/>
    <n v="1.1504999999999974"/>
  </r>
  <r>
    <s v="324-41-6833"/>
    <x v="527"/>
    <s v="C"/>
    <x v="1"/>
    <x v="0"/>
    <x v="0"/>
    <x v="25"/>
    <x v="1"/>
    <n v="30.2"/>
    <n v="31.71"/>
    <n v="8"/>
    <s v="Ewallet"/>
    <x v="17"/>
    <n v="1.5100000000000016"/>
  </r>
  <r>
    <s v="831-81-6575"/>
    <x v="528"/>
    <s v="B"/>
    <x v="2"/>
    <x v="0"/>
    <x v="0"/>
    <x v="5"/>
    <x v="1"/>
    <n v="75.59"/>
    <n v="79.369500000000002"/>
    <n v="9"/>
    <s v="Cash"/>
    <x v="43"/>
    <n v="3.7794999999999987"/>
  </r>
  <r>
    <s v="618-34-8551"/>
    <x v="529"/>
    <s v="A"/>
    <x v="0"/>
    <x v="1"/>
    <x v="0"/>
    <x v="23"/>
    <x v="2"/>
    <n v="93.18"/>
    <n v="97.838999999999999"/>
    <n v="2"/>
    <s v="Credit card"/>
    <x v="28"/>
    <n v="4.6589999999999918"/>
  </r>
  <r>
    <s v="257-60-7754"/>
    <x v="530"/>
    <s v="A"/>
    <x v="0"/>
    <x v="1"/>
    <x v="0"/>
    <x v="1"/>
    <x v="1"/>
    <n v="50.23"/>
    <n v="52.741500000000002"/>
    <n v="4"/>
    <s v="Cash"/>
    <x v="49"/>
    <n v="2.5115000000000052"/>
  </r>
  <r>
    <s v="559-61-5987"/>
    <x v="531"/>
    <s v="B"/>
    <x v="2"/>
    <x v="1"/>
    <x v="0"/>
    <x v="2"/>
    <x v="0"/>
    <n v="17.75"/>
    <n v="18.637499999999999"/>
    <n v="1"/>
    <s v="Cash"/>
    <x v="15"/>
    <n v="0.88749999999999929"/>
  </r>
  <r>
    <s v="565-91-4567"/>
    <x v="532"/>
    <s v="B"/>
    <x v="2"/>
    <x v="1"/>
    <x v="1"/>
    <x v="20"/>
    <x v="0"/>
    <n v="10.75"/>
    <n v="11.2875"/>
    <n v="8"/>
    <s v="Ewallet"/>
    <x v="58"/>
    <n v="0.53749999999999964"/>
  </r>
  <r>
    <s v="380-60-5336"/>
    <x v="533"/>
    <s v="A"/>
    <x v="0"/>
    <x v="1"/>
    <x v="0"/>
    <x v="1"/>
    <x v="1"/>
    <n v="40.26"/>
    <n v="42.273000000000003"/>
    <n v="10"/>
    <s v="Credit card"/>
    <x v="59"/>
    <n v="2.0130000000000052"/>
  </r>
  <r>
    <s v="815-04-6282"/>
    <x v="534"/>
    <s v="C"/>
    <x v="1"/>
    <x v="0"/>
    <x v="0"/>
    <x v="23"/>
    <x v="2"/>
    <n v="64.97"/>
    <n v="68.218499999999992"/>
    <n v="5"/>
    <s v="Credit card"/>
    <x v="48"/>
    <n v="3.2484999999999928"/>
  </r>
  <r>
    <s v="674-56-6360"/>
    <x v="535"/>
    <s v="A"/>
    <x v="0"/>
    <x v="1"/>
    <x v="1"/>
    <x v="1"/>
    <x v="1"/>
    <n v="95.15"/>
    <n v="99.907499999999999"/>
    <n v="1"/>
    <s v="Cash"/>
    <x v="19"/>
    <n v="4.7574999999999932"/>
  </r>
  <r>
    <s v="778-34-2523"/>
    <x v="536"/>
    <s v="A"/>
    <x v="0"/>
    <x v="0"/>
    <x v="0"/>
    <x v="1"/>
    <x v="1"/>
    <n v="48.62"/>
    <n v="51.051000000000002"/>
    <n v="8"/>
    <s v="Cash"/>
    <x v="59"/>
    <n v="2.4310000000000045"/>
  </r>
  <r>
    <s v="499-27-7781"/>
    <x v="537"/>
    <s v="B"/>
    <x v="2"/>
    <x v="1"/>
    <x v="0"/>
    <x v="24"/>
    <x v="4"/>
    <n v="53.21"/>
    <n v="55.8705"/>
    <n v="8"/>
    <s v="Ewallet"/>
    <x v="59"/>
    <n v="2.660499999999999"/>
  </r>
  <r>
    <s v="832-51-6761"/>
    <x v="538"/>
    <s v="A"/>
    <x v="0"/>
    <x v="1"/>
    <x v="1"/>
    <x v="24"/>
    <x v="4"/>
    <n v="33.880000000000003"/>
    <n v="35.573999999999998"/>
    <n v="8"/>
    <s v="Ewallet"/>
    <x v="1"/>
    <n v="1.6939999999999955"/>
  </r>
  <r>
    <s v="869-11-3082"/>
    <x v="539"/>
    <s v="B"/>
    <x v="2"/>
    <x v="0"/>
    <x v="1"/>
    <x v="20"/>
    <x v="0"/>
    <n v="96.16"/>
    <n v="100.968"/>
    <n v="4"/>
    <s v="Credit card"/>
    <x v="2"/>
    <n v="4.8080000000000069"/>
  </r>
  <r>
    <s v="190-59-3964"/>
    <x v="540"/>
    <s v="B"/>
    <x v="2"/>
    <x v="0"/>
    <x v="1"/>
    <x v="24"/>
    <x v="4"/>
    <n v="47.16"/>
    <n v="49.518000000000001"/>
    <n v="5"/>
    <s v="Credit card"/>
    <x v="19"/>
    <n v="2.3580000000000041"/>
  </r>
  <r>
    <s v="366-43-6862"/>
    <x v="541"/>
    <s v="B"/>
    <x v="2"/>
    <x v="1"/>
    <x v="1"/>
    <x v="1"/>
    <x v="1"/>
    <n v="52.89"/>
    <n v="55.534500000000001"/>
    <n v="4"/>
    <s v="Ewallet"/>
    <x v="32"/>
    <n v="2.6445000000000007"/>
  </r>
  <r>
    <s v="784-21-9238"/>
    <x v="542"/>
    <s v="C"/>
    <x v="1"/>
    <x v="0"/>
    <x v="1"/>
    <x v="23"/>
    <x v="2"/>
    <n v="10.17"/>
    <n v="10.6785"/>
    <n v="1"/>
    <s v="Cash"/>
    <x v="7"/>
    <n v="0.50849999999999973"/>
  </r>
  <r>
    <s v="276-75-6884"/>
    <x v="543"/>
    <s v="A"/>
    <x v="0"/>
    <x v="1"/>
    <x v="0"/>
    <x v="12"/>
    <x v="0"/>
    <n v="68.709999999999994"/>
    <n v="72.145499999999998"/>
    <n v="3"/>
    <s v="Cash"/>
    <x v="36"/>
    <n v="3.4355000000000047"/>
  </r>
  <r>
    <s v="109-86-4363"/>
    <x v="544"/>
    <s v="B"/>
    <x v="2"/>
    <x v="0"/>
    <x v="0"/>
    <x v="23"/>
    <x v="2"/>
    <n v="60.08"/>
    <n v="63.084000000000003"/>
    <n v="7"/>
    <s v="Credit card"/>
    <x v="12"/>
    <n v="3.0040000000000049"/>
  </r>
  <r>
    <s v="569-76-2760"/>
    <x v="545"/>
    <s v="A"/>
    <x v="0"/>
    <x v="0"/>
    <x v="0"/>
    <x v="23"/>
    <x v="2"/>
    <n v="22.01"/>
    <n v="23.110499999999998"/>
    <n v="4"/>
    <s v="Credit card"/>
    <x v="29"/>
    <n v="1.1004999999999967"/>
  </r>
  <r>
    <s v="222-42-0244"/>
    <x v="546"/>
    <s v="B"/>
    <x v="2"/>
    <x v="0"/>
    <x v="0"/>
    <x v="2"/>
    <x v="0"/>
    <n v="72.11"/>
    <n v="75.715499999999992"/>
    <n v="9"/>
    <s v="Credit card"/>
    <x v="55"/>
    <n v="3.6054999999999922"/>
  </r>
  <r>
    <s v="538-22-0304"/>
    <x v="547"/>
    <s v="C"/>
    <x v="1"/>
    <x v="1"/>
    <x v="1"/>
    <x v="5"/>
    <x v="1"/>
    <n v="64.95"/>
    <n v="68.197500000000005"/>
    <n v="10"/>
    <s v="Cash"/>
    <x v="47"/>
    <n v="3.2475000000000023"/>
  </r>
  <r>
    <s v="416-17-9926"/>
    <x v="548"/>
    <s v="A"/>
    <x v="0"/>
    <x v="0"/>
    <x v="0"/>
    <x v="1"/>
    <x v="1"/>
    <n v="74.22"/>
    <n v="77.930999999999997"/>
    <n v="10"/>
    <s v="Credit card"/>
    <x v="34"/>
    <n v="3.7109999999999985"/>
  </r>
  <r>
    <s v="237-44-6163"/>
    <x v="549"/>
    <s v="A"/>
    <x v="0"/>
    <x v="1"/>
    <x v="1"/>
    <x v="1"/>
    <x v="1"/>
    <n v="10.56"/>
    <n v="11.087999999999999"/>
    <n v="8"/>
    <s v="Cash"/>
    <x v="24"/>
    <n v="0.52799999999999869"/>
  </r>
  <r>
    <s v="636-17-0325"/>
    <x v="550"/>
    <s v="B"/>
    <x v="2"/>
    <x v="1"/>
    <x v="1"/>
    <x v="20"/>
    <x v="0"/>
    <n v="62.57"/>
    <n v="65.698499999999996"/>
    <n v="4"/>
    <s v="Cash"/>
    <x v="26"/>
    <n v="3.1284999999999954"/>
  </r>
  <r>
    <s v="343-75-9322"/>
    <x v="551"/>
    <s v="B"/>
    <x v="2"/>
    <x v="0"/>
    <x v="0"/>
    <x v="23"/>
    <x v="2"/>
    <n v="11.85"/>
    <n v="12.442500000000001"/>
    <n v="8"/>
    <s v="Cash"/>
    <x v="4"/>
    <n v="0.59250000000000114"/>
  </r>
  <r>
    <s v="528-14-9470"/>
    <x v="552"/>
    <s v="A"/>
    <x v="0"/>
    <x v="0"/>
    <x v="1"/>
    <x v="12"/>
    <x v="0"/>
    <n v="91.3"/>
    <n v="95.864999999999995"/>
    <n v="1"/>
    <s v="Ewallet"/>
    <x v="45"/>
    <n v="4.5649999999999977"/>
  </r>
  <r>
    <s v="670-71-7306"/>
    <x v="553"/>
    <s v="B"/>
    <x v="2"/>
    <x v="1"/>
    <x v="1"/>
    <x v="23"/>
    <x v="2"/>
    <n v="44.63"/>
    <n v="46.861499999999999"/>
    <n v="6"/>
    <s v="Credit card"/>
    <x v="17"/>
    <n v="2.2314999999999969"/>
  </r>
  <r>
    <s v="660-29-7083"/>
    <x v="554"/>
    <s v="C"/>
    <x v="1"/>
    <x v="1"/>
    <x v="1"/>
    <x v="1"/>
    <x v="1"/>
    <n v="55.87"/>
    <n v="58.663499999999999"/>
    <n v="10"/>
    <s v="Cash"/>
    <x v="5"/>
    <n v="2.7935000000000016"/>
  </r>
  <r>
    <s v="271-77-8740"/>
    <x v="555"/>
    <s v="C"/>
    <x v="1"/>
    <x v="0"/>
    <x v="0"/>
    <x v="23"/>
    <x v="2"/>
    <n v="29.22"/>
    <n v="30.681000000000001"/>
    <n v="6"/>
    <s v="Ewallet"/>
    <x v="59"/>
    <n v="1.4610000000000021"/>
  </r>
  <r>
    <s v="291-59-1384"/>
    <x v="556"/>
    <s v="B"/>
    <x v="2"/>
    <x v="1"/>
    <x v="1"/>
    <x v="1"/>
    <x v="1"/>
    <n v="60.3"/>
    <n v="63.314999999999998"/>
    <n v="1"/>
    <s v="Cash"/>
    <x v="19"/>
    <n v="3.0150000000000006"/>
  </r>
  <r>
    <s v="860-73-6466"/>
    <x v="557"/>
    <s v="A"/>
    <x v="0"/>
    <x v="0"/>
    <x v="0"/>
    <x v="23"/>
    <x v="2"/>
    <n v="39.47"/>
    <n v="41.4435"/>
    <n v="2"/>
    <s v="Credit card"/>
    <x v="59"/>
    <n v="1.9735000000000014"/>
  </r>
  <r>
    <s v="549-23-9016"/>
    <x v="558"/>
    <s v="C"/>
    <x v="1"/>
    <x v="0"/>
    <x v="0"/>
    <x v="24"/>
    <x v="4"/>
    <n v="14.87"/>
    <n v="15.6135"/>
    <n v="2"/>
    <s v="Credit card"/>
    <x v="60"/>
    <n v="0.74350000000000094"/>
  </r>
  <r>
    <s v="804-38-3935"/>
    <x v="559"/>
    <s v="A"/>
    <x v="0"/>
    <x v="0"/>
    <x v="1"/>
    <x v="1"/>
    <x v="1"/>
    <n v="93.78"/>
    <n v="98.468999999999994"/>
    <n v="3"/>
    <s v="Credit card"/>
    <x v="7"/>
    <n v="4.688999999999993"/>
  </r>
  <r>
    <s v="585-90-0249"/>
    <x v="560"/>
    <s v="A"/>
    <x v="0"/>
    <x v="0"/>
    <x v="1"/>
    <x v="5"/>
    <x v="1"/>
    <n v="73.260000000000005"/>
    <n v="76.923000000000002"/>
    <n v="1"/>
    <s v="Ewallet"/>
    <x v="57"/>
    <n v="3.6629999999999967"/>
  </r>
  <r>
    <s v="862-29-5914"/>
    <x v="561"/>
    <s v="C"/>
    <x v="1"/>
    <x v="1"/>
    <x v="0"/>
    <x v="23"/>
    <x v="2"/>
    <n v="22.38"/>
    <n v="23.498999999999999"/>
    <n v="1"/>
    <s v="Credit card"/>
    <x v="15"/>
    <n v="1.1189999999999998"/>
  </r>
  <r>
    <s v="845-94-6841"/>
    <x v="562"/>
    <s v="C"/>
    <x v="1"/>
    <x v="0"/>
    <x v="0"/>
    <x v="27"/>
    <x v="4"/>
    <n v="72.88"/>
    <n v="76.524000000000001"/>
    <n v="9"/>
    <s v="Cash"/>
    <x v="35"/>
    <n v="3.6440000000000055"/>
  </r>
  <r>
    <s v="658-66-3967"/>
    <x v="563"/>
    <s v="C"/>
    <x v="1"/>
    <x v="1"/>
    <x v="1"/>
    <x v="20"/>
    <x v="0"/>
    <n v="53.19"/>
    <n v="55.849499999999999"/>
    <n v="7"/>
    <s v="Ewallet"/>
    <x v="59"/>
    <n v="2.6595000000000013"/>
  </r>
  <r>
    <s v="866-70-2814"/>
    <x v="564"/>
    <s v="B"/>
    <x v="2"/>
    <x v="1"/>
    <x v="0"/>
    <x v="1"/>
    <x v="1"/>
    <n v="52.79"/>
    <n v="55.429499999999997"/>
    <n v="10"/>
    <s v="Ewallet"/>
    <x v="31"/>
    <n v="2.6394999999999982"/>
  </r>
  <r>
    <s v="160-22-2687"/>
    <x v="565"/>
    <s v="A"/>
    <x v="0"/>
    <x v="0"/>
    <x v="0"/>
    <x v="2"/>
    <x v="0"/>
    <n v="95.95"/>
    <n v="100.7475"/>
    <n v="5"/>
    <s v="Ewallet"/>
    <x v="50"/>
    <n v="4.7974999999999994"/>
  </r>
  <r>
    <s v="770-42-8960"/>
    <x v="566"/>
    <s v="B"/>
    <x v="2"/>
    <x v="1"/>
    <x v="1"/>
    <x v="27"/>
    <x v="4"/>
    <n v="21.12"/>
    <n v="22.175999999999998"/>
    <n v="8"/>
    <s v="Cash"/>
    <x v="52"/>
    <n v="1.0559999999999974"/>
  </r>
  <r>
    <s v="234-36-2483"/>
    <x v="567"/>
    <s v="B"/>
    <x v="2"/>
    <x v="1"/>
    <x v="1"/>
    <x v="2"/>
    <x v="0"/>
    <n v="57.59"/>
    <n v="60.469500000000004"/>
    <n v="6"/>
    <s v="Cash"/>
    <x v="17"/>
    <n v="2.8795000000000002"/>
  </r>
  <r>
    <s v="316-66-3011"/>
    <x v="568"/>
    <s v="A"/>
    <x v="0"/>
    <x v="0"/>
    <x v="0"/>
    <x v="27"/>
    <x v="4"/>
    <n v="47.63"/>
    <n v="50.011499999999998"/>
    <n v="9"/>
    <s v="Cash"/>
    <x v="59"/>
    <n v="2.3814999999999955"/>
  </r>
  <r>
    <s v="840-76-5966"/>
    <x v="569"/>
    <s v="A"/>
    <x v="0"/>
    <x v="0"/>
    <x v="1"/>
    <x v="23"/>
    <x v="2"/>
    <n v="12.76"/>
    <n v="13.398"/>
    <n v="2"/>
    <s v="Ewallet"/>
    <x v="46"/>
    <n v="0.6379999999999999"/>
  </r>
  <r>
    <s v="124-31-1458"/>
    <x v="570"/>
    <s v="A"/>
    <x v="0"/>
    <x v="0"/>
    <x v="0"/>
    <x v="1"/>
    <x v="1"/>
    <n v="79.59"/>
    <n v="83.569499999999991"/>
    <n v="3"/>
    <s v="Cash"/>
    <x v="29"/>
    <n v="3.9794999999999874"/>
  </r>
  <r>
    <s v="176-78-1170"/>
    <x v="571"/>
    <s v="C"/>
    <x v="1"/>
    <x v="0"/>
    <x v="1"/>
    <x v="20"/>
    <x v="0"/>
    <n v="33.81"/>
    <n v="35.500499999999995"/>
    <n v="3"/>
    <s v="Ewallet"/>
    <x v="40"/>
    <n v="1.690499999999993"/>
  </r>
  <r>
    <s v="361-59-0574"/>
    <x v="572"/>
    <s v="B"/>
    <x v="2"/>
    <x v="0"/>
    <x v="1"/>
    <x v="23"/>
    <x v="2"/>
    <n v="90.53"/>
    <n v="95.0565"/>
    <n v="8"/>
    <s v="Credit card"/>
    <x v="48"/>
    <n v="4.5264999999999986"/>
  </r>
  <r>
    <s v="101-81-4070"/>
    <x v="573"/>
    <s v="C"/>
    <x v="1"/>
    <x v="0"/>
    <x v="0"/>
    <x v="12"/>
    <x v="0"/>
    <n v="62.82"/>
    <n v="65.960999999999999"/>
    <n v="2"/>
    <s v="Ewallet"/>
    <x v="42"/>
    <n v="3.1409999999999982"/>
  </r>
  <r>
    <s v="631-34-1880"/>
    <x v="574"/>
    <s v="C"/>
    <x v="1"/>
    <x v="0"/>
    <x v="1"/>
    <x v="27"/>
    <x v="4"/>
    <n v="24.31"/>
    <n v="25.525499999999997"/>
    <n v="3"/>
    <s v="Credit card"/>
    <x v="34"/>
    <n v="1.2154999999999987"/>
  </r>
  <r>
    <s v="852-82-2749"/>
    <x v="575"/>
    <s v="A"/>
    <x v="0"/>
    <x v="1"/>
    <x v="1"/>
    <x v="23"/>
    <x v="2"/>
    <n v="64.59"/>
    <n v="67.819500000000005"/>
    <n v="4"/>
    <s v="Ewallet"/>
    <x v="30"/>
    <n v="3.2295000000000016"/>
  </r>
  <r>
    <s v="873-14-6353"/>
    <x v="576"/>
    <s v="A"/>
    <x v="0"/>
    <x v="0"/>
    <x v="1"/>
    <x v="27"/>
    <x v="4"/>
    <n v="24.82"/>
    <n v="26.061"/>
    <n v="7"/>
    <s v="Credit card"/>
    <x v="9"/>
    <n v="1.2409999999999997"/>
  </r>
  <r>
    <s v="544-55-9589"/>
    <x v="577"/>
    <s v="B"/>
    <x v="2"/>
    <x v="0"/>
    <x v="0"/>
    <x v="25"/>
    <x v="1"/>
    <n v="21.43"/>
    <n v="22.5015"/>
    <n v="10"/>
    <s v="Cash"/>
    <x v="58"/>
    <n v="1.0715000000000003"/>
  </r>
  <r>
    <s v="166-19-2553"/>
    <x v="578"/>
    <s v="A"/>
    <x v="0"/>
    <x v="0"/>
    <x v="1"/>
    <x v="23"/>
    <x v="2"/>
    <n v="89.06"/>
    <n v="93.512999999999991"/>
    <n v="6"/>
    <s v="Cash"/>
    <x v="18"/>
    <n v="4.4529999999999887"/>
  </r>
  <r>
    <s v="608-05-3804"/>
    <x v="579"/>
    <s v="B"/>
    <x v="2"/>
    <x v="0"/>
    <x v="1"/>
    <x v="1"/>
    <x v="1"/>
    <n v="39.75"/>
    <n v="41.737499999999997"/>
    <n v="1"/>
    <s v="Cash"/>
    <x v="41"/>
    <n v="1.9874999999999972"/>
  </r>
  <r>
    <s v="448-61-3783"/>
    <x v="580"/>
    <s v="A"/>
    <x v="0"/>
    <x v="1"/>
    <x v="0"/>
    <x v="5"/>
    <x v="1"/>
    <n v="90.02"/>
    <n v="94.521000000000001"/>
    <n v="8"/>
    <s v="Credit card"/>
    <x v="12"/>
    <n v="4.5010000000000048"/>
  </r>
  <r>
    <s v="761-49-0439"/>
    <x v="581"/>
    <s v="B"/>
    <x v="2"/>
    <x v="0"/>
    <x v="0"/>
    <x v="1"/>
    <x v="1"/>
    <n v="12.1"/>
    <n v="12.705"/>
    <n v="8"/>
    <s v="Ewallet"/>
    <x v="15"/>
    <n v="0.60500000000000043"/>
  </r>
  <r>
    <s v="490-95-0021"/>
    <x v="582"/>
    <s v="B"/>
    <x v="2"/>
    <x v="0"/>
    <x v="0"/>
    <x v="27"/>
    <x v="4"/>
    <n v="33.21"/>
    <n v="34.8705"/>
    <n v="10"/>
    <s v="Ewallet"/>
    <x v="19"/>
    <n v="1.660499999999999"/>
  </r>
  <r>
    <s v="311-13-6971"/>
    <x v="583"/>
    <s v="B"/>
    <x v="2"/>
    <x v="0"/>
    <x v="1"/>
    <x v="11"/>
    <x v="2"/>
    <n v="31.99"/>
    <n v="33.589500000000001"/>
    <n v="10"/>
    <s v="Credit card"/>
    <x v="18"/>
    <n v="1.5995000000000026"/>
  </r>
  <r>
    <s v="548-48-3156"/>
    <x v="584"/>
    <s v="A"/>
    <x v="0"/>
    <x v="0"/>
    <x v="0"/>
    <x v="27"/>
    <x v="4"/>
    <n v="83.34"/>
    <n v="87.507000000000005"/>
    <n v="2"/>
    <s v="Cash"/>
    <x v="24"/>
    <n v="4.1670000000000016"/>
  </r>
  <r>
    <s v="460-93-5834"/>
    <x v="585"/>
    <s v="A"/>
    <x v="0"/>
    <x v="1"/>
    <x v="1"/>
    <x v="11"/>
    <x v="2"/>
    <n v="45.58"/>
    <n v="47.858999999999995"/>
    <n v="7"/>
    <s v="Cash"/>
    <x v="59"/>
    <n v="2.2789999999999964"/>
  </r>
  <r>
    <s v="325-89-4209"/>
    <x v="586"/>
    <s v="A"/>
    <x v="0"/>
    <x v="0"/>
    <x v="1"/>
    <x v="27"/>
    <x v="4"/>
    <n v="87.9"/>
    <n v="92.295000000000002"/>
    <n v="1"/>
    <s v="Ewallet"/>
    <x v="32"/>
    <n v="4.394999999999996"/>
  </r>
  <r>
    <s v="884-80-6021"/>
    <x v="587"/>
    <s v="A"/>
    <x v="0"/>
    <x v="0"/>
    <x v="0"/>
    <x v="1"/>
    <x v="1"/>
    <n v="73.47"/>
    <n v="77.143499999999989"/>
    <n v="10"/>
    <s v="Ewallet"/>
    <x v="26"/>
    <n v="3.67349999999999"/>
  </r>
  <r>
    <s v="880-46-5796"/>
    <x v="588"/>
    <s v="A"/>
    <x v="0"/>
    <x v="0"/>
    <x v="1"/>
    <x v="11"/>
    <x v="2"/>
    <n v="76.92"/>
    <n v="80.765999999999991"/>
    <n v="10"/>
    <s v="Ewallet"/>
    <x v="25"/>
    <n v="3.8459999999999894"/>
  </r>
  <r>
    <s v="389-70-2397"/>
    <x v="589"/>
    <s v="C"/>
    <x v="1"/>
    <x v="1"/>
    <x v="0"/>
    <x v="20"/>
    <x v="0"/>
    <n v="83.66"/>
    <n v="87.842999999999989"/>
    <n v="5"/>
    <s v="Cash"/>
    <x v="6"/>
    <n v="4.1829999999999927"/>
  </r>
  <r>
    <s v="114-35-5271"/>
    <x v="590"/>
    <s v="B"/>
    <x v="2"/>
    <x v="1"/>
    <x v="0"/>
    <x v="1"/>
    <x v="1"/>
    <n v="57.91"/>
    <n v="60.805500000000002"/>
    <n v="8"/>
    <s v="Cash"/>
    <x v="27"/>
    <n v="2.8955000000000055"/>
  </r>
  <r>
    <s v="715-20-1673"/>
    <x v="591"/>
    <s v="B"/>
    <x v="2"/>
    <x v="1"/>
    <x v="1"/>
    <x v="25"/>
    <x v="1"/>
    <n v="28.38"/>
    <n v="29.798999999999999"/>
    <n v="5"/>
    <s v="Cash"/>
    <x v="51"/>
    <n v="1.4190000000000005"/>
  </r>
  <r>
    <s v="811-35-1094"/>
    <x v="592"/>
    <s v="B"/>
    <x v="2"/>
    <x v="0"/>
    <x v="1"/>
    <x v="5"/>
    <x v="1"/>
    <n v="50.45"/>
    <n v="52.972499999999997"/>
    <n v="6"/>
    <s v="Credit card"/>
    <x v="60"/>
    <n v="2.5224999999999937"/>
  </r>
  <r>
    <s v="699-88-1972"/>
    <x v="593"/>
    <s v="B"/>
    <x v="2"/>
    <x v="1"/>
    <x v="1"/>
    <x v="20"/>
    <x v="0"/>
    <n v="99.16"/>
    <n v="104.11799999999999"/>
    <n v="8"/>
    <s v="Credit card"/>
    <x v="44"/>
    <n v="4.9579999999999984"/>
  </r>
  <r>
    <s v="409-49-6995"/>
    <x v="594"/>
    <s v="C"/>
    <x v="1"/>
    <x v="0"/>
    <x v="0"/>
    <x v="27"/>
    <x v="4"/>
    <n v="47.27"/>
    <n v="49.633499999999998"/>
    <n v="6"/>
    <s v="Cash"/>
    <x v="50"/>
    <n v="2.3634999999999948"/>
  </r>
  <r>
    <s v="725-54-0677"/>
    <x v="595"/>
    <s v="C"/>
    <x v="1"/>
    <x v="0"/>
    <x v="1"/>
    <x v="20"/>
    <x v="0"/>
    <n v="85.6"/>
    <n v="89.88"/>
    <n v="7"/>
    <s v="Cash"/>
    <x v="3"/>
    <n v="4.2800000000000011"/>
  </r>
  <r>
    <s v="146-09-5432"/>
    <x v="596"/>
    <s v="A"/>
    <x v="0"/>
    <x v="0"/>
    <x v="1"/>
    <x v="27"/>
    <x v="4"/>
    <n v="35.04"/>
    <n v="36.792000000000002"/>
    <n v="9"/>
    <s v="Ewallet"/>
    <x v="13"/>
    <n v="1.7520000000000024"/>
  </r>
  <r>
    <s v="377-79-7592"/>
    <x v="597"/>
    <s v="C"/>
    <x v="1"/>
    <x v="0"/>
    <x v="0"/>
    <x v="1"/>
    <x v="1"/>
    <n v="44.84"/>
    <n v="47.082000000000001"/>
    <n v="9"/>
    <s v="Credit card"/>
    <x v="21"/>
    <n v="2.2419999999999973"/>
  </r>
  <r>
    <s v="595-94-9924"/>
    <x v="598"/>
    <s v="A"/>
    <x v="0"/>
    <x v="0"/>
    <x v="0"/>
    <x v="12"/>
    <x v="0"/>
    <n v="27.73"/>
    <n v="29.116500000000002"/>
    <n v="5"/>
    <s v="Credit card"/>
    <x v="44"/>
    <n v="1.3865000000000016"/>
  </r>
  <r>
    <s v="865-41-9075"/>
    <x v="599"/>
    <s v="A"/>
    <x v="0"/>
    <x v="1"/>
    <x v="1"/>
    <x v="27"/>
    <x v="4"/>
    <n v="11.53"/>
    <n v="12.1065"/>
    <n v="7"/>
    <s v="Cash"/>
    <x v="27"/>
    <n v="0.57650000000000112"/>
  </r>
  <r>
    <s v="545-07-8534"/>
    <x v="600"/>
    <s v="C"/>
    <x v="1"/>
    <x v="1"/>
    <x v="0"/>
    <x v="10"/>
    <x v="0"/>
    <n v="58.32"/>
    <n v="61.235999999999997"/>
    <n v="2"/>
    <s v="Ewallet"/>
    <x v="19"/>
    <n v="2.9159999999999968"/>
  </r>
  <r>
    <s v="450-42-3339"/>
    <x v="601"/>
    <s v="C"/>
    <x v="1"/>
    <x v="1"/>
    <x v="1"/>
    <x v="10"/>
    <x v="0"/>
    <n v="84.61"/>
    <n v="88.840499999999992"/>
    <n v="10"/>
    <s v="Credit card"/>
    <x v="50"/>
    <n v="4.2304999999999922"/>
  </r>
  <r>
    <s v="851-98-3555"/>
    <x v="602"/>
    <s v="B"/>
    <x v="2"/>
    <x v="1"/>
    <x v="0"/>
    <x v="2"/>
    <x v="0"/>
    <n v="82.88"/>
    <n v="87.024000000000001"/>
    <n v="5"/>
    <s v="Credit card"/>
    <x v="29"/>
    <n v="4.1440000000000055"/>
  </r>
  <r>
    <s v="186-71-5196"/>
    <x v="603"/>
    <s v="A"/>
    <x v="0"/>
    <x v="0"/>
    <x v="0"/>
    <x v="24"/>
    <x v="4"/>
    <n v="79.540000000000006"/>
    <n v="83.516999999999996"/>
    <n v="2"/>
    <s v="Ewallet"/>
    <x v="58"/>
    <n v="3.9769999999999897"/>
  </r>
  <r>
    <s v="313-66-9943"/>
    <x v="604"/>
    <s v="B"/>
    <x v="2"/>
    <x v="0"/>
    <x v="0"/>
    <x v="24"/>
    <x v="4"/>
    <n v="29.15"/>
    <n v="30.607500000000002"/>
    <n v="3"/>
    <s v="Credit card"/>
    <x v="40"/>
    <n v="1.4575000000000031"/>
  </r>
  <r>
    <s v="151-27-8496"/>
    <x v="605"/>
    <s v="C"/>
    <x v="1"/>
    <x v="1"/>
    <x v="0"/>
    <x v="1"/>
    <x v="1"/>
    <n v="56.13"/>
    <n v="58.936500000000002"/>
    <n v="4"/>
    <s v="Ewallet"/>
    <x v="15"/>
    <n v="2.8064999999999998"/>
  </r>
  <r>
    <s v="459-45-2396"/>
    <x v="606"/>
    <s v="A"/>
    <x v="0"/>
    <x v="0"/>
    <x v="0"/>
    <x v="24"/>
    <x v="4"/>
    <n v="99.6"/>
    <n v="104.58"/>
    <n v="3"/>
    <s v="Cash"/>
    <x v="5"/>
    <n v="4.980000000000004"/>
  </r>
  <r>
    <s v="717-96-4189"/>
    <x v="607"/>
    <s v="C"/>
    <x v="1"/>
    <x v="1"/>
    <x v="0"/>
    <x v="1"/>
    <x v="1"/>
    <n v="35.49"/>
    <n v="37.264499999999998"/>
    <n v="6"/>
    <s v="Cash"/>
    <x v="4"/>
    <n v="1.7744999999999962"/>
  </r>
  <r>
    <s v="722-13-2115"/>
    <x v="608"/>
    <s v="C"/>
    <x v="1"/>
    <x v="0"/>
    <x v="1"/>
    <x v="11"/>
    <x v="2"/>
    <n v="42.85"/>
    <n v="44.9925"/>
    <n v="1"/>
    <s v="Credit card"/>
    <x v="30"/>
    <n v="2.1424999999999983"/>
  </r>
  <r>
    <s v="636-98-3364"/>
    <x v="609"/>
    <s v="B"/>
    <x v="2"/>
    <x v="0"/>
    <x v="0"/>
    <x v="5"/>
    <x v="1"/>
    <n v="26.26"/>
    <n v="27.572999999999997"/>
    <n v="3"/>
    <s v="Ewallet"/>
    <x v="52"/>
    <n v="1.3129999999999953"/>
  </r>
  <r>
    <s v="887-42-0517"/>
    <x v="610"/>
    <s v="C"/>
    <x v="1"/>
    <x v="1"/>
    <x v="0"/>
    <x v="11"/>
    <x v="2"/>
    <n v="83.14"/>
    <n v="87.296999999999997"/>
    <n v="7"/>
    <s v="Credit card"/>
    <x v="29"/>
    <n v="4.1569999999999965"/>
  </r>
  <r>
    <s v="457-12-0244"/>
    <x v="611"/>
    <s v="C"/>
    <x v="1"/>
    <x v="0"/>
    <x v="0"/>
    <x v="11"/>
    <x v="2"/>
    <n v="35.22"/>
    <n v="36.981000000000002"/>
    <n v="6"/>
    <s v="Ewallet"/>
    <x v="48"/>
    <n v="1.7610000000000028"/>
  </r>
  <r>
    <s v="226-34-0034"/>
    <x v="612"/>
    <s v="B"/>
    <x v="2"/>
    <x v="1"/>
    <x v="0"/>
    <x v="1"/>
    <x v="1"/>
    <n v="13.78"/>
    <n v="14.468999999999999"/>
    <n v="4"/>
    <s v="Ewallet"/>
    <x v="49"/>
    <n v="0.68900000000000006"/>
  </r>
  <r>
    <s v="321-49-7382"/>
    <x v="613"/>
    <s v="B"/>
    <x v="2"/>
    <x v="0"/>
    <x v="1"/>
    <x v="11"/>
    <x v="2"/>
    <n v="88.31"/>
    <n v="92.725499999999997"/>
    <n v="1"/>
    <s v="Credit card"/>
    <x v="47"/>
    <n v="4.4154999999999944"/>
  </r>
  <r>
    <s v="397-25-8725"/>
    <x v="614"/>
    <s v="A"/>
    <x v="0"/>
    <x v="0"/>
    <x v="0"/>
    <x v="10"/>
    <x v="0"/>
    <n v="39.619999999999997"/>
    <n v="41.600999999999999"/>
    <n v="9"/>
    <s v="Credit card"/>
    <x v="8"/>
    <n v="1.9810000000000016"/>
  </r>
  <r>
    <s v="431-66-2305"/>
    <x v="615"/>
    <s v="B"/>
    <x v="2"/>
    <x v="1"/>
    <x v="0"/>
    <x v="25"/>
    <x v="1"/>
    <n v="88.25"/>
    <n v="92.662499999999994"/>
    <n v="9"/>
    <s v="Credit card"/>
    <x v="24"/>
    <n v="4.4124999999999943"/>
  </r>
  <r>
    <s v="825-94-5922"/>
    <x v="616"/>
    <s v="B"/>
    <x v="2"/>
    <x v="1"/>
    <x v="1"/>
    <x v="11"/>
    <x v="2"/>
    <n v="25.31"/>
    <n v="26.575500000000002"/>
    <n v="2"/>
    <s v="Ewallet"/>
    <x v="6"/>
    <n v="1.265500000000003"/>
  </r>
  <r>
    <s v="243-55-8457"/>
    <x v="617"/>
    <s v="A"/>
    <x v="0"/>
    <x v="1"/>
    <x v="0"/>
    <x v="24"/>
    <x v="4"/>
    <n v="74.44"/>
    <n v="78.162000000000006"/>
    <n v="10"/>
    <s v="Ewallet"/>
    <x v="17"/>
    <n v="3.7220000000000084"/>
  </r>
  <r>
    <s v="458-10-8612"/>
    <x v="618"/>
    <s v="C"/>
    <x v="1"/>
    <x v="1"/>
    <x v="1"/>
    <x v="2"/>
    <x v="0"/>
    <n v="64.08"/>
    <n v="67.284000000000006"/>
    <n v="7"/>
    <s v="Ewallet"/>
    <x v="24"/>
    <n v="3.2040000000000077"/>
  </r>
  <r>
    <s v="433-08-7822"/>
    <x v="619"/>
    <s v="C"/>
    <x v="1"/>
    <x v="1"/>
    <x v="0"/>
    <x v="10"/>
    <x v="0"/>
    <n v="78.89"/>
    <n v="82.834500000000006"/>
    <n v="7"/>
    <s v="Ewallet"/>
    <x v="21"/>
    <n v="3.944500000000005"/>
  </r>
  <r>
    <s v="361-85-2571"/>
    <x v="620"/>
    <s v="A"/>
    <x v="0"/>
    <x v="1"/>
    <x v="0"/>
    <x v="11"/>
    <x v="2"/>
    <n v="89.48"/>
    <n v="93.953999999999994"/>
    <n v="5"/>
    <s v="Cash"/>
    <x v="20"/>
    <n v="4.4739999999999895"/>
  </r>
  <r>
    <s v="131-70-8179"/>
    <x v="621"/>
    <s v="A"/>
    <x v="0"/>
    <x v="0"/>
    <x v="0"/>
    <x v="10"/>
    <x v="0"/>
    <n v="92.09"/>
    <n v="96.694500000000005"/>
    <n v="3"/>
    <s v="Cash"/>
    <x v="44"/>
    <n v="4.6045000000000016"/>
  </r>
  <r>
    <s v="500-02-2261"/>
    <x v="622"/>
    <s v="C"/>
    <x v="1"/>
    <x v="1"/>
    <x v="0"/>
    <x v="24"/>
    <x v="4"/>
    <n v="57.29"/>
    <n v="60.154500000000006"/>
    <n v="6"/>
    <s v="Ewallet"/>
    <x v="7"/>
    <n v="2.8645000000000067"/>
  </r>
  <r>
    <s v="720-72-2436"/>
    <x v="623"/>
    <s v="A"/>
    <x v="0"/>
    <x v="1"/>
    <x v="1"/>
    <x v="24"/>
    <x v="4"/>
    <n v="66.52"/>
    <n v="69.846000000000004"/>
    <n v="4"/>
    <s v="Ewallet"/>
    <x v="14"/>
    <n v="3.3260000000000076"/>
  </r>
  <r>
    <s v="449-16-6770"/>
    <x v="624"/>
    <s v="A"/>
    <x v="0"/>
    <x v="1"/>
    <x v="1"/>
    <x v="2"/>
    <x v="0"/>
    <n v="50.79"/>
    <n v="53.329499999999996"/>
    <n v="5"/>
    <s v="Credit card"/>
    <x v="3"/>
    <n v="2.5394999999999968"/>
  </r>
  <r>
    <s v="333-23-2632"/>
    <x v="625"/>
    <s v="A"/>
    <x v="0"/>
    <x v="0"/>
    <x v="1"/>
    <x v="12"/>
    <x v="0"/>
    <n v="10.08"/>
    <n v="10.584"/>
    <n v="7"/>
    <s v="Cash"/>
    <x v="44"/>
    <n v="0.50399999999999956"/>
  </r>
  <r>
    <s v="489-82-1237"/>
    <x v="626"/>
    <s v="A"/>
    <x v="0"/>
    <x v="1"/>
    <x v="0"/>
    <x v="1"/>
    <x v="1"/>
    <n v="93.88"/>
    <n v="98.573999999999998"/>
    <n v="7"/>
    <s v="Credit card"/>
    <x v="40"/>
    <n v="4.6940000000000026"/>
  </r>
  <r>
    <s v="859-97-6048"/>
    <x v="627"/>
    <s v="C"/>
    <x v="1"/>
    <x v="0"/>
    <x v="1"/>
    <x v="1"/>
    <x v="1"/>
    <n v="84.25"/>
    <n v="88.462500000000006"/>
    <n v="2"/>
    <s v="Credit card"/>
    <x v="3"/>
    <n v="4.2125000000000057"/>
  </r>
  <r>
    <s v="365-16-4334"/>
    <x v="628"/>
    <s v="B"/>
    <x v="2"/>
    <x v="1"/>
    <x v="0"/>
    <x v="24"/>
    <x v="4"/>
    <n v="26.43"/>
    <n v="27.7515"/>
    <n v="8"/>
    <s v="Ewallet"/>
    <x v="60"/>
    <n v="1.3215000000000003"/>
  </r>
  <r>
    <s v="503-21-4385"/>
    <x v="629"/>
    <s v="B"/>
    <x v="2"/>
    <x v="0"/>
    <x v="1"/>
    <x v="20"/>
    <x v="0"/>
    <n v="39.909999999999997"/>
    <n v="41.905499999999996"/>
    <n v="3"/>
    <s v="Ewallet"/>
    <x v="30"/>
    <n v="1.9954999999999998"/>
  </r>
  <r>
    <s v="574-80-1489"/>
    <x v="630"/>
    <s v="B"/>
    <x v="2"/>
    <x v="0"/>
    <x v="0"/>
    <x v="24"/>
    <x v="4"/>
    <n v="62.85"/>
    <n v="65.992500000000007"/>
    <n v="4"/>
    <s v="Ewallet"/>
    <x v="36"/>
    <n v="3.1425000000000054"/>
  </r>
  <r>
    <s v="784-08-0310"/>
    <x v="631"/>
    <s v="C"/>
    <x v="1"/>
    <x v="0"/>
    <x v="0"/>
    <x v="24"/>
    <x v="4"/>
    <n v="21.04"/>
    <n v="22.091999999999999"/>
    <n v="4"/>
    <s v="Cash"/>
    <x v="24"/>
    <n v="1.0519999999999996"/>
  </r>
  <r>
    <s v="577-34-7579"/>
    <x v="632"/>
    <s v="C"/>
    <x v="1"/>
    <x v="0"/>
    <x v="1"/>
    <x v="24"/>
    <x v="4"/>
    <n v="50.49"/>
    <n v="53.014499999999998"/>
    <n v="9"/>
    <s v="Cash"/>
    <x v="37"/>
    <n v="2.5244999999999962"/>
  </r>
  <r>
    <s v="430-02-3888"/>
    <x v="633"/>
    <s v="B"/>
    <x v="2"/>
    <x v="1"/>
    <x v="1"/>
    <x v="1"/>
    <x v="1"/>
    <n v="46.02"/>
    <n v="48.320999999999998"/>
    <n v="6"/>
    <s v="Cash"/>
    <x v="9"/>
    <n v="2.3009999999999948"/>
  </r>
  <r>
    <s v="384-59-6655"/>
    <x v="634"/>
    <s v="A"/>
    <x v="0"/>
    <x v="0"/>
    <x v="0"/>
    <x v="24"/>
    <x v="4"/>
    <n v="98.66"/>
    <n v="103.593"/>
    <n v="9"/>
    <s v="Cash"/>
    <x v="2"/>
    <n v="4.9330000000000069"/>
  </r>
  <r>
    <s v="324-92-3863"/>
    <x v="635"/>
    <s v="A"/>
    <x v="0"/>
    <x v="0"/>
    <x v="1"/>
    <x v="1"/>
    <x v="1"/>
    <n v="20.89"/>
    <n v="21.9345"/>
    <n v="2"/>
    <s v="Cash"/>
    <x v="53"/>
    <n v="1.0444999999999993"/>
  </r>
  <r>
    <s v="364-34-2972"/>
    <x v="636"/>
    <s v="C"/>
    <x v="1"/>
    <x v="0"/>
    <x v="1"/>
    <x v="1"/>
    <x v="1"/>
    <n v="96.82"/>
    <n v="101.661"/>
    <n v="3"/>
    <s v="Cash"/>
    <x v="32"/>
    <n v="4.8410000000000082"/>
  </r>
  <r>
    <s v="794-42-3736"/>
    <x v="637"/>
    <s v="B"/>
    <x v="2"/>
    <x v="1"/>
    <x v="1"/>
    <x v="24"/>
    <x v="4"/>
    <n v="33.33"/>
    <n v="34.996499999999997"/>
    <n v="2"/>
    <s v="Credit card"/>
    <x v="33"/>
    <n v="1.6664999999999992"/>
  </r>
  <r>
    <s v="172-42-8274"/>
    <x v="638"/>
    <s v="B"/>
    <x v="2"/>
    <x v="1"/>
    <x v="0"/>
    <x v="5"/>
    <x v="1"/>
    <n v="38.270000000000003"/>
    <n v="40.183500000000002"/>
    <n v="2"/>
    <s v="Credit card"/>
    <x v="5"/>
    <n v="1.9134999999999991"/>
  </r>
  <r>
    <s v="605-03-2706"/>
    <x v="639"/>
    <s v="A"/>
    <x v="0"/>
    <x v="1"/>
    <x v="0"/>
    <x v="12"/>
    <x v="0"/>
    <n v="15.8"/>
    <n v="16.59"/>
    <n v="3"/>
    <s v="Cash"/>
    <x v="26"/>
    <n v="0.78999999999999915"/>
  </r>
  <r>
    <s v="214-30-2776"/>
    <x v="640"/>
    <s v="B"/>
    <x v="2"/>
    <x v="0"/>
    <x v="0"/>
    <x v="1"/>
    <x v="1"/>
    <n v="34.49"/>
    <n v="36.214500000000001"/>
    <n v="5"/>
    <s v="Credit card"/>
    <x v="49"/>
    <n v="1.724499999999999"/>
  </r>
  <r>
    <s v="746-04-1077"/>
    <x v="641"/>
    <s v="B"/>
    <x v="2"/>
    <x v="0"/>
    <x v="0"/>
    <x v="24"/>
    <x v="4"/>
    <n v="84.63"/>
    <n v="88.861500000000007"/>
    <n v="10"/>
    <s v="Credit card"/>
    <x v="49"/>
    <n v="4.2315000000000111"/>
  </r>
  <r>
    <s v="452-04-8808"/>
    <x v="642"/>
    <s v="B"/>
    <x v="2"/>
    <x v="1"/>
    <x v="1"/>
    <x v="1"/>
    <x v="1"/>
    <n v="87.08"/>
    <n v="91.433999999999997"/>
    <n v="7"/>
    <s v="Cash"/>
    <x v="38"/>
    <n v="4.3539999999999992"/>
  </r>
  <r>
    <s v="221-25-5073"/>
    <x v="643"/>
    <s v="A"/>
    <x v="0"/>
    <x v="1"/>
    <x v="0"/>
    <x v="21"/>
    <x v="4"/>
    <n v="74.66"/>
    <n v="78.393000000000001"/>
    <n v="4"/>
    <s v="Cash"/>
    <x v="28"/>
    <n v="3.7330000000000041"/>
  </r>
  <r>
    <s v="518-71-6847"/>
    <x v="644"/>
    <s v="B"/>
    <x v="2"/>
    <x v="0"/>
    <x v="1"/>
    <x v="27"/>
    <x v="4"/>
    <n v="26.6"/>
    <n v="27.930000000000003"/>
    <n v="6"/>
    <s v="Ewallet"/>
    <x v="42"/>
    <n v="1.3300000000000018"/>
  </r>
  <r>
    <s v="156-20-0370"/>
    <x v="645"/>
    <s v="B"/>
    <x v="2"/>
    <x v="1"/>
    <x v="0"/>
    <x v="1"/>
    <x v="1"/>
    <n v="25.45"/>
    <n v="26.7225"/>
    <n v="1"/>
    <s v="Credit card"/>
    <x v="17"/>
    <n v="1.2725000000000009"/>
  </r>
  <r>
    <s v="151-33-7434"/>
    <x v="646"/>
    <s v="B"/>
    <x v="2"/>
    <x v="1"/>
    <x v="0"/>
    <x v="21"/>
    <x v="4"/>
    <n v="67.77"/>
    <n v="71.158500000000004"/>
    <n v="1"/>
    <s v="Credit card"/>
    <x v="48"/>
    <n v="3.3885000000000076"/>
  </r>
  <r>
    <s v="728-47-9078"/>
    <x v="647"/>
    <s v="C"/>
    <x v="1"/>
    <x v="0"/>
    <x v="1"/>
    <x v="27"/>
    <x v="4"/>
    <n v="59.59"/>
    <n v="62.569499999999998"/>
    <n v="4"/>
    <s v="Cash"/>
    <x v="53"/>
    <n v="2.9794999999999945"/>
  </r>
  <r>
    <s v="809-46-1866"/>
    <x v="648"/>
    <s v="A"/>
    <x v="0"/>
    <x v="1"/>
    <x v="1"/>
    <x v="2"/>
    <x v="0"/>
    <n v="58.15"/>
    <n v="61.057499999999997"/>
    <n v="4"/>
    <s v="Cash"/>
    <x v="2"/>
    <n v="2.9074999999999989"/>
  </r>
  <r>
    <s v="139-32-4183"/>
    <x v="649"/>
    <s v="A"/>
    <x v="0"/>
    <x v="0"/>
    <x v="0"/>
    <x v="23"/>
    <x v="2"/>
    <n v="97.48"/>
    <n v="102.354"/>
    <n v="9"/>
    <s v="Ewallet"/>
    <x v="20"/>
    <n v="4.8739999999999952"/>
  </r>
  <r>
    <s v="148-41-7930"/>
    <x v="650"/>
    <s v="C"/>
    <x v="1"/>
    <x v="1"/>
    <x v="1"/>
    <x v="20"/>
    <x v="0"/>
    <n v="99.96"/>
    <n v="104.958"/>
    <n v="7"/>
    <s v="Cash"/>
    <x v="41"/>
    <n v="4.9980000000000047"/>
  </r>
  <r>
    <s v="189-40-5216"/>
    <x v="651"/>
    <s v="C"/>
    <x v="1"/>
    <x v="1"/>
    <x v="1"/>
    <x v="5"/>
    <x v="1"/>
    <n v="96.37"/>
    <n v="101.18849999999999"/>
    <n v="7"/>
    <s v="Cash"/>
    <x v="19"/>
    <n v="4.818499999999986"/>
  </r>
  <r>
    <s v="764-44-8999"/>
    <x v="652"/>
    <s v="B"/>
    <x v="2"/>
    <x v="1"/>
    <x v="0"/>
    <x v="20"/>
    <x v="0"/>
    <n v="14.76"/>
    <n v="15.497999999999999"/>
    <n v="2"/>
    <s v="Ewallet"/>
    <x v="34"/>
    <n v="0.73799999999999955"/>
  </r>
  <r>
    <s v="552-44-5977"/>
    <x v="653"/>
    <s v="B"/>
    <x v="2"/>
    <x v="0"/>
    <x v="1"/>
    <x v="2"/>
    <x v="0"/>
    <n v="62"/>
    <n v="65.099999999999994"/>
    <n v="8"/>
    <s v="Credit card"/>
    <x v="58"/>
    <n v="3.0999999999999943"/>
  </r>
  <r>
    <s v="267-62-7380"/>
    <x v="654"/>
    <s v="C"/>
    <x v="1"/>
    <x v="0"/>
    <x v="1"/>
    <x v="25"/>
    <x v="1"/>
    <n v="82.34"/>
    <n v="86.457000000000008"/>
    <n v="10"/>
    <s v="Ewallet"/>
    <x v="34"/>
    <n v="4.1170000000000044"/>
  </r>
  <r>
    <s v="430-53-4718"/>
    <x v="655"/>
    <s v="B"/>
    <x v="2"/>
    <x v="0"/>
    <x v="1"/>
    <x v="12"/>
    <x v="0"/>
    <n v="75.37"/>
    <n v="79.138499999999993"/>
    <n v="8"/>
    <s v="Credit card"/>
    <x v="2"/>
    <n v="3.7684999999999889"/>
  </r>
  <r>
    <s v="886-18-2897"/>
    <x v="656"/>
    <s v="A"/>
    <x v="0"/>
    <x v="1"/>
    <x v="0"/>
    <x v="27"/>
    <x v="4"/>
    <n v="56.56"/>
    <n v="59.387999999999998"/>
    <n v="5"/>
    <s v="Credit card"/>
    <x v="12"/>
    <n v="2.8279999999999959"/>
  </r>
  <r>
    <s v="602-16-6955"/>
    <x v="657"/>
    <s v="B"/>
    <x v="2"/>
    <x v="1"/>
    <x v="0"/>
    <x v="23"/>
    <x v="2"/>
    <n v="76.599999999999994"/>
    <n v="80.429999999999993"/>
    <n v="10"/>
    <s v="Ewallet"/>
    <x v="19"/>
    <n v="3.8299999999999983"/>
  </r>
  <r>
    <s v="745-74-0715"/>
    <x v="658"/>
    <s v="A"/>
    <x v="0"/>
    <x v="1"/>
    <x v="1"/>
    <x v="1"/>
    <x v="1"/>
    <n v="58.03"/>
    <n v="60.9315"/>
    <n v="2"/>
    <s v="Ewallet"/>
    <x v="50"/>
    <n v="2.9014999999999986"/>
  </r>
  <r>
    <s v="652-49-6720"/>
    <x v="659"/>
    <s v="C"/>
    <x v="1"/>
    <x v="0"/>
    <x v="0"/>
    <x v="1"/>
    <x v="1"/>
    <n v="60.95"/>
    <n v="63.997500000000002"/>
    <n v="1"/>
    <s v="Ewallet"/>
    <x v="7"/>
    <n v="3.0474999999999994"/>
  </r>
  <r>
    <s v="233-67-5758"/>
    <x v="660"/>
    <s v="C"/>
    <x v="1"/>
    <x v="1"/>
    <x v="1"/>
    <x v="20"/>
    <x v="0"/>
    <n v="40.35"/>
    <n v="42.3675"/>
    <n v="1"/>
    <s v="Ewallet"/>
    <x v="58"/>
    <n v="2.0174999999999983"/>
  </r>
  <r>
    <s v="727-02-1313"/>
    <x v="661"/>
    <s v="A"/>
    <x v="0"/>
    <x v="0"/>
    <x v="1"/>
    <x v="21"/>
    <x v="4"/>
    <n v="31.84"/>
    <n v="33.432000000000002"/>
    <n v="1"/>
    <s v="Cash"/>
    <x v="55"/>
    <n v="1.5920000000000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DC261B-1B33-4112-A731-894B57AA2A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14" firstHeaderRow="1" firstDataRow="2" firstDataCol="1"/>
  <pivotFields count="9">
    <pivotField showAll="0"/>
    <pivotField axis="axisRow" showAll="0">
      <items count="10">
        <item x="7"/>
        <item x="4"/>
        <item x="8"/>
        <item x="6"/>
        <item x="5"/>
        <item x="1"/>
        <item x="3"/>
        <item x="0"/>
        <item x="2"/>
        <item t="default"/>
      </items>
    </pivotField>
    <pivotField showAll="0"/>
    <pivotField showAll="0"/>
    <pivotField showAll="0"/>
    <pivotField showAll="0"/>
    <pivotField showAll="0"/>
    <pivotField axis="axisCol" showAll="0">
      <items count="3">
        <item x="1"/>
        <item x="0"/>
        <item t="default"/>
      </items>
    </pivotField>
    <pivotField dataField="1" showAll="0"/>
  </pivotFields>
  <rowFields count="1">
    <field x="1"/>
  </rowFields>
  <rowItems count="10">
    <i>
      <x/>
    </i>
    <i>
      <x v="1"/>
    </i>
    <i>
      <x v="2"/>
    </i>
    <i>
      <x v="3"/>
    </i>
    <i>
      <x v="4"/>
    </i>
    <i>
      <x v="5"/>
    </i>
    <i>
      <x v="6"/>
    </i>
    <i>
      <x v="7"/>
    </i>
    <i>
      <x v="8"/>
    </i>
    <i t="grand">
      <x/>
    </i>
  </rowItems>
  <colFields count="1">
    <field x="7"/>
  </colFields>
  <colItems count="3">
    <i>
      <x/>
    </i>
    <i>
      <x v="1"/>
    </i>
    <i t="grand">
      <x/>
    </i>
  </colItems>
  <dataFields count="1">
    <dataField name="Count of Final Salary"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70B5F-38D5-4FF6-BCE1-B7152AB29A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3" firstHeaderRow="1" firstDataRow="1" firstDataCol="1"/>
  <pivotFields count="9">
    <pivotField showAll="0"/>
    <pivotField axis="axisRow" showAll="0">
      <items count="10">
        <item x="7"/>
        <item x="4"/>
        <item x="8"/>
        <item x="6"/>
        <item x="5"/>
        <item x="1"/>
        <item x="3"/>
        <item x="0"/>
        <item x="2"/>
        <item t="default"/>
      </items>
    </pivotField>
    <pivotField showAll="0"/>
    <pivotField showAll="0"/>
    <pivotField showAll="0"/>
    <pivotField showAll="0"/>
    <pivotField showAll="0"/>
    <pivotField showAll="0"/>
    <pivotField dataField="1" showAll="0">
      <items count="79">
        <item x="56"/>
        <item x="68"/>
        <item x="52"/>
        <item x="61"/>
        <item x="0"/>
        <item x="75"/>
        <item x="49"/>
        <item x="5"/>
        <item x="65"/>
        <item x="70"/>
        <item x="38"/>
        <item x="40"/>
        <item x="4"/>
        <item x="55"/>
        <item x="8"/>
        <item x="21"/>
        <item x="77"/>
        <item x="64"/>
        <item x="50"/>
        <item x="59"/>
        <item x="54"/>
        <item x="47"/>
        <item x="51"/>
        <item x="57"/>
        <item x="34"/>
        <item x="22"/>
        <item x="43"/>
        <item x="37"/>
        <item x="46"/>
        <item x="69"/>
        <item x="71"/>
        <item x="32"/>
        <item x="27"/>
        <item x="30"/>
        <item x="9"/>
        <item x="36"/>
        <item x="67"/>
        <item x="15"/>
        <item x="18"/>
        <item x="42"/>
        <item x="48"/>
        <item x="29"/>
        <item x="19"/>
        <item x="28"/>
        <item x="2"/>
        <item x="17"/>
        <item x="76"/>
        <item x="44"/>
        <item x="25"/>
        <item x="74"/>
        <item x="13"/>
        <item x="45"/>
        <item x="41"/>
        <item x="33"/>
        <item x="60"/>
        <item x="23"/>
        <item x="26"/>
        <item x="66"/>
        <item x="39"/>
        <item x="53"/>
        <item x="58"/>
        <item x="14"/>
        <item x="16"/>
        <item x="24"/>
        <item x="62"/>
        <item x="63"/>
        <item x="72"/>
        <item x="31"/>
        <item x="12"/>
        <item x="10"/>
        <item x="73"/>
        <item x="1"/>
        <item x="20"/>
        <item x="35"/>
        <item x="7"/>
        <item x="11"/>
        <item x="6"/>
        <item x="3"/>
        <item t="default"/>
      </items>
    </pivotField>
  </pivotFields>
  <rowFields count="1">
    <field x="1"/>
  </rowFields>
  <rowItems count="10">
    <i>
      <x/>
    </i>
    <i>
      <x v="1"/>
    </i>
    <i>
      <x v="2"/>
    </i>
    <i>
      <x v="3"/>
    </i>
    <i>
      <x v="4"/>
    </i>
    <i>
      <x v="5"/>
    </i>
    <i>
      <x v="6"/>
    </i>
    <i>
      <x v="7"/>
    </i>
    <i>
      <x v="8"/>
    </i>
    <i t="grand">
      <x/>
    </i>
  </rowItems>
  <colItems count="1">
    <i/>
  </colItems>
  <dataFields count="1">
    <dataField name="Sum of Final Salar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B0C063-82AA-4FAD-AE3B-D48EE2039C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6" firstHeaderRow="1" firstDataRow="1" firstDataCol="1"/>
  <pivotFields count="9">
    <pivotField showAll="0"/>
    <pivotField showAll="0"/>
    <pivotField dataField="1" showAll="0"/>
    <pivotField showAll="0"/>
    <pivotField showAll="0"/>
    <pivotField showAll="0"/>
    <pivotField showAll="0"/>
    <pivotField axis="axisRow" showAll="0">
      <items count="3">
        <item x="1"/>
        <item x="0"/>
        <item t="default"/>
      </items>
    </pivotField>
    <pivotField showAll="0"/>
  </pivotFields>
  <rowFields count="1">
    <field x="7"/>
  </rowFields>
  <rowItems count="3">
    <i>
      <x/>
    </i>
    <i>
      <x v="1"/>
    </i>
    <i t="grand">
      <x/>
    </i>
  </rowItems>
  <colItems count="1">
    <i/>
  </colItems>
  <dataFields count="1">
    <dataField name="Average of Basic Salary"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81BE1F-A80F-42E4-B801-CF176F2C37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9" firstHeaderRow="1" firstDataRow="1" firstDataCol="1"/>
  <pivotFields count="9">
    <pivotField showAll="0"/>
    <pivotField showAll="0"/>
    <pivotField showAll="0"/>
    <pivotField showAll="0"/>
    <pivotField showAll="0"/>
    <pivotField axis="axisRow" showAll="0">
      <items count="6">
        <item x="0"/>
        <item x="3"/>
        <item x="4"/>
        <item x="1"/>
        <item x="2"/>
        <item t="default"/>
      </items>
    </pivotField>
    <pivotField dataField="1" showAll="0"/>
    <pivotField showAll="0"/>
    <pivotField showAll="0"/>
  </pivotFields>
  <rowFields count="1">
    <field x="5"/>
  </rowFields>
  <rowItems count="6">
    <i>
      <x/>
    </i>
    <i>
      <x v="1"/>
    </i>
    <i>
      <x v="2"/>
    </i>
    <i>
      <x v="3"/>
    </i>
    <i>
      <x v="4"/>
    </i>
    <i t="grand">
      <x/>
    </i>
  </rowItems>
  <colItems count="1">
    <i/>
  </colItems>
  <dataFields count="1">
    <dataField name="Sum of Additional pay for projec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458D33-A3C5-4B46-84A6-8D272D8D87C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5" firstHeaderRow="1" firstDataRow="1" firstDataCol="1"/>
  <pivotFields count="12">
    <pivotField showAll="0"/>
    <pivotField axis="axisRow" showAll="0">
      <items count="4">
        <item x="0"/>
        <item h="1" x="2"/>
        <item h="1" x="1"/>
        <item t="default"/>
      </items>
    </pivotField>
    <pivotField showAll="0">
      <items count="3">
        <item h="1" x="0"/>
        <item x="1"/>
        <item t="default"/>
      </items>
    </pivotField>
    <pivotField showAll="0">
      <items count="3">
        <item h="1" x="0"/>
        <item x="1"/>
        <item t="default"/>
      </items>
    </pivotField>
    <pivotField dataField="1" showAll="0">
      <items count="29">
        <item x="3"/>
        <item x="21"/>
        <item x="10"/>
        <item x="9"/>
        <item x="4"/>
        <item x="16"/>
        <item x="20"/>
        <item x="5"/>
        <item x="24"/>
        <item x="17"/>
        <item x="11"/>
        <item x="13"/>
        <item x="8"/>
        <item x="14"/>
        <item x="25"/>
        <item x="19"/>
        <item x="2"/>
        <item x="12"/>
        <item x="15"/>
        <item x="6"/>
        <item x="7"/>
        <item x="23"/>
        <item x="22"/>
        <item x="18"/>
        <item x="0"/>
        <item x="1"/>
        <item x="27"/>
        <item x="26"/>
        <item t="default"/>
      </items>
    </pivotField>
    <pivotField showAll="0"/>
    <pivotField showAll="0"/>
    <pivotField showAll="0"/>
    <pivotField showAll="0"/>
    <pivotField showAll="0"/>
    <pivotField showAll="0">
      <items count="62">
        <item h="1" x="35"/>
        <item h="1" x="4"/>
        <item h="1" x="44"/>
        <item h="1" x="34"/>
        <item x="54"/>
        <item h="1" x="12"/>
        <item h="1" x="13"/>
        <item h="1" x="23"/>
        <item h="1" x="16"/>
        <item h="1" x="42"/>
        <item h="1" x="59"/>
        <item h="1" x="17"/>
        <item h="1" x="47"/>
        <item h="1" x="3"/>
        <item h="1" x="37"/>
        <item h="1" x="38"/>
        <item h="1" x="25"/>
        <item h="1" x="11"/>
        <item h="1" x="5"/>
        <item h="1" x="7"/>
        <item h="1" x="19"/>
        <item h="1" x="41"/>
        <item h="1" x="58"/>
        <item h="1" x="52"/>
        <item h="1" x="33"/>
        <item h="1" x="48"/>
        <item h="1" x="29"/>
        <item h="1" x="32"/>
        <item h="1" x="8"/>
        <item h="1" x="14"/>
        <item h="1" x="22"/>
        <item h="1" x="9"/>
        <item h="1" x="6"/>
        <item h="1" x="40"/>
        <item h="1" x="20"/>
        <item h="1" x="21"/>
        <item h="1" x="24"/>
        <item h="1" x="55"/>
        <item h="1" x="46"/>
        <item h="1" x="56"/>
        <item h="1" x="43"/>
        <item h="1" x="27"/>
        <item h="1" x="10"/>
        <item h="1" x="39"/>
        <item h="1" x="2"/>
        <item h="1" x="28"/>
        <item h="1" x="15"/>
        <item h="1" x="36"/>
        <item h="1" x="50"/>
        <item h="1" x="60"/>
        <item h="1" x="49"/>
        <item h="1" x="0"/>
        <item h="1" x="45"/>
        <item h="1" x="30"/>
        <item h="1" x="51"/>
        <item h="1" x="26"/>
        <item h="1" x="1"/>
        <item h="1" x="57"/>
        <item h="1" x="53"/>
        <item h="1" x="18"/>
        <item h="1" x="31"/>
        <item t="default"/>
      </items>
    </pivotField>
    <pivotField showAll="0"/>
  </pivotFields>
  <rowFields count="1">
    <field x="1"/>
  </rowFields>
  <rowItems count="2">
    <i>
      <x/>
    </i>
    <i t="grand">
      <x/>
    </i>
  </rowItems>
  <colItems count="1">
    <i/>
  </colItems>
  <dataFields count="1">
    <dataField name="Count of Produc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0341D6-194C-4802-BF3B-AB0ED39E763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14">
    <pivotField showAll="0"/>
    <pivotField numFmtId="14" showAll="0">
      <items count="66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h="1" x="154"/>
        <item h="1" x="155"/>
        <item h="1" x="156"/>
        <item h="1" x="157"/>
        <item h="1" x="158"/>
        <item x="159"/>
        <item h="1" x="160"/>
        <item x="161"/>
        <item x="162"/>
        <item h="1" x="163"/>
        <item x="164"/>
        <item x="165"/>
        <item h="1" x="166"/>
        <item h="1" x="167"/>
        <item x="168"/>
        <item h="1" x="169"/>
        <item x="170"/>
        <item h="1" x="171"/>
        <item h="1" x="172"/>
        <item h="1" x="173"/>
        <item x="174"/>
        <item h="1" x="175"/>
        <item x="176"/>
        <item h="1" x="177"/>
        <item h="1" x="178"/>
        <item x="179"/>
        <item h="1" x="180"/>
        <item x="181"/>
        <item h="1" x="182"/>
        <item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t="default"/>
      </items>
    </pivotField>
    <pivotField showAll="0"/>
    <pivotField showAll="0">
      <items count="4">
        <item h="1" x="0"/>
        <item x="2"/>
        <item h="1" x="1"/>
        <item t="default"/>
      </items>
    </pivotField>
    <pivotField showAll="0">
      <items count="3">
        <item h="1" x="0"/>
        <item x="1"/>
        <item t="default"/>
      </items>
    </pivotField>
    <pivotField showAll="0"/>
    <pivotField showAll="0"/>
    <pivotField axis="axisRow" showAll="0">
      <items count="6">
        <item x="3"/>
        <item x="1"/>
        <item x="4"/>
        <item x="0"/>
        <item x="2"/>
        <item t="default"/>
      </items>
    </pivotField>
    <pivotField showAll="0"/>
    <pivotField showAll="0"/>
    <pivotField showAll="0"/>
    <pivotField showAll="0"/>
    <pivotField dataField="1" showAll="0">
      <items count="62">
        <item x="35"/>
        <item x="4"/>
        <item x="44"/>
        <item x="34"/>
        <item x="54"/>
        <item x="12"/>
        <item x="13"/>
        <item x="23"/>
        <item x="16"/>
        <item x="42"/>
        <item x="59"/>
        <item x="17"/>
        <item x="47"/>
        <item x="3"/>
        <item x="37"/>
        <item x="38"/>
        <item x="25"/>
        <item x="11"/>
        <item x="5"/>
        <item x="7"/>
        <item x="19"/>
        <item x="41"/>
        <item x="58"/>
        <item x="52"/>
        <item x="33"/>
        <item x="48"/>
        <item x="29"/>
        <item x="32"/>
        <item x="8"/>
        <item x="14"/>
        <item x="22"/>
        <item x="9"/>
        <item x="6"/>
        <item x="40"/>
        <item x="20"/>
        <item x="21"/>
        <item x="24"/>
        <item x="55"/>
        <item x="46"/>
        <item x="56"/>
        <item x="43"/>
        <item x="27"/>
        <item x="10"/>
        <item x="39"/>
        <item x="2"/>
        <item x="28"/>
        <item x="15"/>
        <item x="36"/>
        <item x="50"/>
        <item x="60"/>
        <item x="49"/>
        <item x="0"/>
        <item x="45"/>
        <item x="30"/>
        <item x="51"/>
        <item x="26"/>
        <item x="1"/>
        <item x="57"/>
        <item x="53"/>
        <item x="18"/>
        <item x="31"/>
        <item t="default"/>
      </items>
    </pivotField>
    <pivotField showAll="0"/>
  </pivotFields>
  <rowFields count="1">
    <field x="7"/>
  </rowFields>
  <rowItems count="4">
    <i>
      <x v="2"/>
    </i>
    <i>
      <x v="3"/>
    </i>
    <i>
      <x v="4"/>
    </i>
    <i t="grand">
      <x/>
    </i>
  </rowItems>
  <colItems count="1">
    <i/>
  </colItems>
  <dataFields count="1">
    <dataField name="Max of Rating" fld="12"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F5349A-35EB-4079-BF66-82917CBFE26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6" firstHeaderRow="1" firstDataRow="1" firstDataCol="1"/>
  <pivotFields count="14">
    <pivotField showAll="0"/>
    <pivotField numFmtId="14" showAll="0"/>
    <pivotField showAll="0"/>
    <pivotField showAll="0">
      <items count="4">
        <item h="1" x="0"/>
        <item h="1" x="2"/>
        <item x="1"/>
        <item t="default"/>
      </items>
    </pivotField>
    <pivotField showAll="0">
      <items count="3">
        <item x="0"/>
        <item h="1" x="1"/>
        <item t="default"/>
      </items>
    </pivotField>
    <pivotField showAll="0">
      <items count="3">
        <item h="1" x="0"/>
        <item x="1"/>
        <item t="default"/>
      </items>
    </pivotField>
    <pivotField axis="axisRow" showAll="0">
      <items count="29">
        <item x="3"/>
        <item x="21"/>
        <item x="10"/>
        <item x="9"/>
        <item x="4"/>
        <item x="16"/>
        <item x="20"/>
        <item x="5"/>
        <item x="24"/>
        <item x="17"/>
        <item x="11"/>
        <item x="13"/>
        <item x="8"/>
        <item x="14"/>
        <item x="25"/>
        <item x="19"/>
        <item x="2"/>
        <item x="12"/>
        <item x="15"/>
        <item x="6"/>
        <item x="7"/>
        <item x="23"/>
        <item x="22"/>
        <item x="18"/>
        <item x="0"/>
        <item x="1"/>
        <item x="27"/>
        <item x="26"/>
        <item t="default"/>
      </items>
    </pivotField>
    <pivotField showAll="0"/>
    <pivotField showAll="0"/>
    <pivotField showAll="0"/>
    <pivotField showAll="0"/>
    <pivotField showAll="0"/>
    <pivotField showAll="0">
      <items count="62">
        <item h="1" x="35"/>
        <item h="1" x="4"/>
        <item h="1" x="44"/>
        <item h="1" x="34"/>
        <item h="1" x="54"/>
        <item h="1" x="12"/>
        <item h="1" x="13"/>
        <item h="1" x="23"/>
        <item h="1" x="16"/>
        <item h="1" x="42"/>
        <item h="1" x="59"/>
        <item h="1" x="17"/>
        <item h="1" x="47"/>
        <item h="1" x="3"/>
        <item h="1" x="37"/>
        <item h="1" x="38"/>
        <item h="1" x="25"/>
        <item h="1" x="11"/>
        <item h="1" x="5"/>
        <item h="1" x="7"/>
        <item h="1" x="19"/>
        <item h="1" x="41"/>
        <item h="1" x="58"/>
        <item h="1" x="52"/>
        <item h="1" x="33"/>
        <item h="1" x="48"/>
        <item h="1" x="29"/>
        <item h="1" x="32"/>
        <item h="1" x="8"/>
        <item h="1" x="14"/>
        <item h="1" x="22"/>
        <item h="1" x="9"/>
        <item h="1" x="6"/>
        <item h="1" x="40"/>
        <item h="1" x="20"/>
        <item h="1" x="21"/>
        <item h="1" x="24"/>
        <item h="1" x="55"/>
        <item h="1" x="46"/>
        <item h="1" x="56"/>
        <item x="43"/>
        <item x="27"/>
        <item x="10"/>
        <item x="39"/>
        <item x="2"/>
        <item x="28"/>
        <item x="15"/>
        <item x="36"/>
        <item x="50"/>
        <item x="60"/>
        <item x="49"/>
        <item x="0"/>
        <item x="45"/>
        <item x="30"/>
        <item x="51"/>
        <item x="26"/>
        <item x="1"/>
        <item x="57"/>
        <item x="53"/>
        <item x="18"/>
        <item x="31"/>
        <item t="default"/>
      </items>
    </pivotField>
    <pivotField dataField="1" showAll="0"/>
  </pivotFields>
  <rowFields count="1">
    <field x="6"/>
  </rowFields>
  <rowItems count="13">
    <i>
      <x v="4"/>
    </i>
    <i>
      <x v="5"/>
    </i>
    <i>
      <x v="6"/>
    </i>
    <i>
      <x v="8"/>
    </i>
    <i>
      <x v="9"/>
    </i>
    <i>
      <x v="10"/>
    </i>
    <i>
      <x v="15"/>
    </i>
    <i>
      <x v="18"/>
    </i>
    <i>
      <x v="23"/>
    </i>
    <i>
      <x v="24"/>
    </i>
    <i>
      <x v="25"/>
    </i>
    <i>
      <x v="26"/>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F113AB0-2485-447D-915F-7F74EC3099B9}" sourceName="City">
  <pivotTables>
    <pivotTable tabId="19" name="PivotTable1"/>
  </pivotTables>
  <data>
    <tabular pivotCacheId="2069990197">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C619055-5841-42DF-BBB1-71CC1A19E078}" sourceName="Customer type">
  <pivotTables>
    <pivotTable tabId="19" name="PivotTable1"/>
  </pivotTables>
  <data>
    <tabular pivotCacheId="2069990197">
      <items count="2">
        <i x="1"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F977B5D-7351-4B89-A84D-1BF11E0D743F}" sourceName="Gender">
  <pivotTables>
    <pivotTable tabId="19" name="PivotTable1"/>
  </pivotTables>
  <data>
    <tabular pivotCacheId="2069990197">
      <items count="2">
        <i x="1" s="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3F21263A-B7CE-4D31-9C60-7CC5F1636DB0}" sourceName="Rating">
  <pivotTables>
    <pivotTable tabId="19" name="PivotTable1"/>
  </pivotTables>
  <data>
    <tabular pivotCacheId="2069990197">
      <items count="61">
        <i x="54" s="1"/>
        <i x="16"/>
        <i x="42"/>
        <i x="59"/>
        <i x="17"/>
        <i x="3"/>
        <i x="37"/>
        <i x="38"/>
        <i x="25"/>
        <i x="11"/>
        <i x="5"/>
        <i x="7"/>
        <i x="19"/>
        <i x="41"/>
        <i x="58"/>
        <i x="52"/>
        <i x="33"/>
        <i x="48"/>
        <i x="29"/>
        <i x="32"/>
        <i x="14"/>
        <i x="22"/>
        <i x="6"/>
        <i x="20"/>
        <i x="24"/>
        <i x="46"/>
        <i x="43"/>
        <i x="27"/>
        <i x="2"/>
        <i x="15"/>
        <i x="36"/>
        <i x="50"/>
        <i x="49"/>
        <i x="0"/>
        <i x="45"/>
        <i x="30"/>
        <i x="26"/>
        <i x="1"/>
        <i x="57"/>
        <i x="53"/>
        <i x="18"/>
        <i x="35" nd="1"/>
        <i x="4" nd="1"/>
        <i x="44" nd="1"/>
        <i x="34" nd="1"/>
        <i x="12" nd="1"/>
        <i x="13" nd="1"/>
        <i x="23" nd="1"/>
        <i x="47" nd="1"/>
        <i x="8" nd="1"/>
        <i x="9" nd="1"/>
        <i x="40" nd="1"/>
        <i x="21" nd="1"/>
        <i x="55" nd="1"/>
        <i x="56" nd="1"/>
        <i x="10" nd="1"/>
        <i x="39" nd="1"/>
        <i x="28" nd="1"/>
        <i x="60" nd="1"/>
        <i x="51" nd="1"/>
        <i x="3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0DEE6BD-909C-4A7A-9604-0C92C048DEF5}" sourceName="Date">
  <pivotTables>
    <pivotTable tabId="21" name="PivotTable3"/>
  </pivotTables>
  <data>
    <tabular pivotCacheId="1304866924">
      <items count="662">
        <i x="17"/>
        <i x="20"/>
        <i x="23"/>
        <i x="57"/>
        <i x="64"/>
        <i x="70"/>
        <i x="75"/>
        <i x="88"/>
        <i x="90"/>
        <i x="94"/>
        <i x="109"/>
        <i x="114"/>
        <i x="122"/>
        <i x="142"/>
        <i x="145"/>
        <i x="147"/>
        <i x="149"/>
        <i x="150"/>
        <i x="151"/>
        <i x="159" s="1"/>
        <i x="168" s="1"/>
        <i x="176" s="1"/>
        <i x="179" s="1"/>
        <i x="181" s="1"/>
        <i x="186"/>
        <i x="188"/>
        <i x="193"/>
        <i x="199"/>
        <i x="215"/>
        <i x="224"/>
        <i x="234"/>
        <i x="239"/>
        <i x="240"/>
        <i x="250"/>
        <i x="253"/>
        <i x="259"/>
        <i x="270"/>
        <i x="271"/>
        <i x="274"/>
        <i x="276"/>
        <i x="282"/>
        <i x="296"/>
        <i x="297"/>
        <i x="302"/>
        <i x="312"/>
        <i x="321"/>
        <i x="329"/>
        <i x="335"/>
        <i x="336"/>
        <i x="339"/>
        <i x="346"/>
        <i x="353"/>
        <i x="359"/>
        <i x="361"/>
        <i x="363"/>
        <i x="368"/>
        <i x="370"/>
        <i x="377"/>
        <i x="379"/>
        <i x="382"/>
        <i x="385"/>
        <i x="394"/>
        <i x="399"/>
        <i x="431"/>
        <i x="432"/>
        <i x="437"/>
        <i x="442"/>
        <i x="444"/>
        <i x="446"/>
        <i x="454"/>
        <i x="465"/>
        <i x="467"/>
        <i x="468"/>
        <i x="480"/>
        <i x="482"/>
        <i x="498"/>
        <i x="501"/>
        <i x="502"/>
        <i x="508"/>
        <i x="510"/>
        <i x="525"/>
        <i x="526"/>
        <i x="531"/>
        <i x="532"/>
        <i x="537"/>
        <i x="541"/>
        <i x="550"/>
        <i x="553"/>
        <i x="556"/>
        <i x="564"/>
        <i x="566"/>
        <i x="567"/>
        <i x="590"/>
        <i x="591"/>
        <i x="593"/>
        <i x="602"/>
        <i x="612"/>
        <i x="615"/>
        <i x="616"/>
        <i x="628"/>
        <i x="633"/>
        <i x="637"/>
        <i x="638"/>
        <i x="642"/>
        <i x="645"/>
        <i x="646"/>
        <i x="652"/>
        <i x="657"/>
        <i x="0" nd="1"/>
        <i x="1" nd="1"/>
        <i x="2" nd="1"/>
        <i x="3" nd="1"/>
        <i x="4" nd="1"/>
        <i x="5" nd="1"/>
        <i x="6" nd="1"/>
        <i x="7" nd="1"/>
        <i x="8" nd="1"/>
        <i x="9" nd="1"/>
        <i x="10" nd="1"/>
        <i x="11" nd="1"/>
        <i x="12" nd="1"/>
        <i x="13" nd="1"/>
        <i x="14" nd="1"/>
        <i x="15" nd="1"/>
        <i x="16" nd="1"/>
        <i x="18" nd="1"/>
        <i x="19" nd="1"/>
        <i x="21" nd="1"/>
        <i x="22"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8" nd="1"/>
        <i x="59" nd="1"/>
        <i x="60" nd="1"/>
        <i x="61" nd="1"/>
        <i x="62" nd="1"/>
        <i x="63" nd="1"/>
        <i x="65" nd="1"/>
        <i x="66" nd="1"/>
        <i x="67" nd="1"/>
        <i x="68" nd="1"/>
        <i x="69" nd="1"/>
        <i x="71" nd="1"/>
        <i x="72" nd="1"/>
        <i x="73" nd="1"/>
        <i x="74" nd="1"/>
        <i x="76" nd="1"/>
        <i x="77" nd="1"/>
        <i x="78" nd="1"/>
        <i x="79" nd="1"/>
        <i x="80" nd="1"/>
        <i x="81" nd="1"/>
        <i x="82" nd="1"/>
        <i x="83" nd="1"/>
        <i x="84" nd="1"/>
        <i x="85" nd="1"/>
        <i x="86" nd="1"/>
        <i x="87" nd="1"/>
        <i x="89" nd="1"/>
        <i x="91" nd="1"/>
        <i x="92" nd="1"/>
        <i x="93" nd="1"/>
        <i x="95" nd="1"/>
        <i x="96" nd="1"/>
        <i x="97" nd="1"/>
        <i x="98" nd="1"/>
        <i x="99" nd="1"/>
        <i x="100" nd="1"/>
        <i x="101" nd="1"/>
        <i x="102" nd="1"/>
        <i x="103" nd="1"/>
        <i x="104" nd="1"/>
        <i x="105" nd="1"/>
        <i x="106" nd="1"/>
        <i x="107" nd="1"/>
        <i x="108" nd="1"/>
        <i x="110" nd="1"/>
        <i x="111" nd="1"/>
        <i x="112" nd="1"/>
        <i x="113" nd="1"/>
        <i x="115" nd="1"/>
        <i x="116" nd="1"/>
        <i x="117" nd="1"/>
        <i x="118" nd="1"/>
        <i x="119" nd="1"/>
        <i x="120" nd="1"/>
        <i x="121" nd="1"/>
        <i x="123" nd="1"/>
        <i x="124" nd="1"/>
        <i x="125" nd="1"/>
        <i x="126" nd="1"/>
        <i x="127" nd="1"/>
        <i x="128" nd="1"/>
        <i x="129" nd="1"/>
        <i x="130" nd="1"/>
        <i x="131" nd="1"/>
        <i x="132" nd="1"/>
        <i x="133" nd="1"/>
        <i x="134" nd="1"/>
        <i x="135" nd="1"/>
        <i x="136" nd="1"/>
        <i x="137" nd="1"/>
        <i x="138" nd="1"/>
        <i x="139" nd="1"/>
        <i x="140" nd="1"/>
        <i x="141" nd="1"/>
        <i x="143" nd="1"/>
        <i x="144" nd="1"/>
        <i x="146" nd="1"/>
        <i x="148" nd="1"/>
        <i x="152" nd="1"/>
        <i x="153" s="1" nd="1"/>
        <i x="154" nd="1"/>
        <i x="155" nd="1"/>
        <i x="156" nd="1"/>
        <i x="157" nd="1"/>
        <i x="158" nd="1"/>
        <i x="160" nd="1"/>
        <i x="161" s="1" nd="1"/>
        <i x="162" s="1" nd="1"/>
        <i x="163" nd="1"/>
        <i x="164" s="1" nd="1"/>
        <i x="165" s="1" nd="1"/>
        <i x="166" nd="1"/>
        <i x="167" nd="1"/>
        <i x="169" nd="1"/>
        <i x="170" s="1" nd="1"/>
        <i x="171" nd="1"/>
        <i x="172" nd="1"/>
        <i x="173" nd="1"/>
        <i x="174" s="1" nd="1"/>
        <i x="175" nd="1"/>
        <i x="177" nd="1"/>
        <i x="178" nd="1"/>
        <i x="180" nd="1"/>
        <i x="182" nd="1"/>
        <i x="183" s="1" nd="1"/>
        <i x="184" nd="1"/>
        <i x="185" nd="1"/>
        <i x="187" nd="1"/>
        <i x="189" nd="1"/>
        <i x="190" nd="1"/>
        <i x="191" nd="1"/>
        <i x="192" nd="1"/>
        <i x="194" nd="1"/>
        <i x="195" nd="1"/>
        <i x="196" nd="1"/>
        <i x="197" nd="1"/>
        <i x="198" nd="1"/>
        <i x="200" nd="1"/>
        <i x="201" nd="1"/>
        <i x="202" nd="1"/>
        <i x="203" nd="1"/>
        <i x="204" nd="1"/>
        <i x="205" nd="1"/>
        <i x="206" nd="1"/>
        <i x="207" nd="1"/>
        <i x="208" nd="1"/>
        <i x="209" nd="1"/>
        <i x="210" nd="1"/>
        <i x="211" nd="1"/>
        <i x="212" nd="1"/>
        <i x="213" nd="1"/>
        <i x="214" nd="1"/>
        <i x="216" nd="1"/>
        <i x="217" nd="1"/>
        <i x="218" nd="1"/>
        <i x="219" nd="1"/>
        <i x="220" nd="1"/>
        <i x="221" nd="1"/>
        <i x="222" nd="1"/>
        <i x="223" nd="1"/>
        <i x="225" nd="1"/>
        <i x="226" nd="1"/>
        <i x="227" nd="1"/>
        <i x="228" nd="1"/>
        <i x="229" nd="1"/>
        <i x="230" nd="1"/>
        <i x="231" nd="1"/>
        <i x="232" nd="1"/>
        <i x="233" nd="1"/>
        <i x="235" nd="1"/>
        <i x="236" nd="1"/>
        <i x="237" nd="1"/>
        <i x="238" nd="1"/>
        <i x="241" nd="1"/>
        <i x="242" nd="1"/>
        <i x="243" nd="1"/>
        <i x="244" nd="1"/>
        <i x="245" nd="1"/>
        <i x="246" nd="1"/>
        <i x="247" nd="1"/>
        <i x="248" nd="1"/>
        <i x="249" nd="1"/>
        <i x="251" nd="1"/>
        <i x="252" nd="1"/>
        <i x="254" nd="1"/>
        <i x="255" nd="1"/>
        <i x="256" nd="1"/>
        <i x="257" nd="1"/>
        <i x="258" nd="1"/>
        <i x="260" nd="1"/>
        <i x="261" nd="1"/>
        <i x="262" nd="1"/>
        <i x="263" nd="1"/>
        <i x="264" nd="1"/>
        <i x="265" nd="1"/>
        <i x="266" nd="1"/>
        <i x="267" nd="1"/>
        <i x="268" nd="1"/>
        <i x="269" nd="1"/>
        <i x="272" nd="1"/>
        <i x="273" nd="1"/>
        <i x="275" nd="1"/>
        <i x="277" nd="1"/>
        <i x="278" nd="1"/>
        <i x="279" nd="1"/>
        <i x="280" nd="1"/>
        <i x="281" nd="1"/>
        <i x="283" nd="1"/>
        <i x="284" nd="1"/>
        <i x="285" nd="1"/>
        <i x="286" nd="1"/>
        <i x="287" nd="1"/>
        <i x="288" nd="1"/>
        <i x="289" nd="1"/>
        <i x="290" nd="1"/>
        <i x="291" nd="1"/>
        <i x="292" nd="1"/>
        <i x="293" nd="1"/>
        <i x="294" nd="1"/>
        <i x="295" nd="1"/>
        <i x="298" nd="1"/>
        <i x="299" nd="1"/>
        <i x="300" nd="1"/>
        <i x="301" nd="1"/>
        <i x="303" nd="1"/>
        <i x="304" nd="1"/>
        <i x="305" nd="1"/>
        <i x="306" nd="1"/>
        <i x="307" nd="1"/>
        <i x="308" nd="1"/>
        <i x="309" nd="1"/>
        <i x="310" nd="1"/>
        <i x="311" nd="1"/>
        <i x="313" nd="1"/>
        <i x="314" nd="1"/>
        <i x="315" nd="1"/>
        <i x="316" nd="1"/>
        <i x="317" nd="1"/>
        <i x="318" nd="1"/>
        <i x="319" nd="1"/>
        <i x="320" nd="1"/>
        <i x="322" nd="1"/>
        <i x="323" nd="1"/>
        <i x="324" nd="1"/>
        <i x="325" nd="1"/>
        <i x="326" nd="1"/>
        <i x="327" nd="1"/>
        <i x="328" nd="1"/>
        <i x="330" nd="1"/>
        <i x="331" nd="1"/>
        <i x="332" nd="1"/>
        <i x="333" nd="1"/>
        <i x="334" nd="1"/>
        <i x="337" nd="1"/>
        <i x="338" nd="1"/>
        <i x="340" nd="1"/>
        <i x="341" nd="1"/>
        <i x="342" nd="1"/>
        <i x="343" nd="1"/>
        <i x="344" nd="1"/>
        <i x="345" nd="1"/>
        <i x="347" nd="1"/>
        <i x="348" nd="1"/>
        <i x="349" nd="1"/>
        <i x="350" nd="1"/>
        <i x="351" nd="1"/>
        <i x="352" nd="1"/>
        <i x="354" nd="1"/>
        <i x="355" nd="1"/>
        <i x="356" nd="1"/>
        <i x="357" nd="1"/>
        <i x="358" nd="1"/>
        <i x="360" nd="1"/>
        <i x="362" nd="1"/>
        <i x="364" nd="1"/>
        <i x="365" nd="1"/>
        <i x="366" nd="1"/>
        <i x="367" nd="1"/>
        <i x="369" nd="1"/>
        <i x="371" nd="1"/>
        <i x="372" nd="1"/>
        <i x="373" nd="1"/>
        <i x="374" nd="1"/>
        <i x="375" nd="1"/>
        <i x="376" nd="1"/>
        <i x="378" nd="1"/>
        <i x="380" nd="1"/>
        <i x="381" nd="1"/>
        <i x="383" nd="1"/>
        <i x="384" nd="1"/>
        <i x="386" nd="1"/>
        <i x="387" nd="1"/>
        <i x="388" nd="1"/>
        <i x="389" nd="1"/>
        <i x="390" nd="1"/>
        <i x="391" nd="1"/>
        <i x="392" nd="1"/>
        <i x="393" nd="1"/>
        <i x="395" nd="1"/>
        <i x="396" nd="1"/>
        <i x="397" nd="1"/>
        <i x="398" nd="1"/>
        <i x="400" nd="1"/>
        <i x="401" nd="1"/>
        <i x="402" nd="1"/>
        <i x="403" nd="1"/>
        <i x="404" nd="1"/>
        <i x="405" nd="1"/>
        <i x="406" nd="1"/>
        <i x="407" nd="1"/>
        <i x="408" nd="1"/>
        <i x="409" nd="1"/>
        <i x="410" nd="1"/>
        <i x="411" nd="1"/>
        <i x="412" nd="1"/>
        <i x="413" nd="1"/>
        <i x="414" nd="1"/>
        <i x="415" nd="1"/>
        <i x="416" nd="1"/>
        <i x="417" nd="1"/>
        <i x="418" nd="1"/>
        <i x="419" nd="1"/>
        <i x="420" nd="1"/>
        <i x="421" nd="1"/>
        <i x="422" nd="1"/>
        <i x="423" nd="1"/>
        <i x="424" nd="1"/>
        <i x="425" nd="1"/>
        <i x="426" nd="1"/>
        <i x="427" nd="1"/>
        <i x="428" nd="1"/>
        <i x="429" nd="1"/>
        <i x="430" nd="1"/>
        <i x="433" nd="1"/>
        <i x="434" nd="1"/>
        <i x="435" nd="1"/>
        <i x="436" nd="1"/>
        <i x="438" nd="1"/>
        <i x="439" nd="1"/>
        <i x="440" nd="1"/>
        <i x="441" nd="1"/>
        <i x="443" nd="1"/>
        <i x="445" nd="1"/>
        <i x="447" nd="1"/>
        <i x="448" nd="1"/>
        <i x="449" nd="1"/>
        <i x="450" nd="1"/>
        <i x="451" nd="1"/>
        <i x="452" nd="1"/>
        <i x="453" nd="1"/>
        <i x="455" nd="1"/>
        <i x="456" nd="1"/>
        <i x="457" nd="1"/>
        <i x="458" nd="1"/>
        <i x="459" nd="1"/>
        <i x="460" nd="1"/>
        <i x="461" nd="1"/>
        <i x="462" nd="1"/>
        <i x="463" nd="1"/>
        <i x="464" nd="1"/>
        <i x="466" nd="1"/>
        <i x="469" nd="1"/>
        <i x="470" nd="1"/>
        <i x="471" nd="1"/>
        <i x="472" nd="1"/>
        <i x="473" nd="1"/>
        <i x="474" nd="1"/>
        <i x="475" nd="1"/>
        <i x="476" nd="1"/>
        <i x="477" nd="1"/>
        <i x="478" nd="1"/>
        <i x="479" nd="1"/>
        <i x="481" nd="1"/>
        <i x="483" nd="1"/>
        <i x="484" nd="1"/>
        <i x="485" nd="1"/>
        <i x="486" nd="1"/>
        <i x="487" nd="1"/>
        <i x="488" nd="1"/>
        <i x="489" nd="1"/>
        <i x="490" nd="1"/>
        <i x="491" nd="1"/>
        <i x="492" nd="1"/>
        <i x="493" nd="1"/>
        <i x="494" nd="1"/>
        <i x="495" nd="1"/>
        <i x="496" nd="1"/>
        <i x="497" nd="1"/>
        <i x="499" nd="1"/>
        <i x="500" nd="1"/>
        <i x="503" nd="1"/>
        <i x="504" nd="1"/>
        <i x="505" nd="1"/>
        <i x="506" nd="1"/>
        <i x="507" nd="1"/>
        <i x="509" nd="1"/>
        <i x="511" nd="1"/>
        <i x="512" nd="1"/>
        <i x="513" nd="1"/>
        <i x="514" nd="1"/>
        <i x="515" nd="1"/>
        <i x="516" nd="1"/>
        <i x="517" nd="1"/>
        <i x="518" nd="1"/>
        <i x="519" nd="1"/>
        <i x="520" nd="1"/>
        <i x="521" nd="1"/>
        <i x="522" nd="1"/>
        <i x="523" nd="1"/>
        <i x="524" nd="1"/>
        <i x="527" nd="1"/>
        <i x="528" nd="1"/>
        <i x="529" nd="1"/>
        <i x="530" nd="1"/>
        <i x="533" nd="1"/>
        <i x="534" nd="1"/>
        <i x="535" nd="1"/>
        <i x="536" nd="1"/>
        <i x="538" nd="1"/>
        <i x="539" nd="1"/>
        <i x="540" nd="1"/>
        <i x="542" nd="1"/>
        <i x="543" nd="1"/>
        <i x="544" nd="1"/>
        <i x="545" nd="1"/>
        <i x="546" nd="1"/>
        <i x="547" nd="1"/>
        <i x="548" nd="1"/>
        <i x="549" nd="1"/>
        <i x="551" nd="1"/>
        <i x="552" nd="1"/>
        <i x="554" nd="1"/>
        <i x="555" nd="1"/>
        <i x="557" nd="1"/>
        <i x="558" nd="1"/>
        <i x="559" nd="1"/>
        <i x="560" nd="1"/>
        <i x="561" nd="1"/>
        <i x="562" nd="1"/>
        <i x="563" nd="1"/>
        <i x="565" nd="1"/>
        <i x="568" nd="1"/>
        <i x="569" nd="1"/>
        <i x="570" nd="1"/>
        <i x="571" nd="1"/>
        <i x="572" nd="1"/>
        <i x="573" nd="1"/>
        <i x="574" nd="1"/>
        <i x="575" nd="1"/>
        <i x="576" nd="1"/>
        <i x="577" nd="1"/>
        <i x="578" nd="1"/>
        <i x="579" nd="1"/>
        <i x="580" nd="1"/>
        <i x="581" nd="1"/>
        <i x="582" nd="1"/>
        <i x="583" nd="1"/>
        <i x="584" nd="1"/>
        <i x="585" nd="1"/>
        <i x="586" nd="1"/>
        <i x="587" nd="1"/>
        <i x="588" nd="1"/>
        <i x="589" nd="1"/>
        <i x="592" nd="1"/>
        <i x="594" nd="1"/>
        <i x="595" nd="1"/>
        <i x="596" nd="1"/>
        <i x="597" nd="1"/>
        <i x="598" nd="1"/>
        <i x="599" nd="1"/>
        <i x="600" nd="1"/>
        <i x="601" nd="1"/>
        <i x="603" nd="1"/>
        <i x="604" nd="1"/>
        <i x="605" nd="1"/>
        <i x="606" nd="1"/>
        <i x="607" nd="1"/>
        <i x="608" nd="1"/>
        <i x="609" nd="1"/>
        <i x="610" nd="1"/>
        <i x="611" nd="1"/>
        <i x="613" nd="1"/>
        <i x="614" nd="1"/>
        <i x="617" nd="1"/>
        <i x="618" nd="1"/>
        <i x="619" nd="1"/>
        <i x="620" nd="1"/>
        <i x="621" nd="1"/>
        <i x="622" nd="1"/>
        <i x="623" nd="1"/>
        <i x="624" nd="1"/>
        <i x="625" nd="1"/>
        <i x="626" nd="1"/>
        <i x="627" nd="1"/>
        <i x="629" nd="1"/>
        <i x="630" nd="1"/>
        <i x="631" nd="1"/>
        <i x="632" nd="1"/>
        <i x="634" nd="1"/>
        <i x="635" nd="1"/>
        <i x="636" nd="1"/>
        <i x="639" nd="1"/>
        <i x="640" nd="1"/>
        <i x="641" nd="1"/>
        <i x="643" nd="1"/>
        <i x="644" nd="1"/>
        <i x="647" nd="1"/>
        <i x="648" nd="1"/>
        <i x="649" nd="1"/>
        <i x="650" nd="1"/>
        <i x="651" nd="1"/>
        <i x="653" nd="1"/>
        <i x="654" nd="1"/>
        <i x="655" nd="1"/>
        <i x="656" nd="1"/>
        <i x="658" nd="1"/>
        <i x="659" nd="1"/>
        <i x="660" nd="1"/>
        <i x="66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240EA51-18BD-44CF-94AA-1CF70264D0BD}" sourceName="City">
  <pivotTables>
    <pivotTable tabId="21" name="PivotTable3"/>
  </pivotTables>
  <data>
    <tabular pivotCacheId="1304866924">
      <items count="3">
        <i x="0"/>
        <i x="2" s="1"/>
        <i x="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DA843512-E69F-4586-A66A-0C76F4A1062A}" sourceName="Customer type">
  <pivotTables>
    <pivotTable tabId="21" name="PivotTable3"/>
  </pivotTables>
  <data>
    <tabular pivotCacheId="1304866924">
      <items count="2">
        <i x="1" s="1"/>
        <i x="0"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B29634E7-66AE-443E-BEAF-E3F1ED9E9C8A}" sourceName="Rating">
  <pivotTables>
    <pivotTable tabId="21" name="PivotTable3"/>
  </pivotTables>
  <data>
    <tabular pivotCacheId="1304866924">
      <items count="61">
        <i x="44" s="1"/>
        <i x="52" s="1"/>
        <i x="56" s="1"/>
        <i x="43" s="1"/>
        <i x="35" s="1" nd="1"/>
        <i x="4" s="1" nd="1"/>
        <i x="34" s="1" nd="1"/>
        <i x="54" s="1" nd="1"/>
        <i x="12" s="1" nd="1"/>
        <i x="13" s="1" nd="1"/>
        <i x="23" s="1" nd="1"/>
        <i x="16" s="1" nd="1"/>
        <i x="42" s="1" nd="1"/>
        <i x="59" s="1" nd="1"/>
        <i x="17" s="1" nd="1"/>
        <i x="47" s="1" nd="1"/>
        <i x="3" s="1" nd="1"/>
        <i x="37" s="1" nd="1"/>
        <i x="38" s="1" nd="1"/>
        <i x="25" s="1" nd="1"/>
        <i x="11" s="1" nd="1"/>
        <i x="5" s="1" nd="1"/>
        <i x="7" s="1" nd="1"/>
        <i x="19" s="1" nd="1"/>
        <i x="41" s="1" nd="1"/>
        <i x="58" s="1" nd="1"/>
        <i x="33" s="1" nd="1"/>
        <i x="48" s="1" nd="1"/>
        <i x="29" s="1" nd="1"/>
        <i x="32" s="1" nd="1"/>
        <i x="8" s="1" nd="1"/>
        <i x="14" s="1" nd="1"/>
        <i x="22" s="1" nd="1"/>
        <i x="9" s="1" nd="1"/>
        <i x="6" s="1" nd="1"/>
        <i x="40" s="1" nd="1"/>
        <i x="20" s="1" nd="1"/>
        <i x="21" s="1" nd="1"/>
        <i x="24" s="1" nd="1"/>
        <i x="55" s="1" nd="1"/>
        <i x="46" s="1" nd="1"/>
        <i x="27" s="1" nd="1"/>
        <i x="10" s="1" nd="1"/>
        <i x="39" s="1" nd="1"/>
        <i x="2" s="1" nd="1"/>
        <i x="28" s="1" nd="1"/>
        <i x="15" s="1" nd="1"/>
        <i x="36" s="1" nd="1"/>
        <i x="50" s="1" nd="1"/>
        <i x="60" s="1" nd="1"/>
        <i x="49" s="1" nd="1"/>
        <i x="0" s="1" nd="1"/>
        <i x="45" s="1" nd="1"/>
        <i x="30" s="1" nd="1"/>
        <i x="51" s="1" nd="1"/>
        <i x="26" s="1" nd="1"/>
        <i x="1" s="1" nd="1"/>
        <i x="57" s="1" nd="1"/>
        <i x="53" s="1" nd="1"/>
        <i x="18" s="1" nd="1"/>
        <i x="3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E35F6A92-FE3C-434C-8DE6-789FC18911FE}" sourceName="City">
  <pivotTables>
    <pivotTable tabId="22" name="PivotTable4"/>
  </pivotTables>
  <data>
    <tabular pivotCacheId="1304866924">
      <items count="3">
        <i x="0"/>
        <i x="2"/>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2" xr10:uid="{AC926EEB-0C24-4ADA-8ABE-99C3BCA8B862}" sourceName="Customer type">
  <pivotTables>
    <pivotTable tabId="22" name="PivotTable4"/>
  </pivotTables>
  <data>
    <tabular pivotCacheId="1304866924">
      <items count="2">
        <i x="0" s="1"/>
        <i x="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0343B4D-F552-448F-BB2B-62040CDF5967}" sourceName="Gender">
  <pivotTables>
    <pivotTable tabId="22" name="PivotTable4"/>
  </pivotTables>
  <data>
    <tabular pivotCacheId="1304866924">
      <items count="2">
        <i x="0"/>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2" xr10:uid="{EC3ED8AF-9EA8-4BA2-94D5-799C38FB2B63}" sourceName="Rating">
  <pivotTables>
    <pivotTable tabId="22" name="PivotTable4"/>
  </pivotTables>
  <data>
    <tabular pivotCacheId="1304866924" sortOrder="descending">
      <items count="61">
        <i x="18" s="1"/>
        <i x="53" s="1"/>
        <i x="57" s="1"/>
        <i x="1" s="1"/>
        <i x="30" s="1"/>
        <i x="45" s="1"/>
        <i x="49" s="1"/>
        <i x="60" s="1"/>
        <i x="15" s="1"/>
        <i x="28" s="1"/>
        <i x="2" s="1"/>
        <i x="10" s="1"/>
        <i x="27" s="1"/>
        <i x="56"/>
        <i x="55"/>
        <i x="40"/>
        <i x="9"/>
        <i x="22"/>
        <i x="14"/>
        <i x="32"/>
        <i x="29"/>
        <i x="48"/>
        <i x="41"/>
        <i x="19"/>
        <i x="7"/>
        <i x="25"/>
        <i x="38"/>
        <i x="37"/>
        <i x="3"/>
        <i x="47"/>
        <i x="42"/>
        <i x="16"/>
        <i x="54"/>
        <i x="34"/>
        <i x="44"/>
        <i x="31" s="1" nd="1"/>
        <i x="26" s="1" nd="1"/>
        <i x="51" s="1" nd="1"/>
        <i x="0" s="1" nd="1"/>
        <i x="50" s="1" nd="1"/>
        <i x="36" s="1" nd="1"/>
        <i x="39" s="1" nd="1"/>
        <i x="43" s="1" nd="1"/>
        <i x="46" nd="1"/>
        <i x="24" nd="1"/>
        <i x="21" nd="1"/>
        <i x="20" nd="1"/>
        <i x="6" nd="1"/>
        <i x="8" nd="1"/>
        <i x="33" nd="1"/>
        <i x="52" nd="1"/>
        <i x="58" nd="1"/>
        <i x="5" nd="1"/>
        <i x="11" nd="1"/>
        <i x="17" nd="1"/>
        <i x="59" nd="1"/>
        <i x="23" nd="1"/>
        <i x="13" nd="1"/>
        <i x="12" nd="1"/>
        <i x="4" nd="1"/>
        <i x="3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FA274A9-1B6C-4421-B5AE-AC705818D0C0}" cache="Slicer_City" caption="City" rowHeight="241300"/>
  <slicer name="Customer type" xr10:uid="{54BCD0BD-9262-4EE2-8E6B-36D5F00237BB}" cache="Slicer_Customer_type" caption="Customer type" rowHeight="241300"/>
  <slicer name="Gender" xr10:uid="{CB1E46B1-D9C1-4A70-BD24-10F2EC0083CE}" cache="Slicer_Gender" caption="Gender" rowHeight="241300"/>
  <slicer name="Rating" xr10:uid="{D3098A4C-8177-4541-AAA9-E778FA7EA4E8}" cache="Slicer_Rating" caption="Rating"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6D5CD345-B5DD-413E-B172-E32D0EC49019}" cache="Slicer_Date" caption="Date" startItem="17" rowHeight="241300"/>
  <slicer name="City 1" xr10:uid="{2BB4C6FC-3E3F-4EA5-A531-596C0DE0DEEC}" cache="Slicer_City1" caption="City" rowHeight="241300"/>
  <slicer name="Customer type 1" xr10:uid="{1961BB8A-433C-4BA2-8D32-229545EC6E7D}" cache="Slicer_Customer_type1" caption="Customer type" rowHeight="241300"/>
  <slicer name="Rating 1" xr10:uid="{E75743B5-17FB-4A8C-BF74-FD4FBE77BF7F}" cache="Slicer_Rating1" caption="Rating"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413203B6-89A0-46EA-90EB-4A49DB3C4CB2}" cache="Slicer_City2" caption="City" startItem="1" rowHeight="241300"/>
  <slicer name="Customer type 2" xr10:uid="{75B3B967-9119-4B0A-B2D5-E24A1DC0E05E}" cache="Slicer_Customer_type2" caption="Customer type" rowHeight="241300"/>
  <slicer name="Gender 1" xr10:uid="{66031468-EE12-4607-BCA7-8CE3ACE30C34}" cache="Slicer_Gender1" caption="Gender" rowHeight="241300"/>
  <slicer name="Rating 2" xr10:uid="{EDD2E2F5-8762-4161-B24B-5AD961222F8D}" cache="Slicer_Rating2" caption="Rating"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BEEBD2-4EDF-49A7-8BA7-0D5F9AF563D5}" name="Table1" displayName="Table1" ref="K5:R15" totalsRowShown="0" headerRowDxfId="76" tableBorderDxfId="75">
  <tableColumns count="8">
    <tableColumn id="1" xr3:uid="{1A605844-5791-4BC4-866E-301B9F05A78B}" name="Order ID" dataDxfId="74"/>
    <tableColumn id="2" xr3:uid="{DC5CFA3D-27F2-4BB3-9BF7-281B698CD66B}" name="Customer Name" dataDxfId="73">
      <calculatedColumnFormula>TRIM(C6)</calculatedColumnFormula>
    </tableColumn>
    <tableColumn id="3" xr3:uid="{956CAFE9-64DE-4964-A775-C4B6D349F019}" name="Email" dataDxfId="72"/>
    <tableColumn id="4" xr3:uid="{E3B61CBE-8CD6-4AB2-8C56-27FFB2AF5579}" name="Order Date" dataDxfId="71"/>
    <tableColumn id="5" xr3:uid="{D15C7E96-13B2-40EF-94B6-98DA3C988A7D}" name="Product" dataDxfId="70"/>
    <tableColumn id="6" xr3:uid="{7C1A5F72-04CA-4A8E-B55B-7AC608F0BEAF}" name="Quantity" dataDxfId="69"/>
    <tableColumn id="7" xr3:uid="{44C01B83-91D5-43D0-9466-42DF0B2E40A9}" name="Price ($)" dataDxfId="68"/>
    <tableColumn id="8" xr3:uid="{222BFBB7-7645-44C3-86E1-F84469D6F9D5}" name="Country" dataDxfId="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E04DE6-407F-4E42-B722-CD02B493A76B}" name="Table2" displayName="Table2" ref="B2:J80" totalsRowShown="0" headerRowDxfId="66" dataDxfId="64" headerRowBorderDxfId="65" tableBorderDxfId="63" totalsRowBorderDxfId="62">
  <autoFilter ref="B2:J80" xr:uid="{5AE04DE6-407F-4E42-B722-CD02B493A7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ADCAC6-90AC-43F9-936F-05A570B2EFF9}" name="Emp Name" dataDxfId="61"/>
    <tableColumn id="2" xr3:uid="{A350B3E3-A01F-4EC8-8065-36D641F77A88}" name="Designation" dataDxfId="60"/>
    <tableColumn id="3" xr3:uid="{64627006-DD96-48E8-A5FC-C1AFA3D25AF3}" name="Basic Salary" dataDxfId="59"/>
    <tableColumn id="4" xr3:uid="{29E00F42-DF9A-4666-852D-2F650DDB49A6}" name="HRA" dataDxfId="58"/>
    <tableColumn id="5" xr3:uid="{87F676BD-3254-4CA8-BBE2-B4E98377A011}" name="Deductions" dataDxfId="57"/>
    <tableColumn id="6" xr3:uid="{30980E62-EA54-4D4D-B13A-C03DBB84C94F}" name="No. of projects " dataDxfId="56"/>
    <tableColumn id="7" xr3:uid="{1609586A-BF5D-4DF0-AA76-394275F9FC51}" name="Additional pay for project" dataDxfId="55">
      <calculatedColumnFormula>IF(C3="Tester",5000,IF(C3="Manager",20000,IF(C3="PJM",7500,IF(C3="Lead",15000,IF(C3="DB",5000,IF(C3="Developer",10000,IF(C3="Analyst",15000,IF(C3="Associate",7500,IF(C3="CEO",30000)))))))))</calculatedColumnFormula>
    </tableColumn>
    <tableColumn id="8" xr3:uid="{62699F0F-9867-4209-8B37-01D061DE9916}" name="Work" dataDxfId="54"/>
    <tableColumn id="9" xr3:uid="{3C9B9EF0-30E1-4B69-B311-9FDAA5A61A8D}" name="Final Salary" dataDxfId="53">
      <calculatedColumnFormula>D3+E3-F3</calculatedColumnFormula>
    </tableColumn>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EE9EA7-3A2A-4B9B-B5C0-B263CF29902B}" name="Table5" displayName="Table5" ref="C3:O665" totalsRowShown="0" headerRowDxfId="52" dataDxfId="51" tableBorderDxfId="50">
  <autoFilter ref="C3:O665" xr:uid="{9AEE9EA7-3A2A-4B9B-B5C0-B263CF2990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CABFFC4-4AB5-42E1-8FA3-2CDF34243701}" name="Date" dataDxfId="49"/>
    <tableColumn id="2" xr3:uid="{881B50D4-7976-480A-86A4-621A89E3EDED}" name="Branch" dataDxfId="48"/>
    <tableColumn id="3" xr3:uid="{C72CADB1-8F33-4E2D-B898-D8EA9C0EA1F5}" name="City" dataDxfId="47"/>
    <tableColumn id="4" xr3:uid="{567B0E9C-92E5-456F-AC1F-D75F0A1C70B2}" name="Customer type" dataDxfId="46"/>
    <tableColumn id="5" xr3:uid="{199CDD95-C5B8-4057-B82D-7FE754630343}" name="Gender" dataDxfId="45"/>
    <tableColumn id="6" xr3:uid="{8B5E0C09-2F80-4CDE-A22E-3E9E3B0D9EE2}" name="Product" dataDxfId="44"/>
    <tableColumn id="7" xr3:uid="{05ADB01B-524E-4BB4-ADA9-1E31F2FADCFA}" name="Category" dataDxfId="43">
      <calculatedColumnFormula>VLOOKUP(H4,$R$5:$S$32,2,FALSE)</calculatedColumnFormula>
    </tableColumn>
    <tableColumn id="8" xr3:uid="{C103208B-4A89-47FA-9982-73045F4B8FB4}" name="Cost Price" dataDxfId="42"/>
    <tableColumn id="9" xr3:uid="{62AA280F-6047-453A-9723-197EC27D40BA}" name="Selling Price" dataDxfId="41"/>
    <tableColumn id="10" xr3:uid="{1908E65D-D493-4394-8698-2FA74A6164C5}" name="Quantity" dataDxfId="40"/>
    <tableColumn id="11" xr3:uid="{3996495F-32FA-49FC-8F73-0E7D1D129A32}" name="Payment" dataDxfId="39"/>
    <tableColumn id="12" xr3:uid="{3F2BC629-C5AD-4920-8A94-032D51BCB44F}" name="Rating" dataDxfId="38"/>
    <tableColumn id="13" xr3:uid="{B1C56806-10DE-42AF-AD7B-062A7A09D4B0}" name="Profit" dataDxfId="37">
      <calculatedColumnFormula>(CATEGORIZATION!$K4-CATEGORIZATION!$J4)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B5BAF5B-7F9C-4503-82AA-8C6DBAFFC65D}" name="Table6" displayName="Table6" ref="D2:O664" totalsRowShown="0" headerRowDxfId="36" dataDxfId="34" headerRowBorderDxfId="35" tableBorderDxfId="33">
  <autoFilter ref="D2:O664" xr:uid="{CB5BAF5B-7F9C-4503-82AA-8C6DBAFFC65D}"/>
  <tableColumns count="12">
    <tableColumn id="1" xr3:uid="{3BB1B192-CD82-4CD9-96BD-E71C6F8BC203}" name="Branch" dataDxfId="32"/>
    <tableColumn id="2" xr3:uid="{CBCA045A-D586-4D73-8252-F4D96116BC26}" name="City" dataDxfId="31"/>
    <tableColumn id="3" xr3:uid="{C672A569-CA05-4C13-83F8-AF2C664F0ACA}" name="Customer type" dataDxfId="30"/>
    <tableColumn id="4" xr3:uid="{7F9535F3-CDEC-44A8-A79F-ACD80B857BB1}" name="Gender" dataDxfId="29"/>
    <tableColumn id="5" xr3:uid="{25CEC6DB-C14B-4EAD-8D82-4878F118B5A8}" name="Product" dataDxfId="28"/>
    <tableColumn id="6" xr3:uid="{0E545000-93CE-4CA6-9E7C-3803A011943F}" name="Category" dataDxfId="27"/>
    <tableColumn id="7" xr3:uid="{9E2C5C63-96B0-4AD5-99CD-3433BD1D1A84}" name="Cost Price" dataDxfId="26"/>
    <tableColumn id="8" xr3:uid="{B89CBA8E-3B4B-467A-B758-7E1BD2479953}" name="Selling Price" dataDxfId="25"/>
    <tableColumn id="9" xr3:uid="{CF81E483-C9C5-4F4D-B13A-0A39958610E6}" name="Quantity" dataDxfId="24"/>
    <tableColumn id="10" xr3:uid="{A5042C7B-7907-4C9D-9025-CF6548FBF315}" name="Payment" dataDxfId="23"/>
    <tableColumn id="11" xr3:uid="{5ECF1879-CC16-4E07-B33A-6382C4D880C1}" name="Rating" dataDxfId="22"/>
    <tableColumn id="12" xr3:uid="{7CBA5B9A-AAB5-4909-BAFA-5974D34595BE}" name="Profit" dataDxf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1D7A2A-D8AD-41A6-84F6-521C115CA763}" name="Table7" displayName="Table7" ref="B2:C664" totalsRowShown="0" headerRowDxfId="20" headerRowBorderDxfId="19" tableBorderDxfId="18">
  <autoFilter ref="B2:C664" xr:uid="{C91D7A2A-D8AD-41A6-84F6-521C115CA763}"/>
  <tableColumns count="2">
    <tableColumn id="1" xr3:uid="{BA48AFE1-A0B2-410E-B4D7-B5FB19CEE4ED}" name="Invoice ID" dataDxfId="17"/>
    <tableColumn id="2" xr3:uid="{97E3479C-8A27-4BBE-BB74-5CF92E6AE4D4}" name="Date" dataDxfId="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1466B4-AF17-447A-9DED-8BA974C0831D}" name="Table8" displayName="Table8" ref="B4:E666" totalsRowShown="0" headerRowDxfId="15" dataDxfId="14" tableBorderDxfId="13">
  <autoFilter ref="B4:E666" xr:uid="{001466B4-AF17-447A-9DED-8BA974C0831D}">
    <filterColumn colId="0" hiddenButton="1"/>
    <filterColumn colId="1" hiddenButton="1"/>
    <filterColumn colId="2" hiddenButton="1"/>
    <filterColumn colId="3" hiddenButton="1"/>
  </autoFilter>
  <tableColumns count="4">
    <tableColumn id="1" xr3:uid="{5153CB94-7B27-4907-8C0B-5CE53932FFA2}" name="Quantity" dataDxfId="12"/>
    <tableColumn id="2" xr3:uid="{CE9965F2-C1CF-4438-AFF3-B803D2C9D231}" name="Quantity2" dataDxfId="11"/>
    <tableColumn id="3" xr3:uid="{EA764F62-9EC1-4CA2-A7AC-38D1A94E7683}" name="Quantity3" dataDxfId="10"/>
    <tableColumn id="4" xr3:uid="{AE761F5A-9245-438C-942C-CC5933F88F23}" name="Quantity4"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69D5-89E5-43D7-A3B3-F2571FFA57AC}">
  <dimension ref="B1:V16"/>
  <sheetViews>
    <sheetView topLeftCell="J3" zoomScale="50" zoomScaleNormal="100" workbookViewId="0">
      <selection activeCell="Q43" sqref="Q43"/>
    </sheetView>
  </sheetViews>
  <sheetFormatPr defaultRowHeight="15"/>
  <cols>
    <col min="1" max="1" width="1.7109375" customWidth="1"/>
    <col min="2" max="2" width="10.7109375" customWidth="1"/>
    <col min="3" max="3" width="20.7109375" customWidth="1"/>
    <col min="4" max="4" width="25.7109375" customWidth="1"/>
    <col min="5" max="5" width="15.7109375" customWidth="1"/>
    <col min="6" max="8" width="10.7109375" customWidth="1"/>
    <col min="9" max="9" width="15.7109375" customWidth="1"/>
    <col min="11" max="11" width="12.42578125" customWidth="1"/>
    <col min="12" max="12" width="20.7109375" customWidth="1"/>
    <col min="13" max="13" width="25.7109375" customWidth="1"/>
    <col min="14" max="14" width="15.7109375" customWidth="1"/>
    <col min="15" max="15" width="10.85546875" customWidth="1"/>
    <col min="16" max="16" width="12.42578125" customWidth="1"/>
    <col min="17" max="17" width="11.5703125" customWidth="1"/>
    <col min="18" max="18" width="15.7109375" customWidth="1"/>
    <col min="21" max="21" width="55.7109375" customWidth="1"/>
    <col min="22" max="22" width="65.7109375" customWidth="1"/>
  </cols>
  <sheetData>
    <row r="1" spans="2:22" ht="9.9499999999999993" customHeight="1"/>
    <row r="2" spans="2:22" s="6" customFormat="1" ht="45" customHeight="1">
      <c r="B2" s="82" t="s">
        <v>51</v>
      </c>
      <c r="C2" s="82"/>
      <c r="D2" s="82"/>
      <c r="E2" s="82"/>
      <c r="F2" s="82"/>
      <c r="G2" s="82"/>
      <c r="H2" s="82"/>
      <c r="I2" s="82"/>
      <c r="J2" s="82"/>
      <c r="K2" s="82"/>
      <c r="L2" s="82"/>
      <c r="M2" s="82"/>
      <c r="N2" s="82"/>
      <c r="O2" s="82"/>
      <c r="P2" s="82"/>
      <c r="Q2" s="82"/>
      <c r="R2" s="82"/>
    </row>
    <row r="3" spans="2:22" ht="45" customHeight="1"/>
    <row r="4" spans="2:22" ht="14.25" customHeight="1">
      <c r="B4" s="81" t="s">
        <v>49</v>
      </c>
      <c r="C4" s="81"/>
      <c r="D4" s="81"/>
      <c r="E4" s="81"/>
      <c r="F4" s="81"/>
      <c r="G4" s="81"/>
      <c r="H4" s="81"/>
      <c r="I4" s="81"/>
      <c r="K4" s="81" t="s">
        <v>50</v>
      </c>
      <c r="L4" s="81"/>
      <c r="M4" s="81"/>
      <c r="N4" s="81"/>
      <c r="O4" s="81"/>
      <c r="P4" s="81"/>
      <c r="Q4" s="81"/>
      <c r="R4" s="81"/>
    </row>
    <row r="5" spans="2:22" ht="45" customHeight="1" thickBot="1">
      <c r="B5" s="1" t="s">
        <v>0</v>
      </c>
      <c r="C5" s="1" t="s">
        <v>1</v>
      </c>
      <c r="D5" s="1" t="s">
        <v>2</v>
      </c>
      <c r="E5" s="1" t="s">
        <v>3</v>
      </c>
      <c r="F5" s="1" t="s">
        <v>4</v>
      </c>
      <c r="G5" s="1" t="s">
        <v>5</v>
      </c>
      <c r="H5" s="1" t="s">
        <v>6</v>
      </c>
      <c r="I5" s="1" t="s">
        <v>7</v>
      </c>
      <c r="K5" s="9" t="s">
        <v>0</v>
      </c>
      <c r="L5" s="9" t="s">
        <v>1</v>
      </c>
      <c r="M5" s="9" t="s">
        <v>2</v>
      </c>
      <c r="N5" s="9" t="s">
        <v>3</v>
      </c>
      <c r="O5" s="9" t="s">
        <v>4</v>
      </c>
      <c r="P5" s="9" t="s">
        <v>5</v>
      </c>
      <c r="Q5" s="9" t="s">
        <v>6</v>
      </c>
      <c r="R5" s="10" t="s">
        <v>7</v>
      </c>
      <c r="T5" s="1" t="s">
        <v>55</v>
      </c>
      <c r="U5" s="20" t="s">
        <v>56</v>
      </c>
      <c r="V5" s="20" t="s">
        <v>54</v>
      </c>
    </row>
    <row r="6" spans="2:22" ht="15.75">
      <c r="B6" s="5">
        <v>1001</v>
      </c>
      <c r="C6" s="2" t="s">
        <v>8</v>
      </c>
      <c r="D6" s="2" t="s">
        <v>9</v>
      </c>
      <c r="E6" s="2" t="s">
        <v>10</v>
      </c>
      <c r="F6" s="2" t="s">
        <v>11</v>
      </c>
      <c r="G6" s="2">
        <v>2</v>
      </c>
      <c r="H6" s="2">
        <v>59.99</v>
      </c>
      <c r="I6" s="2" t="s">
        <v>12</v>
      </c>
      <c r="K6" s="5">
        <v>1001</v>
      </c>
      <c r="L6" s="2" t="str">
        <f t="shared" ref="L6:L15" si="0">TRIM(C6)</f>
        <v>John Smith</v>
      </c>
      <c r="M6" s="2" t="s">
        <v>9</v>
      </c>
      <c r="N6" s="14">
        <v>44941</v>
      </c>
      <c r="O6" s="2" t="s">
        <v>11</v>
      </c>
      <c r="P6" s="2">
        <v>2</v>
      </c>
      <c r="Q6" s="17">
        <v>59.99</v>
      </c>
      <c r="R6" s="7" t="s">
        <v>12</v>
      </c>
      <c r="T6" s="5">
        <v>1</v>
      </c>
      <c r="U6" s="2" t="s">
        <v>57</v>
      </c>
      <c r="V6" s="2" t="s">
        <v>58</v>
      </c>
    </row>
    <row r="7" spans="2:22" ht="15.75">
      <c r="B7" s="4">
        <v>1002</v>
      </c>
      <c r="C7" s="4" t="s">
        <v>13</v>
      </c>
      <c r="D7" s="3" t="s">
        <v>14</v>
      </c>
      <c r="E7" s="4" t="s">
        <v>15</v>
      </c>
      <c r="F7" s="3" t="s">
        <v>16</v>
      </c>
      <c r="G7" s="4">
        <v>1</v>
      </c>
      <c r="H7" s="3">
        <v>49.99</v>
      </c>
      <c r="I7" s="4" t="s">
        <v>17</v>
      </c>
      <c r="K7" s="4">
        <v>1002</v>
      </c>
      <c r="L7" s="4" t="str">
        <f t="shared" si="0"/>
        <v>Sara Connor</v>
      </c>
      <c r="M7" s="3" t="s">
        <v>14</v>
      </c>
      <c r="N7" s="15">
        <v>44944</v>
      </c>
      <c r="O7" s="3" t="s">
        <v>11</v>
      </c>
      <c r="P7" s="4">
        <v>1</v>
      </c>
      <c r="Q7" s="18">
        <v>49.99</v>
      </c>
      <c r="R7" s="8" t="s">
        <v>12</v>
      </c>
      <c r="T7" s="4">
        <v>2</v>
      </c>
      <c r="U7" s="4" t="s">
        <v>78</v>
      </c>
      <c r="V7" s="4" t="s">
        <v>59</v>
      </c>
    </row>
    <row r="8" spans="2:22" ht="15.75">
      <c r="B8" s="4">
        <v>1003</v>
      </c>
      <c r="C8" s="4" t="s">
        <v>18</v>
      </c>
      <c r="D8" s="3"/>
      <c r="E8" s="4" t="s">
        <v>19</v>
      </c>
      <c r="F8" s="3" t="s">
        <v>20</v>
      </c>
      <c r="G8" s="4">
        <v>3</v>
      </c>
      <c r="H8" s="3">
        <v>19.989999999999998</v>
      </c>
      <c r="I8" s="4" t="s">
        <v>21</v>
      </c>
      <c r="K8" s="4">
        <v>1003</v>
      </c>
      <c r="L8" s="4" t="str">
        <f t="shared" si="0"/>
        <v>Michael Brown</v>
      </c>
      <c r="M8" s="3" t="s">
        <v>52</v>
      </c>
      <c r="N8" s="15">
        <v>44946</v>
      </c>
      <c r="O8" s="3" t="s">
        <v>20</v>
      </c>
      <c r="P8" s="4">
        <v>3</v>
      </c>
      <c r="Q8" s="18">
        <v>19.989999999999998</v>
      </c>
      <c r="R8" s="8" t="s">
        <v>12</v>
      </c>
      <c r="T8" s="4">
        <v>3</v>
      </c>
      <c r="U8" s="4" t="s">
        <v>60</v>
      </c>
      <c r="V8" s="4" t="s">
        <v>62</v>
      </c>
    </row>
    <row r="9" spans="2:22" ht="15.75">
      <c r="B9" s="4">
        <v>1002</v>
      </c>
      <c r="C9" s="4" t="s">
        <v>22</v>
      </c>
      <c r="D9" s="3" t="s">
        <v>14</v>
      </c>
      <c r="E9" s="4" t="s">
        <v>23</v>
      </c>
      <c r="F9" s="3" t="s">
        <v>11</v>
      </c>
      <c r="G9" s="4">
        <v>1</v>
      </c>
      <c r="H9" s="3">
        <v>49.99</v>
      </c>
      <c r="I9" s="4" t="s">
        <v>12</v>
      </c>
      <c r="K9" s="4">
        <v>1004</v>
      </c>
      <c r="L9" s="4" t="str">
        <f t="shared" si="0"/>
        <v>Sara Connor</v>
      </c>
      <c r="M9" s="3" t="s">
        <v>14</v>
      </c>
      <c r="N9" s="15">
        <v>44944</v>
      </c>
      <c r="O9" s="3" t="s">
        <v>11</v>
      </c>
      <c r="P9" s="4">
        <v>1</v>
      </c>
      <c r="Q9" s="18">
        <v>49.99</v>
      </c>
      <c r="R9" s="8" t="s">
        <v>12</v>
      </c>
      <c r="T9" s="4">
        <v>4</v>
      </c>
      <c r="U9" s="4" t="s">
        <v>76</v>
      </c>
      <c r="V9" s="4" t="s">
        <v>77</v>
      </c>
    </row>
    <row r="10" spans="2:22" ht="15.75">
      <c r="B10" s="4">
        <v>1005</v>
      </c>
      <c r="C10" s="4" t="s">
        <v>24</v>
      </c>
      <c r="D10" s="3" t="s">
        <v>25</v>
      </c>
      <c r="E10" s="4" t="s">
        <v>26</v>
      </c>
      <c r="F10" s="3" t="s">
        <v>27</v>
      </c>
      <c r="G10" s="4"/>
      <c r="H10" s="3">
        <v>89.99</v>
      </c>
      <c r="I10" s="4" t="s">
        <v>28</v>
      </c>
      <c r="K10" s="4">
        <v>1005</v>
      </c>
      <c r="L10" s="4" t="str">
        <f t="shared" si="0"/>
        <v>Anna Lee</v>
      </c>
      <c r="M10" s="3" t="s">
        <v>41</v>
      </c>
      <c r="N10" s="15">
        <v>44951</v>
      </c>
      <c r="O10" s="3" t="s">
        <v>27</v>
      </c>
      <c r="P10" s="4" t="s">
        <v>52</v>
      </c>
      <c r="Q10" s="18">
        <v>89.99</v>
      </c>
      <c r="R10" s="8" t="s">
        <v>28</v>
      </c>
      <c r="T10" s="4">
        <v>5</v>
      </c>
      <c r="U10" s="4" t="s">
        <v>61</v>
      </c>
      <c r="V10" s="4" t="s">
        <v>63</v>
      </c>
    </row>
    <row r="11" spans="2:22" ht="15.75">
      <c r="B11" s="4">
        <v>1006</v>
      </c>
      <c r="C11" s="4" t="s">
        <v>29</v>
      </c>
      <c r="D11" s="3" t="s">
        <v>30</v>
      </c>
      <c r="E11" s="4" t="s">
        <v>31</v>
      </c>
      <c r="F11" s="3" t="s">
        <v>32</v>
      </c>
      <c r="G11" s="4">
        <v>5</v>
      </c>
      <c r="H11" s="3">
        <v>5.5</v>
      </c>
      <c r="I11" s="4" t="s">
        <v>33</v>
      </c>
      <c r="K11" s="4">
        <v>1006</v>
      </c>
      <c r="L11" s="4" t="str">
        <f t="shared" si="0"/>
        <v>Jon Smith</v>
      </c>
      <c r="M11" s="3" t="s">
        <v>9</v>
      </c>
      <c r="N11" s="15">
        <v>44954</v>
      </c>
      <c r="O11" s="3" t="s">
        <v>32</v>
      </c>
      <c r="P11" s="4">
        <v>5</v>
      </c>
      <c r="Q11" s="18">
        <v>5.5</v>
      </c>
      <c r="R11" s="8" t="s">
        <v>12</v>
      </c>
      <c r="T11" s="4">
        <v>6</v>
      </c>
      <c r="U11" s="4" t="s">
        <v>64</v>
      </c>
      <c r="V11" s="4" t="s">
        <v>65</v>
      </c>
    </row>
    <row r="12" spans="2:22" ht="15.75">
      <c r="B12" s="4">
        <v>1007</v>
      </c>
      <c r="C12" s="4" t="s">
        <v>34</v>
      </c>
      <c r="D12" s="3" t="s">
        <v>35</v>
      </c>
      <c r="E12" s="4" t="s">
        <v>36</v>
      </c>
      <c r="F12" s="3" t="s">
        <v>20</v>
      </c>
      <c r="G12" s="4">
        <v>2</v>
      </c>
      <c r="H12" s="3">
        <v>20</v>
      </c>
      <c r="I12" s="4" t="s">
        <v>37</v>
      </c>
      <c r="K12" s="4">
        <v>1007</v>
      </c>
      <c r="L12" s="4" t="str">
        <f t="shared" si="0"/>
        <v>Robert Brown</v>
      </c>
      <c r="M12" s="3" t="s">
        <v>35</v>
      </c>
      <c r="N12" s="15">
        <v>44959</v>
      </c>
      <c r="O12" s="3" t="s">
        <v>20</v>
      </c>
      <c r="P12" s="4">
        <v>2</v>
      </c>
      <c r="Q12" s="18">
        <v>20</v>
      </c>
      <c r="R12" s="8" t="s">
        <v>12</v>
      </c>
      <c r="T12" s="4">
        <v>7</v>
      </c>
      <c r="U12" s="4" t="s">
        <v>66</v>
      </c>
      <c r="V12" s="4" t="s">
        <v>67</v>
      </c>
    </row>
    <row r="13" spans="2:22" ht="15.75">
      <c r="B13" s="4">
        <v>1008</v>
      </c>
      <c r="C13" s="4" t="s">
        <v>38</v>
      </c>
      <c r="D13" s="3" t="s">
        <v>14</v>
      </c>
      <c r="E13" s="4" t="s">
        <v>39</v>
      </c>
      <c r="F13" s="3" t="s">
        <v>11</v>
      </c>
      <c r="G13" s="4" t="s">
        <v>40</v>
      </c>
      <c r="H13" s="3">
        <v>59.99</v>
      </c>
      <c r="I13" s="4" t="s">
        <v>12</v>
      </c>
      <c r="K13" s="4">
        <v>1008</v>
      </c>
      <c r="L13" s="4" t="str">
        <f t="shared" si="0"/>
        <v>Sarah Connorr</v>
      </c>
      <c r="M13" s="3" t="s">
        <v>14</v>
      </c>
      <c r="N13" s="15">
        <v>44962</v>
      </c>
      <c r="O13" s="3" t="s">
        <v>11</v>
      </c>
      <c r="P13" s="4">
        <v>2</v>
      </c>
      <c r="Q13" s="18">
        <v>59.99</v>
      </c>
      <c r="R13" s="8" t="s">
        <v>12</v>
      </c>
      <c r="T13" s="4">
        <v>8</v>
      </c>
      <c r="U13" s="4" t="s">
        <v>71</v>
      </c>
      <c r="V13" s="4" t="s">
        <v>69</v>
      </c>
    </row>
    <row r="14" spans="2:22" ht="15.75">
      <c r="B14" s="4">
        <v>1009</v>
      </c>
      <c r="C14" s="4" t="s">
        <v>24</v>
      </c>
      <c r="D14" s="3" t="s">
        <v>41</v>
      </c>
      <c r="E14" s="4" t="s">
        <v>42</v>
      </c>
      <c r="F14" s="3" t="s">
        <v>43</v>
      </c>
      <c r="G14" s="4">
        <v>1</v>
      </c>
      <c r="H14" s="3">
        <v>89.99</v>
      </c>
      <c r="I14" s="4" t="s">
        <v>44</v>
      </c>
      <c r="K14" s="4">
        <v>1009</v>
      </c>
      <c r="L14" s="4" t="str">
        <f t="shared" si="0"/>
        <v>Anna Lee</v>
      </c>
      <c r="M14" s="3" t="s">
        <v>41</v>
      </c>
      <c r="N14" s="15">
        <v>44967</v>
      </c>
      <c r="O14" s="3" t="s">
        <v>27</v>
      </c>
      <c r="P14" s="4">
        <v>1</v>
      </c>
      <c r="Q14" s="18">
        <v>89.99</v>
      </c>
      <c r="R14" s="8" t="s">
        <v>28</v>
      </c>
      <c r="T14" s="4">
        <v>9</v>
      </c>
      <c r="U14" s="4" t="s">
        <v>68</v>
      </c>
      <c r="V14" s="4" t="s">
        <v>70</v>
      </c>
    </row>
    <row r="15" spans="2:22" ht="15.75">
      <c r="B15" s="4"/>
      <c r="C15" s="4" t="s">
        <v>45</v>
      </c>
      <c r="D15" s="3" t="s">
        <v>46</v>
      </c>
      <c r="E15" s="4" t="s">
        <v>47</v>
      </c>
      <c r="F15" s="3" t="s">
        <v>48</v>
      </c>
      <c r="G15" s="4">
        <v>1</v>
      </c>
      <c r="H15" s="3">
        <v>75</v>
      </c>
      <c r="I15" s="4" t="s">
        <v>12</v>
      </c>
      <c r="K15" s="4">
        <v>1010</v>
      </c>
      <c r="L15" s="11" t="str">
        <f t="shared" si="0"/>
        <v>Mike Wazowski</v>
      </c>
      <c r="M15" s="12" t="s">
        <v>53</v>
      </c>
      <c r="N15" s="16">
        <v>44969</v>
      </c>
      <c r="O15" s="3" t="s">
        <v>48</v>
      </c>
      <c r="P15" s="11">
        <v>1</v>
      </c>
      <c r="Q15" s="19">
        <v>75</v>
      </c>
      <c r="R15" s="13" t="s">
        <v>12</v>
      </c>
      <c r="T15" s="4">
        <v>10</v>
      </c>
      <c r="U15" s="4" t="s">
        <v>72</v>
      </c>
      <c r="V15" s="4" t="s">
        <v>73</v>
      </c>
    </row>
    <row r="16" spans="2:22" ht="15.75">
      <c r="T16" s="4">
        <v>11</v>
      </c>
      <c r="U16" s="4" t="s">
        <v>74</v>
      </c>
      <c r="V16" s="4" t="s">
        <v>75</v>
      </c>
    </row>
  </sheetData>
  <mergeCells count="3">
    <mergeCell ref="B4:I4"/>
    <mergeCell ref="K4:R4"/>
    <mergeCell ref="B2:R2"/>
  </mergeCells>
  <conditionalFormatting sqref="M5:M15">
    <cfRule type="cellIs" dxfId="8" priority="2" operator="equal">
      <formula>"-"</formula>
    </cfRule>
  </conditionalFormatting>
  <conditionalFormatting sqref="P6:P15">
    <cfRule type="cellIs" dxfId="7" priority="1" operator="equal">
      <formula>"-"</formula>
    </cfRule>
  </conditionalFormatting>
  <pageMargins left="0.25" right="0.25" top="0.75" bottom="0.75" header="0.3" footer="0.3"/>
  <pageSetup paperSize="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9A25-2116-4539-B970-2E72C55602D9}">
  <dimension ref="B1:P17"/>
  <sheetViews>
    <sheetView zoomScale="101" workbookViewId="0">
      <selection activeCell="B2" sqref="B2:D2"/>
    </sheetView>
  </sheetViews>
  <sheetFormatPr defaultRowHeight="15"/>
  <cols>
    <col min="1" max="1" width="1.7109375" customWidth="1"/>
    <col min="2" max="2" width="5.7109375" bestFit="1" customWidth="1"/>
    <col min="3" max="3" width="25.7109375" customWidth="1"/>
    <col min="4" max="4" width="55.7109375" bestFit="1" customWidth="1"/>
    <col min="6" max="6" width="20.7109375" customWidth="1"/>
    <col min="8" max="8" width="53.42578125" bestFit="1" customWidth="1"/>
    <col min="9" max="9" width="38.28515625" bestFit="1" customWidth="1"/>
    <col min="14" max="14" width="11.85546875" bestFit="1" customWidth="1"/>
    <col min="16" max="16" width="11.7109375" bestFit="1" customWidth="1"/>
  </cols>
  <sheetData>
    <row r="1" spans="2:16" ht="9.9499999999999993" customHeight="1"/>
    <row r="2" spans="2:16" ht="45" customHeight="1" thickBot="1">
      <c r="B2" s="82" t="s">
        <v>79</v>
      </c>
      <c r="C2" s="82"/>
      <c r="D2" s="82"/>
      <c r="F2" s="23" t="s">
        <v>87</v>
      </c>
      <c r="H2" s="24" t="s">
        <v>100</v>
      </c>
      <c r="I2" s="24" t="s">
        <v>101</v>
      </c>
      <c r="K2" s="24">
        <v>1</v>
      </c>
      <c r="L2" s="24">
        <v>2</v>
      </c>
      <c r="M2" s="24">
        <v>3</v>
      </c>
      <c r="N2" s="24">
        <v>4</v>
      </c>
      <c r="O2" s="24">
        <v>5</v>
      </c>
      <c r="P2" s="24">
        <v>6</v>
      </c>
    </row>
    <row r="3" spans="2:16" ht="16.5" thickBot="1">
      <c r="B3" s="1" t="s">
        <v>86</v>
      </c>
      <c r="C3" s="1" t="s">
        <v>80</v>
      </c>
      <c r="D3" s="20" t="s">
        <v>87</v>
      </c>
      <c r="F3" s="4">
        <v>18</v>
      </c>
      <c r="H3" s="5" t="s">
        <v>102</v>
      </c>
      <c r="I3" s="21" t="s">
        <v>108</v>
      </c>
      <c r="K3" s="5">
        <v>15</v>
      </c>
      <c r="L3" s="2">
        <v>-15</v>
      </c>
      <c r="M3" s="5">
        <v>1.5</v>
      </c>
      <c r="N3" s="14">
        <v>45292</v>
      </c>
      <c r="O3" s="25">
        <v>0.41678240740740741</v>
      </c>
      <c r="P3" s="2" t="s">
        <v>114</v>
      </c>
    </row>
    <row r="4" spans="2:16" ht="15.75">
      <c r="B4" s="5">
        <v>1</v>
      </c>
      <c r="C4" s="21" t="s">
        <v>90</v>
      </c>
      <c r="D4" s="2" t="s">
        <v>89</v>
      </c>
      <c r="F4" s="4">
        <v>19</v>
      </c>
      <c r="H4" s="4" t="s">
        <v>103</v>
      </c>
      <c r="I4" s="22" t="s">
        <v>109</v>
      </c>
      <c r="K4" s="4">
        <v>16</v>
      </c>
      <c r="L4" s="4">
        <v>-15</v>
      </c>
      <c r="M4" s="4">
        <v>2.5</v>
      </c>
      <c r="N4" s="15">
        <v>45415</v>
      </c>
      <c r="O4" s="26">
        <v>0.45844907407407398</v>
      </c>
      <c r="P4" s="4" t="s">
        <v>115</v>
      </c>
    </row>
    <row r="5" spans="2:16" ht="15.75">
      <c r="B5" s="4">
        <v>2</v>
      </c>
      <c r="C5" s="22" t="s">
        <v>82</v>
      </c>
      <c r="D5" s="4" t="s">
        <v>98</v>
      </c>
      <c r="F5" s="4">
        <v>67</v>
      </c>
      <c r="H5" s="4" t="s">
        <v>104</v>
      </c>
      <c r="I5" s="22" t="s">
        <v>110</v>
      </c>
      <c r="K5" s="4">
        <v>17</v>
      </c>
      <c r="L5" s="4">
        <v>-15</v>
      </c>
      <c r="M5" s="4">
        <v>3.5</v>
      </c>
      <c r="N5" s="15">
        <v>45416</v>
      </c>
      <c r="O5" s="26">
        <v>0.50011574074074105</v>
      </c>
      <c r="P5" s="4" t="s">
        <v>116</v>
      </c>
    </row>
    <row r="6" spans="2:16" ht="15.75">
      <c r="B6" s="4">
        <v>3</v>
      </c>
      <c r="C6" s="22" t="s">
        <v>81</v>
      </c>
      <c r="D6" s="4" t="s">
        <v>99</v>
      </c>
      <c r="F6" s="4">
        <v>48</v>
      </c>
      <c r="H6" s="4" t="s">
        <v>105</v>
      </c>
      <c r="I6" s="22" t="s">
        <v>111</v>
      </c>
      <c r="K6" s="4">
        <v>18</v>
      </c>
      <c r="L6" s="4">
        <v>-15</v>
      </c>
      <c r="M6" s="4">
        <v>4.5</v>
      </c>
      <c r="N6" s="15">
        <v>45417</v>
      </c>
      <c r="O6" s="26">
        <v>0.54178240740740702</v>
      </c>
      <c r="P6" s="4" t="s">
        <v>117</v>
      </c>
    </row>
    <row r="7" spans="2:16" ht="15.75">
      <c r="B7" s="4">
        <v>4</v>
      </c>
      <c r="C7" s="22" t="s">
        <v>83</v>
      </c>
      <c r="D7" s="4" t="s">
        <v>91</v>
      </c>
      <c r="F7" s="4">
        <v>22</v>
      </c>
      <c r="H7" s="4" t="s">
        <v>106</v>
      </c>
      <c r="I7" s="22" t="s">
        <v>112</v>
      </c>
      <c r="K7" s="4">
        <v>19</v>
      </c>
      <c r="L7" s="4">
        <v>-15</v>
      </c>
      <c r="M7" s="4">
        <v>5.5</v>
      </c>
      <c r="N7" s="15">
        <v>45418</v>
      </c>
      <c r="O7" s="26">
        <v>0.58344907407407398</v>
      </c>
      <c r="P7" s="4" t="s">
        <v>118</v>
      </c>
    </row>
    <row r="8" spans="2:16" ht="15.75">
      <c r="B8" s="4"/>
      <c r="C8" s="4"/>
      <c r="D8" s="4" t="s">
        <v>92</v>
      </c>
      <c r="F8" s="4">
        <v>56</v>
      </c>
      <c r="H8" s="4" t="s">
        <v>107</v>
      </c>
      <c r="I8" s="22" t="s">
        <v>113</v>
      </c>
      <c r="K8" s="4">
        <v>20</v>
      </c>
      <c r="L8" s="4">
        <v>-15</v>
      </c>
      <c r="M8" s="4">
        <v>6.5</v>
      </c>
      <c r="N8" s="15">
        <v>45419</v>
      </c>
      <c r="O8" s="26">
        <v>0.44444444444444442</v>
      </c>
      <c r="P8" s="4" t="s">
        <v>119</v>
      </c>
    </row>
    <row r="9" spans="2:16" ht="15.75">
      <c r="B9" s="4"/>
      <c r="C9" s="4"/>
      <c r="D9" s="4" t="s">
        <v>93</v>
      </c>
      <c r="F9" s="4">
        <v>24</v>
      </c>
      <c r="K9" s="4">
        <v>21</v>
      </c>
      <c r="L9" s="4">
        <v>-15</v>
      </c>
      <c r="M9" s="4">
        <v>7.5</v>
      </c>
      <c r="N9" s="15">
        <v>45451</v>
      </c>
      <c r="O9" s="26">
        <v>0.48611111111111099</v>
      </c>
      <c r="P9" s="4" t="s">
        <v>120</v>
      </c>
    </row>
    <row r="10" spans="2:16" ht="15.75">
      <c r="B10" s="4"/>
      <c r="C10" s="4"/>
      <c r="D10" s="4" t="s">
        <v>94</v>
      </c>
      <c r="F10" s="4">
        <v>25</v>
      </c>
      <c r="K10" s="4">
        <v>22</v>
      </c>
      <c r="L10" s="4">
        <v>-15</v>
      </c>
      <c r="M10" s="4">
        <v>8.5</v>
      </c>
      <c r="N10" s="15">
        <v>45483</v>
      </c>
      <c r="O10" s="26">
        <v>0.52777777777777801</v>
      </c>
      <c r="P10" s="4" t="s">
        <v>121</v>
      </c>
    </row>
    <row r="11" spans="2:16" ht="15.75">
      <c r="B11" s="4">
        <v>5</v>
      </c>
      <c r="C11" s="22" t="s">
        <v>84</v>
      </c>
      <c r="D11" s="4" t="s">
        <v>95</v>
      </c>
      <c r="F11" s="4">
        <v>26</v>
      </c>
      <c r="K11" s="4">
        <v>23</v>
      </c>
      <c r="L11" s="4">
        <v>-15</v>
      </c>
      <c r="M11" s="4">
        <v>9.5</v>
      </c>
      <c r="N11" s="15">
        <v>45515</v>
      </c>
      <c r="O11" s="26">
        <v>0.56944444444444398</v>
      </c>
      <c r="P11" s="4" t="s">
        <v>122</v>
      </c>
    </row>
    <row r="12" spans="2:16" ht="15.75">
      <c r="B12" s="4"/>
      <c r="C12" s="22"/>
      <c r="D12" s="4" t="s">
        <v>88</v>
      </c>
      <c r="F12" s="4">
        <v>99</v>
      </c>
      <c r="K12" s="4">
        <v>24</v>
      </c>
      <c r="L12" s="4">
        <v>-15</v>
      </c>
      <c r="M12" s="4">
        <v>4</v>
      </c>
      <c r="N12" s="15">
        <v>45547</v>
      </c>
      <c r="O12" s="26">
        <v>0.61111111111111105</v>
      </c>
      <c r="P12" s="4" t="s">
        <v>123</v>
      </c>
    </row>
    <row r="13" spans="2:16" ht="15.75">
      <c r="B13" s="4">
        <v>6</v>
      </c>
      <c r="C13" s="22" t="s">
        <v>85</v>
      </c>
      <c r="D13" s="4" t="s">
        <v>96</v>
      </c>
      <c r="F13" s="4">
        <v>21</v>
      </c>
      <c r="K13" s="4">
        <v>25</v>
      </c>
      <c r="L13" s="4">
        <v>-15</v>
      </c>
      <c r="M13" s="4">
        <v>5.6</v>
      </c>
      <c r="N13" s="15">
        <v>45579</v>
      </c>
      <c r="O13" s="26">
        <v>0.65277777777777801</v>
      </c>
      <c r="P13" s="4" t="s">
        <v>124</v>
      </c>
    </row>
    <row r="14" spans="2:16" ht="15.75">
      <c r="B14" s="4"/>
      <c r="C14" s="4"/>
      <c r="D14" s="4" t="s">
        <v>97</v>
      </c>
      <c r="F14" s="4">
        <v>29</v>
      </c>
      <c r="K14" s="4">
        <v>26</v>
      </c>
      <c r="L14" s="4">
        <v>-15</v>
      </c>
      <c r="M14" s="4">
        <v>6.6</v>
      </c>
      <c r="N14" s="15">
        <v>45611</v>
      </c>
      <c r="O14" s="26">
        <v>0.69444444444444398</v>
      </c>
      <c r="P14" s="4" t="s">
        <v>125</v>
      </c>
    </row>
    <row r="15" spans="2:16" ht="15.75">
      <c r="K15" s="4">
        <v>27</v>
      </c>
      <c r="L15" s="4">
        <v>-15</v>
      </c>
      <c r="M15" s="4">
        <v>7.6</v>
      </c>
      <c r="N15" s="15">
        <v>45643</v>
      </c>
      <c r="O15" s="26">
        <v>0.73611111111111105</v>
      </c>
      <c r="P15" s="4" t="s">
        <v>126</v>
      </c>
    </row>
    <row r="16" spans="2:16" ht="15.75">
      <c r="K16" s="4">
        <v>28</v>
      </c>
      <c r="L16" s="4">
        <v>-15</v>
      </c>
      <c r="M16" s="4">
        <v>8.6</v>
      </c>
      <c r="N16" s="15">
        <v>45644</v>
      </c>
      <c r="O16" s="26">
        <v>0.75</v>
      </c>
      <c r="P16" s="4" t="s">
        <v>127</v>
      </c>
    </row>
    <row r="17" spans="11:16" ht="15.75">
      <c r="K17" s="4">
        <v>29</v>
      </c>
      <c r="L17" s="4">
        <v>-15</v>
      </c>
      <c r="M17" s="4">
        <v>4.5999999999999996</v>
      </c>
      <c r="N17" s="15">
        <v>45645</v>
      </c>
      <c r="O17" s="26">
        <v>0.74998842592592596</v>
      </c>
      <c r="P17" s="4" t="s">
        <v>128</v>
      </c>
    </row>
  </sheetData>
  <dataConsolidate/>
  <mergeCells count="1">
    <mergeCell ref="B2:D2"/>
  </mergeCells>
  <dataValidations xWindow="301" yWindow="321" count="7">
    <dataValidation type="whole" operator="greaterThanOrEqual" showInputMessage="1" showErrorMessage="1" errorTitle="Error" error="You have entered an invalid value_x000a_" promptTitle="Instructions" prompt="Enter a value &gt;=18 only" sqref="F1 F3:F1048576" xr:uid="{FF9EC377-3C89-4409-9A4C-5225F0307863}">
      <formula1>18</formula1>
    </dataValidation>
    <dataValidation type="whole" operator="lessThan" allowBlank="1" showInputMessage="1" showErrorMessage="1" errorTitle="Error" error="Invalid value" promptTitle="Instructions" prompt="Enter a value &lt;30." sqref="N18:N1048576 K1 K3:K1048576 N1" xr:uid="{165A0725-0C65-4C50-BAD5-2CC566C5704F}">
      <formula1>30</formula1>
    </dataValidation>
    <dataValidation type="whole" operator="equal" allowBlank="1" showInputMessage="1" showErrorMessage="1" errorTitle="Error" error="Invalid value" promptTitle="Instructions" prompt="Enter a value = -15" sqref="L1 L3:L1048576" xr:uid="{53D3A263-A6AF-4050-957D-3A47B4F5DE46}">
      <formula1>-15</formula1>
    </dataValidation>
    <dataValidation type="decimal" showInputMessage="1" showErrorMessage="1" errorTitle="Error" error="Invalid value" promptTitle="Instructions" prompt="Enter a Decimal value between 1.5 &amp; 9.5" sqref="M1 M3:M1048576" xr:uid="{D44EDB20-A912-4A06-8019-2A9169ED7B82}">
      <formula1>1.5</formula1>
      <formula2>9.5</formula2>
    </dataValidation>
    <dataValidation type="date" showInputMessage="1" showErrorMessage="1" errorTitle="Error" error="Invalid value" promptTitle="Instructions" prompt="Enter a Date between 1 Jan to 31 Dec." sqref="N3:N17" xr:uid="{B0BBA085-2D57-4F94-A862-1B79239ED028}">
      <formula1>45292</formula1>
      <formula2>45657</formula2>
    </dataValidation>
    <dataValidation type="time" allowBlank="1" showInputMessage="1" showErrorMessage="1" errorTitle="Error" error="Invalid value" promptTitle="Instructions" prompt="Enter a Time between 9 AM - 6PM" sqref="O1 O3:O1048576" xr:uid="{D958FB42-D755-441A-ABF7-D0023C2AA38D}">
      <formula1>0.375</formula1>
      <formula2>0.75</formula2>
    </dataValidation>
    <dataValidation type="textLength" operator="lessThanOrEqual" allowBlank="1" showInputMessage="1" showErrorMessage="1" errorTitle="Error" error="Invalid value" promptTitle="Instructions" prompt="Enter a Text max. of 10 characters_x000a_" sqref="P1 P3:P6 P16:P1048576" xr:uid="{47AC7652-DCBA-4176-B758-50BABB5FF5DC}">
      <formula1>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6B84-ECB3-4880-B97D-EE9083358EC7}">
  <dimension ref="B1:Q13"/>
  <sheetViews>
    <sheetView workbookViewId="0">
      <selection activeCell="F10" sqref="F10"/>
    </sheetView>
  </sheetViews>
  <sheetFormatPr defaultRowHeight="15"/>
  <cols>
    <col min="1" max="1" width="1.7109375" customWidth="1"/>
    <col min="2" max="2" width="10.7109375" style="28" customWidth="1"/>
    <col min="3" max="3" width="15.7109375" customWidth="1"/>
    <col min="4" max="4" width="10.85546875" bestFit="1" customWidth="1"/>
    <col min="5" max="5" width="10.7109375" style="27" customWidth="1"/>
    <col min="7" max="7" width="15.85546875" customWidth="1"/>
    <col min="8" max="8" width="15.7109375" customWidth="1"/>
    <col min="10" max="10" width="10.85546875" customWidth="1"/>
    <col min="11" max="11" width="45.7109375" customWidth="1"/>
    <col min="12" max="12" width="40.5703125" bestFit="1" customWidth="1"/>
  </cols>
  <sheetData>
    <row r="1" spans="2:17" ht="9.9499999999999993" customHeight="1"/>
    <row r="2" spans="2:17" ht="45" customHeight="1" thickBot="1">
      <c r="B2" s="83" t="s">
        <v>152</v>
      </c>
      <c r="C2" s="83"/>
      <c r="D2" s="83"/>
      <c r="E2" s="83"/>
      <c r="G2" s="84" t="s">
        <v>87</v>
      </c>
      <c r="H2" s="84"/>
      <c r="J2" s="30" t="s">
        <v>86</v>
      </c>
      <c r="K2" s="30" t="s">
        <v>129</v>
      </c>
      <c r="L2" s="30" t="s">
        <v>87</v>
      </c>
    </row>
    <row r="3" spans="2:17" ht="16.5" thickBot="1">
      <c r="B3" s="1" t="s">
        <v>130</v>
      </c>
      <c r="C3" s="1" t="s">
        <v>136</v>
      </c>
      <c r="D3" s="1" t="s">
        <v>140</v>
      </c>
      <c r="E3" s="1" t="s">
        <v>28</v>
      </c>
      <c r="G3" s="1" t="s">
        <v>150</v>
      </c>
      <c r="H3" s="1" t="s">
        <v>151</v>
      </c>
      <c r="J3" s="5">
        <v>1</v>
      </c>
      <c r="K3" s="5" t="s">
        <v>153</v>
      </c>
      <c r="L3" s="5" t="s">
        <v>154</v>
      </c>
      <c r="Q3" t="s">
        <v>147</v>
      </c>
    </row>
    <row r="4" spans="2:17" ht="15.75">
      <c r="B4" s="5" t="s">
        <v>131</v>
      </c>
      <c r="C4" s="5" t="s">
        <v>137</v>
      </c>
      <c r="D4" s="5" t="s">
        <v>141</v>
      </c>
      <c r="E4" s="5" t="s">
        <v>142</v>
      </c>
      <c r="G4" s="5" t="s">
        <v>130</v>
      </c>
      <c r="H4" s="5" t="s">
        <v>135</v>
      </c>
      <c r="J4" s="4"/>
      <c r="K4" s="4"/>
      <c r="L4" s="4" t="s">
        <v>155</v>
      </c>
      <c r="Q4" t="s">
        <v>148</v>
      </c>
    </row>
    <row r="5" spans="2:17" ht="15.75">
      <c r="B5" s="4" t="s">
        <v>132</v>
      </c>
      <c r="C5" s="4" t="s">
        <v>138</v>
      </c>
      <c r="D5" s="4" t="s">
        <v>143</v>
      </c>
      <c r="E5" s="4" t="s">
        <v>145</v>
      </c>
      <c r="G5" s="4" t="s">
        <v>136</v>
      </c>
      <c r="H5" s="4" t="s">
        <v>138</v>
      </c>
      <c r="J5" s="4"/>
      <c r="K5" s="4"/>
      <c r="L5" s="4" t="s">
        <v>156</v>
      </c>
      <c r="Q5" t="s">
        <v>149</v>
      </c>
    </row>
    <row r="6" spans="2:17" ht="15.75">
      <c r="B6" s="4" t="s">
        <v>133</v>
      </c>
      <c r="C6" s="4" t="s">
        <v>139</v>
      </c>
      <c r="D6" s="4" t="s">
        <v>144</v>
      </c>
      <c r="E6" s="4" t="s">
        <v>146</v>
      </c>
      <c r="G6" s="4" t="s">
        <v>140</v>
      </c>
      <c r="H6" s="4" t="s">
        <v>143</v>
      </c>
      <c r="J6" s="4"/>
      <c r="K6" s="4"/>
      <c r="L6" s="4" t="s">
        <v>157</v>
      </c>
    </row>
    <row r="7" spans="2:17" ht="15.75">
      <c r="B7" s="4" t="s">
        <v>134</v>
      </c>
      <c r="C7" s="4"/>
      <c r="D7" s="4"/>
      <c r="E7" s="4"/>
      <c r="G7" s="4" t="s">
        <v>28</v>
      </c>
      <c r="H7" s="4" t="s">
        <v>145</v>
      </c>
      <c r="J7" s="4"/>
      <c r="K7" s="4"/>
      <c r="L7" s="4"/>
    </row>
    <row r="8" spans="2:17" ht="15.75">
      <c r="B8" s="4" t="s">
        <v>135</v>
      </c>
      <c r="C8" s="4"/>
      <c r="D8" s="4"/>
      <c r="E8" s="4"/>
      <c r="G8" s="4" t="s">
        <v>130</v>
      </c>
      <c r="H8" s="4" t="s">
        <v>132</v>
      </c>
      <c r="J8" s="4">
        <v>2</v>
      </c>
      <c r="K8" s="4" t="s">
        <v>158</v>
      </c>
      <c r="L8" s="4" t="s">
        <v>159</v>
      </c>
    </row>
    <row r="9" spans="2:17" ht="15.75">
      <c r="J9" s="4"/>
      <c r="K9" s="4"/>
      <c r="L9" s="4" t="s">
        <v>160</v>
      </c>
    </row>
    <row r="10" spans="2:17" ht="15.75">
      <c r="J10" s="4"/>
      <c r="K10" s="4"/>
      <c r="L10" s="4" t="s">
        <v>161</v>
      </c>
    </row>
    <row r="11" spans="2:17" ht="15.75">
      <c r="J11" s="4">
        <v>3</v>
      </c>
      <c r="K11" s="4" t="s">
        <v>162</v>
      </c>
      <c r="L11" s="4" t="s">
        <v>163</v>
      </c>
    </row>
    <row r="12" spans="2:17" ht="15.75">
      <c r="J12" s="4"/>
      <c r="K12" s="4"/>
      <c r="L12" s="4" t="s">
        <v>160</v>
      </c>
    </row>
    <row r="13" spans="2:17" ht="15.75">
      <c r="J13" s="4"/>
      <c r="K13" s="4"/>
      <c r="L13" s="4" t="s">
        <v>164</v>
      </c>
    </row>
  </sheetData>
  <mergeCells count="2">
    <mergeCell ref="B2:E2"/>
    <mergeCell ref="G2:H2"/>
  </mergeCells>
  <dataValidations count="3">
    <dataValidation type="list" allowBlank="1" showInputMessage="1" showErrorMessage="1" sqref="G4:G8 G10" xr:uid="{5997C6F7-CE2B-4484-B662-41805FCF3902}">
      <formula1>$B$3:$E$3</formula1>
    </dataValidation>
    <dataValidation type="list" allowBlank="1" showInputMessage="1" showErrorMessage="1" sqref="H10:H11" xr:uid="{C462954E-962F-4AF3-858F-4CB28AE4C98E}">
      <formula1>INDIRECT($G$4)</formula1>
    </dataValidation>
    <dataValidation type="list" allowBlank="1" showInputMessage="1" showErrorMessage="1" sqref="H4:H8" xr:uid="{89001CC1-F0AE-41F5-A140-7E443F53C09A}">
      <formula1>INDIRECT(G4)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C5AA-3B36-4C1A-8953-9B665D7DE645}">
  <dimension ref="B1:U9"/>
  <sheetViews>
    <sheetView zoomScale="76" workbookViewId="0">
      <selection activeCell="B3" sqref="B3:C6"/>
    </sheetView>
  </sheetViews>
  <sheetFormatPr defaultRowHeight="15"/>
  <cols>
    <col min="1" max="1" width="1.7109375" customWidth="1"/>
    <col min="2" max="2" width="5.7109375" customWidth="1"/>
    <col min="3" max="3" width="50.7109375" customWidth="1"/>
    <col min="4" max="4" width="20.7109375" customWidth="1"/>
    <col min="7" max="7" width="65.7109375" customWidth="1"/>
    <col min="10" max="10" width="5.7109375" customWidth="1"/>
    <col min="11" max="11" width="69.140625" bestFit="1" customWidth="1"/>
    <col min="12" max="12" width="15.7109375" customWidth="1"/>
    <col min="14" max="14" width="65.7109375" bestFit="1" customWidth="1"/>
    <col min="17" max="17" width="8.42578125" bestFit="1" customWidth="1"/>
    <col min="18" max="18" width="72.85546875" bestFit="1" customWidth="1"/>
    <col min="19" max="19" width="16" bestFit="1" customWidth="1"/>
    <col min="21" max="21" width="48.28515625" bestFit="1" customWidth="1"/>
  </cols>
  <sheetData>
    <row r="1" spans="2:21" ht="9.9499999999999993" customHeight="1">
      <c r="K1" t="s">
        <v>186</v>
      </c>
    </row>
    <row r="2" spans="2:21" ht="45" customHeight="1" thickBot="1">
      <c r="B2" s="84" t="s">
        <v>177</v>
      </c>
      <c r="C2" s="84"/>
      <c r="D2" s="84"/>
      <c r="G2" s="29" t="s">
        <v>183</v>
      </c>
      <c r="J2" s="84" t="s">
        <v>184</v>
      </c>
      <c r="K2" s="84"/>
      <c r="L2" s="84"/>
      <c r="N2" s="29" t="s">
        <v>187</v>
      </c>
      <c r="Q2" s="84" t="s">
        <v>192</v>
      </c>
      <c r="R2" s="84"/>
      <c r="S2" s="84"/>
      <c r="U2" s="29" t="s">
        <v>193</v>
      </c>
    </row>
    <row r="3" spans="2:21" ht="16.5" thickBot="1">
      <c r="B3" s="1" t="s">
        <v>86</v>
      </c>
      <c r="C3" s="1" t="s">
        <v>165</v>
      </c>
      <c r="D3" s="20" t="s">
        <v>87</v>
      </c>
      <c r="G3" s="2" t="s">
        <v>175</v>
      </c>
      <c r="J3" s="1" t="s">
        <v>86</v>
      </c>
      <c r="K3" s="1" t="s">
        <v>165</v>
      </c>
      <c r="L3" s="20" t="s">
        <v>87</v>
      </c>
      <c r="N3" s="2" t="s">
        <v>191</v>
      </c>
      <c r="Q3" s="1" t="s">
        <v>86</v>
      </c>
      <c r="R3" s="1" t="s">
        <v>165</v>
      </c>
      <c r="S3" s="20" t="s">
        <v>87</v>
      </c>
      <c r="U3" s="5">
        <v>11</v>
      </c>
    </row>
    <row r="4" spans="2:21" ht="15.75">
      <c r="B4" s="5">
        <v>1</v>
      </c>
      <c r="C4" s="5" t="s">
        <v>169</v>
      </c>
      <c r="D4" s="2" t="s">
        <v>170</v>
      </c>
      <c r="G4" s="4" t="s">
        <v>178</v>
      </c>
      <c r="J4" s="5">
        <v>1</v>
      </c>
      <c r="K4" s="5" t="s">
        <v>169</v>
      </c>
      <c r="L4" s="2" t="s">
        <v>185</v>
      </c>
      <c r="N4" s="4" t="s">
        <v>189</v>
      </c>
      <c r="Q4" s="5">
        <v>1</v>
      </c>
      <c r="R4" s="5" t="s">
        <v>169</v>
      </c>
      <c r="S4" s="2" t="s">
        <v>185</v>
      </c>
      <c r="U4" s="4">
        <v>56</v>
      </c>
    </row>
    <row r="5" spans="2:21" ht="15.75">
      <c r="B5" s="4">
        <v>2</v>
      </c>
      <c r="C5" s="4" t="s">
        <v>166</v>
      </c>
      <c r="D5" s="4" t="s">
        <v>173</v>
      </c>
      <c r="G5" s="4" t="s">
        <v>179</v>
      </c>
      <c r="J5" s="4">
        <v>2</v>
      </c>
      <c r="K5" s="4" t="s">
        <v>166</v>
      </c>
      <c r="L5" s="4" t="s">
        <v>173</v>
      </c>
      <c r="N5" s="4" t="s">
        <v>190</v>
      </c>
      <c r="Q5" s="4">
        <v>2</v>
      </c>
      <c r="R5" s="4" t="s">
        <v>166</v>
      </c>
      <c r="S5" s="4" t="s">
        <v>173</v>
      </c>
      <c r="U5" s="4">
        <v>76</v>
      </c>
    </row>
    <row r="6" spans="2:21" ht="15.75">
      <c r="B6" s="4">
        <v>3</v>
      </c>
      <c r="C6" s="4" t="s">
        <v>167</v>
      </c>
      <c r="D6" s="4" t="s">
        <v>174</v>
      </c>
      <c r="G6" s="4" t="s">
        <v>180</v>
      </c>
      <c r="J6" s="4">
        <v>3</v>
      </c>
      <c r="K6" s="4" t="s">
        <v>167</v>
      </c>
      <c r="L6" s="4" t="s">
        <v>174</v>
      </c>
      <c r="N6" s="4" t="s">
        <v>189</v>
      </c>
      <c r="Q6" s="4">
        <v>3</v>
      </c>
      <c r="R6" s="4" t="s">
        <v>167</v>
      </c>
      <c r="S6" s="4" t="s">
        <v>174</v>
      </c>
      <c r="U6" s="4">
        <v>45</v>
      </c>
    </row>
    <row r="7" spans="2:21" ht="15.75">
      <c r="B7" s="4">
        <v>4</v>
      </c>
      <c r="C7" s="4" t="s">
        <v>168</v>
      </c>
      <c r="D7" s="4"/>
      <c r="G7" s="31" t="s">
        <v>181</v>
      </c>
      <c r="J7" s="4">
        <v>4</v>
      </c>
      <c r="K7" s="4" t="s">
        <v>168</v>
      </c>
      <c r="L7" s="4"/>
      <c r="N7" s="31" t="s">
        <v>190</v>
      </c>
      <c r="Q7" s="4">
        <v>4</v>
      </c>
      <c r="R7" s="4" t="s">
        <v>168</v>
      </c>
      <c r="S7" s="4"/>
      <c r="U7" s="31">
        <v>99</v>
      </c>
    </row>
    <row r="8" spans="2:21" ht="15.75">
      <c r="B8" s="4">
        <v>5</v>
      </c>
      <c r="C8" s="4" t="s">
        <v>171</v>
      </c>
      <c r="D8" s="31" t="s">
        <v>176</v>
      </c>
      <c r="G8" s="4" t="s">
        <v>182</v>
      </c>
      <c r="J8" s="4">
        <v>5</v>
      </c>
      <c r="K8" s="4" t="s">
        <v>188</v>
      </c>
      <c r="L8" s="31"/>
      <c r="N8" s="4" t="s">
        <v>191</v>
      </c>
      <c r="Q8" s="4">
        <v>5</v>
      </c>
      <c r="R8" s="4" t="s">
        <v>194</v>
      </c>
      <c r="S8" s="31"/>
      <c r="U8" s="4">
        <v>16</v>
      </c>
    </row>
    <row r="9" spans="2:21" ht="15.75">
      <c r="B9" s="4">
        <v>6</v>
      </c>
      <c r="C9" s="4" t="s">
        <v>172</v>
      </c>
      <c r="D9" s="4"/>
      <c r="J9" s="4">
        <v>6</v>
      </c>
      <c r="K9" s="4" t="s">
        <v>172</v>
      </c>
      <c r="L9" s="4"/>
      <c r="Q9" s="4">
        <v>6</v>
      </c>
      <c r="R9" s="4" t="s">
        <v>172</v>
      </c>
      <c r="S9" s="4"/>
    </row>
  </sheetData>
  <mergeCells count="3">
    <mergeCell ref="B2:D2"/>
    <mergeCell ref="J2:L2"/>
    <mergeCell ref="Q2:S2"/>
  </mergeCells>
  <dataValidations count="3">
    <dataValidation type="custom" allowBlank="1" showInputMessage="1" showErrorMessage="1" sqref="G1:G8 G10:G1048576" xr:uid="{7C692E7F-D3FA-4822-BD95-B016558DD26B}">
      <formula1>ISTEXT(G1)</formula1>
    </dataValidation>
    <dataValidation type="custom" allowBlank="1" showInputMessage="1" showErrorMessage="1" sqref="N3:N1048576 N1" xr:uid="{BABAF9CE-0CD8-4200-85D7-DEE32FC689BA}">
      <formula1>OR(N1="ACCOUNTS",N1="IT",N1="SECURITY")</formula1>
    </dataValidation>
    <dataValidation type="custom" allowBlank="1" showInputMessage="1" showErrorMessage="1" sqref="U3:U1048576 U1" xr:uid="{BF99967E-0F99-415F-A9FE-5062CC84B9A3}">
      <formula1>AND(U1&gt;10, U1&lt;100)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9EDBD-E0FA-4DFF-A104-A680E478D2C7}">
  <dimension ref="B1:AI30"/>
  <sheetViews>
    <sheetView zoomScale="120" zoomScaleNormal="113" workbookViewId="0">
      <selection activeCell="C5" sqref="C5"/>
    </sheetView>
  </sheetViews>
  <sheetFormatPr defaultRowHeight="15"/>
  <cols>
    <col min="1" max="1" width="1.7109375" customWidth="1"/>
    <col min="2" max="4" width="3.28515625" customWidth="1"/>
    <col min="5" max="5" width="9.140625" customWidth="1"/>
    <col min="6" max="6" width="15.7109375" customWidth="1"/>
    <col min="7" max="9" width="4.42578125" bestFit="1" customWidth="1"/>
    <col min="11" max="11" width="5.7109375" bestFit="1" customWidth="1"/>
    <col min="12" max="12" width="51.85546875" bestFit="1" customWidth="1"/>
    <col min="14" max="14" width="11.85546875" bestFit="1" customWidth="1"/>
    <col min="15" max="17" width="4.42578125" customWidth="1"/>
    <col min="20" max="20" width="10.140625" bestFit="1" customWidth="1"/>
    <col min="23" max="23" width="10.5703125" bestFit="1" customWidth="1"/>
    <col min="24" max="24" width="8.42578125" bestFit="1" customWidth="1"/>
    <col min="25" max="25" width="10.85546875" bestFit="1" customWidth="1"/>
    <col min="26" max="26" width="8.28515625" bestFit="1" customWidth="1"/>
    <col min="29" max="29" width="11.42578125" bestFit="1" customWidth="1"/>
    <col min="30" max="30" width="11" bestFit="1" customWidth="1"/>
    <col min="31" max="32" width="9.28515625" bestFit="1" customWidth="1"/>
    <col min="34" max="34" width="16" bestFit="1" customWidth="1"/>
  </cols>
  <sheetData>
    <row r="1" spans="2:35" ht="9.9499999999999993" customHeight="1"/>
    <row r="2" spans="2:35" ht="45" customHeight="1">
      <c r="B2" s="82" t="s">
        <v>195</v>
      </c>
      <c r="C2" s="82"/>
      <c r="D2" s="82"/>
      <c r="E2" s="82"/>
      <c r="F2" s="82"/>
      <c r="G2" s="82"/>
      <c r="H2" s="82"/>
      <c r="I2" s="82"/>
    </row>
    <row r="3" spans="2:35" ht="16.5" thickBot="1">
      <c r="B3" s="1" t="s">
        <v>202</v>
      </c>
      <c r="C3" s="1"/>
      <c r="D3" s="1"/>
      <c r="F3" s="1" t="s">
        <v>200</v>
      </c>
      <c r="G3" s="87" t="s">
        <v>201</v>
      </c>
      <c r="H3" s="88"/>
      <c r="I3" s="89"/>
      <c r="K3" s="1" t="s">
        <v>86</v>
      </c>
      <c r="L3" s="1" t="s">
        <v>258</v>
      </c>
      <c r="N3" s="1" t="s">
        <v>200</v>
      </c>
      <c r="O3" s="87" t="s">
        <v>201</v>
      </c>
      <c r="P3" s="88"/>
      <c r="Q3" s="89"/>
      <c r="V3" s="1" t="s">
        <v>200</v>
      </c>
    </row>
    <row r="4" spans="2:35" ht="15.75">
      <c r="B4" s="5">
        <v>55</v>
      </c>
      <c r="C4" s="2">
        <v>45</v>
      </c>
      <c r="D4" s="2">
        <v>60</v>
      </c>
      <c r="F4" s="32" t="s">
        <v>197</v>
      </c>
      <c r="G4" s="5">
        <f>B4+5</f>
        <v>60</v>
      </c>
      <c r="H4" s="5">
        <f t="shared" ref="H4:I4" si="0">C4+5</f>
        <v>50</v>
      </c>
      <c r="I4" s="5">
        <f t="shared" si="0"/>
        <v>65</v>
      </c>
      <c r="K4" s="5">
        <v>1</v>
      </c>
      <c r="L4" s="5" t="s">
        <v>205</v>
      </c>
      <c r="N4" s="32" t="s">
        <v>197</v>
      </c>
      <c r="O4" s="5">
        <f t="array" ref="O4:Q5">Matrix_A+5</f>
        <v>60</v>
      </c>
      <c r="P4" s="5">
        <v>50</v>
      </c>
      <c r="Q4" s="5">
        <v>65</v>
      </c>
      <c r="V4" s="34" t="s">
        <v>224</v>
      </c>
      <c r="W4" s="35"/>
      <c r="X4" s="35"/>
      <c r="Y4" s="36"/>
      <c r="Z4" s="35"/>
      <c r="AA4" s="35"/>
      <c r="AB4" s="35"/>
      <c r="AC4" s="35"/>
      <c r="AD4" s="35"/>
      <c r="AE4" s="35"/>
      <c r="AF4" s="35"/>
      <c r="AG4" s="35"/>
      <c r="AH4" s="35"/>
      <c r="AI4" s="37"/>
    </row>
    <row r="5" spans="2:35" ht="15.75">
      <c r="B5" s="4">
        <v>40</v>
      </c>
      <c r="C5" s="4">
        <v>20</v>
      </c>
      <c r="D5" s="4">
        <v>65</v>
      </c>
      <c r="F5" s="22"/>
      <c r="G5" s="4">
        <f>B5+5</f>
        <v>45</v>
      </c>
      <c r="H5" s="4">
        <f t="shared" ref="H5" si="1">C5+5</f>
        <v>25</v>
      </c>
      <c r="I5" s="4">
        <f t="shared" ref="I5" si="2">D5+5</f>
        <v>70</v>
      </c>
      <c r="K5" s="4">
        <v>2</v>
      </c>
      <c r="L5" s="4" t="s">
        <v>203</v>
      </c>
      <c r="N5" s="22"/>
      <c r="O5" s="4">
        <v>45</v>
      </c>
      <c r="P5" s="4">
        <v>25</v>
      </c>
      <c r="Q5" s="4">
        <v>70</v>
      </c>
      <c r="V5" s="38" t="s">
        <v>225</v>
      </c>
      <c r="Y5" s="39"/>
      <c r="AI5" s="40"/>
    </row>
    <row r="6" spans="2:35" ht="15.75">
      <c r="K6" s="4">
        <v>3</v>
      </c>
      <c r="L6" s="4" t="s">
        <v>204</v>
      </c>
      <c r="V6" s="38" t="s">
        <v>226</v>
      </c>
      <c r="Y6" s="39"/>
      <c r="AI6" s="40"/>
    </row>
    <row r="7" spans="2:35" ht="15.75">
      <c r="F7" s="22" t="s">
        <v>198</v>
      </c>
      <c r="G7" s="4">
        <f>B4-5</f>
        <v>50</v>
      </c>
      <c r="H7" s="4">
        <f t="shared" ref="H7:I7" si="3">C4-5</f>
        <v>40</v>
      </c>
      <c r="I7" s="4">
        <f t="shared" si="3"/>
        <v>55</v>
      </c>
      <c r="N7" s="22" t="s">
        <v>198</v>
      </c>
      <c r="O7" s="4">
        <f t="array" ref="O7:Q8">Matrix_A-5</f>
        <v>50</v>
      </c>
      <c r="P7" s="4">
        <v>40</v>
      </c>
      <c r="Q7" s="4">
        <v>55</v>
      </c>
      <c r="V7" s="38" t="s">
        <v>227</v>
      </c>
      <c r="Y7" s="39"/>
      <c r="AI7" s="40"/>
    </row>
    <row r="8" spans="2:35" ht="16.5" thickBot="1">
      <c r="F8" s="22"/>
      <c r="G8" s="4">
        <f>B5-5</f>
        <v>35</v>
      </c>
      <c r="H8" s="4">
        <f t="shared" ref="H8:I8" si="4">C5-5</f>
        <v>15</v>
      </c>
      <c r="I8" s="4">
        <f t="shared" si="4"/>
        <v>60</v>
      </c>
      <c r="K8" s="1" t="s">
        <v>86</v>
      </c>
      <c r="L8" s="1" t="s">
        <v>206</v>
      </c>
      <c r="N8" s="22"/>
      <c r="O8" s="4">
        <v>35</v>
      </c>
      <c r="P8" s="4">
        <v>15</v>
      </c>
      <c r="Q8" s="4">
        <v>60</v>
      </c>
      <c r="V8" s="38" t="s">
        <v>228</v>
      </c>
      <c r="Y8" s="39"/>
      <c r="AI8" s="40"/>
    </row>
    <row r="9" spans="2:35" ht="16.5" thickBot="1">
      <c r="K9" s="5">
        <v>1</v>
      </c>
      <c r="L9" s="5" t="s">
        <v>207</v>
      </c>
      <c r="V9" s="38" t="s">
        <v>229</v>
      </c>
      <c r="Y9" s="39"/>
      <c r="AD9" s="1" t="s">
        <v>230</v>
      </c>
      <c r="AE9" s="1" t="s">
        <v>231</v>
      </c>
      <c r="AF9" s="1" t="s">
        <v>232</v>
      </c>
      <c r="AH9" s="1" t="s">
        <v>233</v>
      </c>
      <c r="AI9" s="40"/>
    </row>
    <row r="10" spans="2:35" ht="15.75">
      <c r="F10" s="22" t="s">
        <v>196</v>
      </c>
      <c r="G10" s="4">
        <f>B4*5</f>
        <v>275</v>
      </c>
      <c r="H10" s="4">
        <f t="shared" ref="H10:I10" si="5">C4*5</f>
        <v>225</v>
      </c>
      <c r="I10" s="4">
        <f t="shared" si="5"/>
        <v>300</v>
      </c>
      <c r="K10" s="4">
        <v>2</v>
      </c>
      <c r="L10" s="4" t="s">
        <v>208</v>
      </c>
      <c r="N10" s="22" t="s">
        <v>196</v>
      </c>
      <c r="O10" s="4">
        <f t="array" ref="O10:Q11">Matrix_A*5</f>
        <v>275</v>
      </c>
      <c r="P10" s="4">
        <v>225</v>
      </c>
      <c r="Q10" s="4">
        <v>300</v>
      </c>
      <c r="V10" s="38" t="s">
        <v>234</v>
      </c>
      <c r="Y10" s="39"/>
      <c r="AC10" s="1" t="s">
        <v>235</v>
      </c>
      <c r="AD10" s="5">
        <v>50</v>
      </c>
      <c r="AE10" s="2">
        <v>30</v>
      </c>
      <c r="AF10" s="2">
        <v>20</v>
      </c>
      <c r="AH10" s="5">
        <v>10</v>
      </c>
      <c r="AI10" s="40"/>
    </row>
    <row r="11" spans="2:35" ht="15.75">
      <c r="F11" s="22"/>
      <c r="G11" s="4">
        <f>B5*5</f>
        <v>200</v>
      </c>
      <c r="H11" s="4">
        <f t="shared" ref="H11" si="6">C5*5</f>
        <v>100</v>
      </c>
      <c r="I11" s="4">
        <f t="shared" ref="I11" si="7">D5*5</f>
        <v>325</v>
      </c>
      <c r="K11" s="4">
        <v>3</v>
      </c>
      <c r="L11" s="4" t="s">
        <v>209</v>
      </c>
      <c r="N11" s="22"/>
      <c r="O11" s="4">
        <v>200</v>
      </c>
      <c r="P11" s="4">
        <v>100</v>
      </c>
      <c r="Q11" s="4">
        <v>325</v>
      </c>
      <c r="V11" s="38" t="s">
        <v>236</v>
      </c>
      <c r="Y11" s="39"/>
      <c r="AC11" s="1" t="s">
        <v>237</v>
      </c>
      <c r="AD11" s="4">
        <v>60</v>
      </c>
      <c r="AE11" s="4">
        <v>40</v>
      </c>
      <c r="AF11" s="4">
        <v>25</v>
      </c>
      <c r="AH11" s="4">
        <v>5</v>
      </c>
      <c r="AI11" s="40"/>
    </row>
    <row r="12" spans="2:35" ht="15.75">
      <c r="V12" s="38" t="s">
        <v>238</v>
      </c>
      <c r="Y12" s="39"/>
      <c r="AH12" s="4">
        <v>8</v>
      </c>
      <c r="AI12" s="40"/>
    </row>
    <row r="13" spans="2:35" ht="15.75">
      <c r="F13" s="22" t="s">
        <v>199</v>
      </c>
      <c r="G13" s="4">
        <f>B4/5</f>
        <v>11</v>
      </c>
      <c r="H13" s="4">
        <f t="shared" ref="H13:I13" si="8">C4/5</f>
        <v>9</v>
      </c>
      <c r="I13" s="4">
        <f t="shared" si="8"/>
        <v>12</v>
      </c>
      <c r="N13" s="22" t="s">
        <v>199</v>
      </c>
      <c r="O13" s="4">
        <f t="array" ref="O13:Q14">Matrix_A/5</f>
        <v>11</v>
      </c>
      <c r="P13" s="4">
        <v>9</v>
      </c>
      <c r="Q13" s="4">
        <v>12</v>
      </c>
      <c r="V13" s="41"/>
      <c r="Y13" s="39"/>
      <c r="AI13" s="40"/>
    </row>
    <row r="14" spans="2:35" ht="15.75">
      <c r="F14" s="22"/>
      <c r="G14" s="4">
        <f>B5/5</f>
        <v>8</v>
      </c>
      <c r="H14" s="4">
        <f t="shared" ref="H14:I14" si="9">C5/5</f>
        <v>4</v>
      </c>
      <c r="I14" s="4">
        <f t="shared" si="9"/>
        <v>13</v>
      </c>
      <c r="N14" s="22"/>
      <c r="O14" s="4">
        <v>8</v>
      </c>
      <c r="P14" s="4">
        <v>4</v>
      </c>
      <c r="Q14" s="4">
        <v>13</v>
      </c>
      <c r="V14" s="41"/>
      <c r="Y14" s="39"/>
      <c r="AC14" s="1" t="s">
        <v>239</v>
      </c>
      <c r="AD14" s="1" t="s">
        <v>253</v>
      </c>
      <c r="AE14" s="4">
        <f t="array" ref="AE14:AE15">MMULT(AD10:AF11,AH10:AH12)</f>
        <v>810</v>
      </c>
      <c r="AI14" s="40"/>
    </row>
    <row r="15" spans="2:35" ht="15.75">
      <c r="V15" s="41"/>
      <c r="Y15" s="39"/>
      <c r="AD15" s="1" t="s">
        <v>254</v>
      </c>
      <c r="AE15" s="4">
        <v>1000</v>
      </c>
      <c r="AI15" s="40"/>
    </row>
    <row r="16" spans="2:35" ht="16.5" thickBot="1">
      <c r="B16" s="90" t="s">
        <v>210</v>
      </c>
      <c r="C16" s="90"/>
      <c r="D16" s="90"/>
      <c r="E16" s="90"/>
      <c r="K16" s="1" t="s">
        <v>86</v>
      </c>
      <c r="L16" s="1" t="s">
        <v>217</v>
      </c>
      <c r="O16" s="1" t="s">
        <v>221</v>
      </c>
      <c r="P16" s="1"/>
      <c r="Q16" s="1"/>
      <c r="S16" s="1" t="s">
        <v>200</v>
      </c>
      <c r="T16" s="1" t="s">
        <v>201</v>
      </c>
      <c r="V16" s="42"/>
      <c r="W16" s="43"/>
      <c r="X16" s="43"/>
      <c r="Y16" s="44"/>
      <c r="Z16" s="43"/>
      <c r="AA16" s="43"/>
      <c r="AB16" s="43"/>
      <c r="AC16" s="43"/>
      <c r="AD16" s="43"/>
      <c r="AE16" s="43"/>
      <c r="AF16" s="43"/>
      <c r="AG16" s="43"/>
      <c r="AH16" s="43"/>
      <c r="AI16" s="45"/>
    </row>
    <row r="17" spans="2:35" ht="16.5" thickBot="1">
      <c r="B17" s="1" t="s">
        <v>211</v>
      </c>
      <c r="C17" s="1"/>
      <c r="D17" s="1"/>
      <c r="F17" s="1" t="s">
        <v>200</v>
      </c>
      <c r="G17" s="87" t="s">
        <v>201</v>
      </c>
      <c r="H17" s="88"/>
      <c r="I17" s="89"/>
      <c r="K17" s="5">
        <v>1</v>
      </c>
      <c r="L17" s="5" t="s">
        <v>218</v>
      </c>
      <c r="O17" s="5">
        <v>1</v>
      </c>
      <c r="P17" s="2">
        <v>2</v>
      </c>
      <c r="Q17" s="2">
        <v>3</v>
      </c>
      <c r="S17" s="32" t="s">
        <v>223</v>
      </c>
      <c r="T17" s="5">
        <f t="array" ref="T17:T18">MMULT(O17:Q18,O21:O23)</f>
        <v>50</v>
      </c>
    </row>
    <row r="18" spans="2:35" ht="15.75">
      <c r="B18" s="5">
        <v>54</v>
      </c>
      <c r="C18" s="2">
        <v>74</v>
      </c>
      <c r="D18" s="2">
        <v>88</v>
      </c>
      <c r="F18" s="32" t="s">
        <v>213</v>
      </c>
      <c r="G18" s="5">
        <f t="array" ref="G18:I19">Matrix_X+Matrix_Y</f>
        <v>88</v>
      </c>
      <c r="H18" s="5">
        <v>103</v>
      </c>
      <c r="I18" s="5">
        <v>127</v>
      </c>
      <c r="K18" s="4">
        <v>2</v>
      </c>
      <c r="L18" s="4" t="s">
        <v>219</v>
      </c>
      <c r="O18" s="4">
        <v>4</v>
      </c>
      <c r="P18" s="4">
        <v>5</v>
      </c>
      <c r="Q18" s="4">
        <v>6</v>
      </c>
      <c r="S18" s="22"/>
      <c r="T18" s="4">
        <v>122</v>
      </c>
    </row>
    <row r="19" spans="2:35" ht="16.5" thickBot="1">
      <c r="B19" s="4">
        <v>58</v>
      </c>
      <c r="C19" s="4">
        <v>39</v>
      </c>
      <c r="D19" s="4">
        <v>21</v>
      </c>
      <c r="F19" s="22"/>
      <c r="G19" s="4">
        <v>114</v>
      </c>
      <c r="H19" s="4">
        <v>93</v>
      </c>
      <c r="I19" s="4">
        <v>110</v>
      </c>
      <c r="K19" s="4">
        <v>3</v>
      </c>
      <c r="L19" s="4" t="s">
        <v>220</v>
      </c>
      <c r="V19" s="1" t="s">
        <v>200</v>
      </c>
    </row>
    <row r="20" spans="2:35" ht="15.75">
      <c r="O20" s="1" t="s">
        <v>222</v>
      </c>
      <c r="P20" s="1"/>
      <c r="Q20" s="1"/>
      <c r="V20" s="34" t="s">
        <v>240</v>
      </c>
      <c r="W20" s="35"/>
      <c r="X20" s="35"/>
      <c r="Y20" s="36"/>
      <c r="Z20" s="35"/>
      <c r="AA20" s="35"/>
      <c r="AB20" s="35"/>
      <c r="AC20" s="35"/>
      <c r="AD20" s="35"/>
      <c r="AE20" s="35"/>
      <c r="AF20" s="35"/>
      <c r="AG20" s="35"/>
      <c r="AH20" s="35"/>
      <c r="AI20" s="37"/>
    </row>
    <row r="21" spans="2:35" ht="16.5" thickBot="1">
      <c r="B21" s="1" t="s">
        <v>212</v>
      </c>
      <c r="C21" s="1"/>
      <c r="D21" s="1"/>
      <c r="F21" s="22" t="s">
        <v>214</v>
      </c>
      <c r="G21" s="4">
        <f t="array" ref="G21:I22">Matrix_X-Matrix_Y</f>
        <v>20</v>
      </c>
      <c r="H21" s="4">
        <v>45</v>
      </c>
      <c r="I21" s="4">
        <v>49</v>
      </c>
      <c r="O21" s="85">
        <v>7</v>
      </c>
      <c r="P21" s="86"/>
      <c r="Q21" s="86"/>
      <c r="V21" s="38" t="s">
        <v>241</v>
      </c>
      <c r="Y21" s="39"/>
      <c r="AI21" s="40"/>
    </row>
    <row r="22" spans="2:35" ht="15.75">
      <c r="B22" s="5">
        <v>34</v>
      </c>
      <c r="C22" s="2">
        <v>29</v>
      </c>
      <c r="D22" s="2">
        <v>39</v>
      </c>
      <c r="F22" s="22"/>
      <c r="G22" s="4">
        <v>2</v>
      </c>
      <c r="H22" s="4">
        <v>-15</v>
      </c>
      <c r="I22" s="4">
        <v>-68</v>
      </c>
      <c r="O22" s="85">
        <v>8</v>
      </c>
      <c r="P22" s="86"/>
      <c r="Q22" s="86"/>
      <c r="V22" s="38" t="s">
        <v>242</v>
      </c>
      <c r="Y22" s="39"/>
      <c r="AI22" s="40"/>
    </row>
    <row r="23" spans="2:35" ht="15.75">
      <c r="B23" s="4">
        <v>56</v>
      </c>
      <c r="C23" s="4">
        <v>54</v>
      </c>
      <c r="D23" s="4">
        <v>89</v>
      </c>
      <c r="O23" s="85">
        <v>9</v>
      </c>
      <c r="P23" s="86"/>
      <c r="Q23" s="86"/>
      <c r="V23" s="38" t="s">
        <v>243</v>
      </c>
      <c r="Y23" s="39"/>
      <c r="AI23" s="40"/>
    </row>
    <row r="24" spans="2:35" ht="15.75">
      <c r="F24" s="22" t="s">
        <v>215</v>
      </c>
      <c r="G24" s="33">
        <f t="array" ref="G24:I25">Matrix_X/Matrix_Y</f>
        <v>1.588235294117647</v>
      </c>
      <c r="H24" s="33">
        <v>2.5517241379310347</v>
      </c>
      <c r="I24" s="33">
        <v>2.2564102564102564</v>
      </c>
      <c r="V24" s="38" t="s">
        <v>244</v>
      </c>
      <c r="Y24" s="39"/>
      <c r="AI24" s="40"/>
    </row>
    <row r="25" spans="2:35" ht="15.75">
      <c r="F25" s="22"/>
      <c r="G25" s="33">
        <v>1.0357142857142858</v>
      </c>
      <c r="H25" s="33">
        <v>0.72222222222222221</v>
      </c>
      <c r="I25" s="33">
        <v>0.23595505617977527</v>
      </c>
      <c r="V25" s="41"/>
      <c r="Y25" s="39"/>
      <c r="AI25" s="40"/>
    </row>
    <row r="26" spans="2:35" ht="15.75">
      <c r="V26" s="46"/>
      <c r="X26" s="1" t="s">
        <v>245</v>
      </c>
      <c r="Y26" s="1" t="s">
        <v>246</v>
      </c>
      <c r="Z26" s="1" t="s">
        <v>247</v>
      </c>
      <c r="AA26" s="1" t="s">
        <v>248</v>
      </c>
      <c r="AD26" s="1" t="s">
        <v>252</v>
      </c>
      <c r="AI26" s="40"/>
    </row>
    <row r="27" spans="2:35" ht="15.75">
      <c r="B27" t="s">
        <v>216</v>
      </c>
      <c r="V27" s="48"/>
      <c r="W27" s="1" t="s">
        <v>249</v>
      </c>
      <c r="X27" s="4">
        <v>85</v>
      </c>
      <c r="Y27" s="4">
        <v>78</v>
      </c>
      <c r="Z27" s="4">
        <v>92</v>
      </c>
      <c r="AA27" s="4">
        <v>88</v>
      </c>
      <c r="AB27" s="47"/>
      <c r="AD27" s="4">
        <f>AVERAGE(X27:AA27)</f>
        <v>85.75</v>
      </c>
      <c r="AI27" s="40"/>
    </row>
    <row r="28" spans="2:35" ht="15.75">
      <c r="V28" s="48"/>
      <c r="W28" s="1" t="s">
        <v>250</v>
      </c>
      <c r="X28" s="4">
        <v>90</v>
      </c>
      <c r="Y28" s="4">
        <v>82</v>
      </c>
      <c r="Z28" s="4">
        <v>89</v>
      </c>
      <c r="AA28" s="4">
        <v>84</v>
      </c>
      <c r="AD28" s="4">
        <f>AVERAGE(X28:AA28)</f>
        <v>86.25</v>
      </c>
      <c r="AI28" s="40"/>
    </row>
    <row r="29" spans="2:35" ht="15.75">
      <c r="V29" s="48"/>
      <c r="W29" s="1" t="s">
        <v>251</v>
      </c>
      <c r="X29" s="4">
        <v>88</v>
      </c>
      <c r="Y29" s="4">
        <v>80</v>
      </c>
      <c r="Z29" s="4">
        <v>94</v>
      </c>
      <c r="AA29" s="4">
        <v>90</v>
      </c>
      <c r="AD29" s="4">
        <f>AVERAGE(X29:AA29)</f>
        <v>88</v>
      </c>
      <c r="AI29" s="40"/>
    </row>
    <row r="30" spans="2:35" ht="15.75" thickBot="1">
      <c r="V30" s="42"/>
      <c r="W30" s="43"/>
      <c r="X30" s="43"/>
      <c r="Y30" s="43"/>
      <c r="Z30" s="43"/>
      <c r="AA30" s="43"/>
      <c r="AB30" s="43"/>
      <c r="AC30" s="43"/>
      <c r="AD30" s="43"/>
      <c r="AE30" s="43"/>
      <c r="AF30" s="43"/>
      <c r="AG30" s="43"/>
      <c r="AH30" s="43"/>
      <c r="AI30" s="45"/>
    </row>
  </sheetData>
  <mergeCells count="8">
    <mergeCell ref="B2:I2"/>
    <mergeCell ref="O21:Q21"/>
    <mergeCell ref="O22:Q22"/>
    <mergeCell ref="O23:Q23"/>
    <mergeCell ref="O3:Q3"/>
    <mergeCell ref="B16:E16"/>
    <mergeCell ref="G17:I17"/>
    <mergeCell ref="G3:I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4BD0-4876-47B1-83D3-FC1EE0523E05}">
  <dimension ref="B1:P15"/>
  <sheetViews>
    <sheetView zoomScale="96" workbookViewId="0">
      <selection activeCell="H4" sqref="H4:I4"/>
    </sheetView>
  </sheetViews>
  <sheetFormatPr defaultRowHeight="15"/>
  <cols>
    <col min="1" max="1" width="1.7109375" customWidth="1"/>
    <col min="2" max="2" width="10.7109375" customWidth="1"/>
    <col min="3" max="4" width="3.28515625" customWidth="1"/>
    <col min="5" max="6" width="5.7109375" customWidth="1"/>
    <col min="7" max="7" width="9.140625" customWidth="1"/>
    <col min="8" max="8" width="5.7109375" customWidth="1"/>
    <col min="9" max="9" width="45.7109375" style="27" customWidth="1"/>
    <col min="11" max="11" width="15.7109375" customWidth="1"/>
    <col min="12" max="14" width="5.7109375" customWidth="1"/>
    <col min="15" max="16" width="3.28515625" customWidth="1"/>
  </cols>
  <sheetData>
    <row r="1" spans="2:16" ht="9.9499999999999993" customHeight="1"/>
    <row r="2" spans="2:16" ht="25.5">
      <c r="B2" s="82" t="s">
        <v>255</v>
      </c>
      <c r="C2" s="82"/>
      <c r="D2" s="82"/>
      <c r="E2" s="82"/>
      <c r="F2" s="82"/>
      <c r="G2" s="82"/>
      <c r="H2" s="82"/>
      <c r="I2" s="82"/>
    </row>
    <row r="4" spans="2:16" ht="16.5" thickBot="1">
      <c r="B4" s="51" t="s">
        <v>270</v>
      </c>
      <c r="C4" s="91" t="s">
        <v>175</v>
      </c>
      <c r="D4" s="92"/>
      <c r="F4" s="51" t="s">
        <v>266</v>
      </c>
      <c r="H4" s="1" t="s">
        <v>260</v>
      </c>
      <c r="I4" s="50" t="s">
        <v>261</v>
      </c>
      <c r="K4" s="51" t="s">
        <v>271</v>
      </c>
      <c r="L4" s="91" t="s">
        <v>175</v>
      </c>
      <c r="M4" s="91"/>
      <c r="N4" s="91"/>
      <c r="P4" s="51" t="s">
        <v>266</v>
      </c>
    </row>
    <row r="5" spans="2:16" ht="15.75">
      <c r="B5" s="49" t="s">
        <v>256</v>
      </c>
      <c r="C5" s="4">
        <v>2</v>
      </c>
      <c r="D5" s="4">
        <v>4</v>
      </c>
      <c r="F5" s="4">
        <v>40</v>
      </c>
      <c r="H5" s="5">
        <v>1</v>
      </c>
      <c r="I5" s="4" t="s">
        <v>262</v>
      </c>
      <c r="K5" s="49" t="s">
        <v>272</v>
      </c>
      <c r="L5" s="4">
        <v>1</v>
      </c>
      <c r="M5" s="4">
        <v>2</v>
      </c>
      <c r="N5" s="4">
        <v>3</v>
      </c>
      <c r="O5" s="56"/>
      <c r="P5" s="52">
        <v>14</v>
      </c>
    </row>
    <row r="6" spans="2:16" ht="15.75">
      <c r="B6" s="49" t="s">
        <v>257</v>
      </c>
      <c r="C6" s="4">
        <v>4</v>
      </c>
      <c r="D6" s="4">
        <v>1</v>
      </c>
      <c r="F6" s="4">
        <v>35</v>
      </c>
      <c r="H6" s="4">
        <v>2</v>
      </c>
      <c r="I6" s="4" t="s">
        <v>263</v>
      </c>
      <c r="K6" s="49" t="s">
        <v>273</v>
      </c>
      <c r="L6" s="4">
        <v>2</v>
      </c>
      <c r="M6" s="4">
        <v>-1</v>
      </c>
      <c r="N6" s="4">
        <v>1</v>
      </c>
      <c r="O6" s="56"/>
      <c r="P6" s="52">
        <v>3</v>
      </c>
    </row>
    <row r="7" spans="2:16" ht="15.75">
      <c r="H7" s="4">
        <v>3</v>
      </c>
      <c r="I7" s="4" t="s">
        <v>264</v>
      </c>
      <c r="K7" s="54" t="s">
        <v>274</v>
      </c>
      <c r="L7" s="52">
        <v>-3</v>
      </c>
      <c r="M7" s="52">
        <v>4</v>
      </c>
      <c r="N7" s="52">
        <v>2</v>
      </c>
      <c r="O7" s="56"/>
      <c r="P7" s="52">
        <v>-1</v>
      </c>
    </row>
    <row r="8" spans="2:16" ht="15.75">
      <c r="H8" s="4">
        <v>4</v>
      </c>
      <c r="I8" s="4" t="s">
        <v>265</v>
      </c>
    </row>
    <row r="9" spans="2:16" ht="15.75">
      <c r="B9" s="91" t="s">
        <v>267</v>
      </c>
      <c r="C9" s="92"/>
      <c r="E9" s="53">
        <f t="array" ref="E9:F10">MINVERSE(C5:D6)</f>
        <v>-7.1428571428571425E-2</v>
      </c>
      <c r="F9" s="53">
        <v>0.2857142857142857</v>
      </c>
      <c r="I9"/>
      <c r="K9" s="55" t="s">
        <v>267</v>
      </c>
      <c r="L9" s="4">
        <f t="array" ref="L9:N11">MINVERSE(L5:N7)</f>
        <v>1.2000000000000004</v>
      </c>
      <c r="M9" s="4">
        <v>-1.6000000000000008</v>
      </c>
      <c r="N9" s="4">
        <v>-1.0000000000000002</v>
      </c>
    </row>
    <row r="10" spans="2:16" ht="15.75">
      <c r="E10" s="53">
        <v>0.2857142857142857</v>
      </c>
      <c r="F10" s="53">
        <v>-0.14285714285714285</v>
      </c>
      <c r="I10"/>
      <c r="L10" s="4">
        <v>1.4000000000000006</v>
      </c>
      <c r="M10" s="4">
        <v>-2.2000000000000011</v>
      </c>
      <c r="N10" s="4">
        <v>-1.0000000000000004</v>
      </c>
    </row>
    <row r="11" spans="2:16" ht="15.75">
      <c r="I11"/>
      <c r="L11" s="4">
        <v>-1.0000000000000004</v>
      </c>
      <c r="M11" s="4">
        <v>2.0000000000000009</v>
      </c>
      <c r="N11" s="4">
        <v>1.0000000000000004</v>
      </c>
    </row>
    <row r="12" spans="2:16" ht="15.75">
      <c r="B12" s="51" t="s">
        <v>268</v>
      </c>
      <c r="E12" s="53">
        <f t="array" ref="E12:E13">MMULT(E9:F10,F5:F6)</f>
        <v>7.1428571428571432</v>
      </c>
    </row>
    <row r="13" spans="2:16" ht="15.75">
      <c r="B13" s="51" t="s">
        <v>269</v>
      </c>
      <c r="E13" s="53">
        <v>6.428571428571427</v>
      </c>
      <c r="K13" s="51" t="s">
        <v>268</v>
      </c>
      <c r="L13" s="4">
        <f t="array" ref="L13:L15">MMULT(L9:N11,P5:P7)</f>
        <v>13.000000000000002</v>
      </c>
    </row>
    <row r="14" spans="2:16" ht="15.75">
      <c r="K14" s="51" t="s">
        <v>269</v>
      </c>
      <c r="L14" s="4">
        <v>14.000000000000005</v>
      </c>
    </row>
    <row r="15" spans="2:16" ht="15.75">
      <c r="K15" s="51" t="s">
        <v>275</v>
      </c>
      <c r="L15" s="4">
        <v>-9.0000000000000036</v>
      </c>
    </row>
  </sheetData>
  <mergeCells count="4">
    <mergeCell ref="B9:C9"/>
    <mergeCell ref="L4:N4"/>
    <mergeCell ref="B2:I2"/>
    <mergeCell ref="C4:D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C10ED-8201-4E8D-8ED6-D368BFC1384E}">
  <dimension ref="B1:N80"/>
  <sheetViews>
    <sheetView zoomScale="95" zoomScaleNormal="145" workbookViewId="0">
      <selection activeCell="K24" sqref="K24"/>
    </sheetView>
  </sheetViews>
  <sheetFormatPr defaultRowHeight="15"/>
  <cols>
    <col min="1" max="1" width="1.7109375" customWidth="1"/>
    <col min="2" max="2" width="24" bestFit="1" customWidth="1"/>
    <col min="3" max="3" width="16.5703125" bestFit="1" customWidth="1"/>
    <col min="4" max="4" width="16.85546875" bestFit="1" customWidth="1"/>
    <col min="5" max="5" width="9.140625" bestFit="1" customWidth="1"/>
    <col min="6" max="6" width="15.5703125" bestFit="1" customWidth="1"/>
    <col min="7" max="7" width="19.42578125" style="39" bestFit="1" customWidth="1"/>
    <col min="8" max="8" width="30.28515625" bestFit="1" customWidth="1"/>
    <col min="9" max="9" width="17.140625" bestFit="1" customWidth="1"/>
    <col min="10" max="10" width="16.85546875" bestFit="1" customWidth="1"/>
    <col min="11" max="11" width="16.85546875" customWidth="1"/>
    <col min="12" max="12" width="5.7109375" bestFit="1" customWidth="1"/>
    <col min="13" max="13" width="54.85546875" bestFit="1" customWidth="1"/>
    <col min="14" max="14" width="10.140625" bestFit="1" customWidth="1"/>
  </cols>
  <sheetData>
    <row r="1" spans="2:14" ht="9.9499999999999993" customHeight="1"/>
    <row r="2" spans="2:14" ht="16.5" thickBot="1">
      <c r="B2" s="1" t="s">
        <v>276</v>
      </c>
      <c r="C2" s="1" t="s">
        <v>277</v>
      </c>
      <c r="D2" s="1" t="s">
        <v>278</v>
      </c>
      <c r="E2" s="1" t="s">
        <v>279</v>
      </c>
      <c r="F2" s="1" t="s">
        <v>280</v>
      </c>
      <c r="G2" s="1" t="s">
        <v>281</v>
      </c>
      <c r="H2" s="1" t="s">
        <v>282</v>
      </c>
      <c r="I2" s="1" t="s">
        <v>283</v>
      </c>
      <c r="J2" s="1" t="s">
        <v>284</v>
      </c>
      <c r="L2" s="57" t="s">
        <v>259</v>
      </c>
      <c r="M2" s="57" t="s">
        <v>374</v>
      </c>
      <c r="N2" s="57" t="s">
        <v>201</v>
      </c>
    </row>
    <row r="3" spans="2:14" ht="15.75">
      <c r="B3" s="4" t="s">
        <v>369</v>
      </c>
      <c r="C3" s="4" t="s">
        <v>307</v>
      </c>
      <c r="D3" s="4">
        <v>26100</v>
      </c>
      <c r="E3" s="4">
        <v>7417</v>
      </c>
      <c r="F3" s="4">
        <v>2106</v>
      </c>
      <c r="G3" s="4">
        <v>1</v>
      </c>
      <c r="H3" s="4">
        <f t="shared" ref="H3:H34" si="0">IF(C3="Tester",5000,IF(C3="Manager",20000,IF(C3="PJM",7500,IF(C3="Lead",15000,IF(C3="DB",5000,IF(C3="Developer",10000,IF(C3="Analyst",15000,IF(C3="Associate",7500,IF(C3="CEO",30000)))))))))</f>
        <v>7500</v>
      </c>
      <c r="I3" s="4" t="s">
        <v>292</v>
      </c>
      <c r="J3" s="4">
        <f t="shared" ref="J3:J34" si="1">D3+E3-F3</f>
        <v>31411</v>
      </c>
      <c r="L3" s="4">
        <v>1</v>
      </c>
      <c r="M3" s="4" t="s">
        <v>375</v>
      </c>
      <c r="N3" s="4">
        <v>32</v>
      </c>
    </row>
    <row r="4" spans="2:14" ht="15.75">
      <c r="B4" s="4" t="s">
        <v>298</v>
      </c>
      <c r="C4" s="4" t="s">
        <v>299</v>
      </c>
      <c r="D4" s="4">
        <v>220800</v>
      </c>
      <c r="E4" s="4">
        <v>149217</v>
      </c>
      <c r="F4" s="4">
        <v>90612</v>
      </c>
      <c r="G4" s="4">
        <v>4</v>
      </c>
      <c r="H4" s="4">
        <f t="shared" si="0"/>
        <v>15000</v>
      </c>
      <c r="I4" s="4" t="s">
        <v>292</v>
      </c>
      <c r="J4" s="4">
        <f t="shared" si="1"/>
        <v>279405</v>
      </c>
      <c r="L4" s="4">
        <v>2</v>
      </c>
      <c r="M4" s="4" t="s">
        <v>377</v>
      </c>
      <c r="N4" s="4">
        <v>330067</v>
      </c>
    </row>
    <row r="5" spans="2:14" ht="15.75">
      <c r="B5" s="4" t="s">
        <v>329</v>
      </c>
      <c r="C5" s="4" t="s">
        <v>302</v>
      </c>
      <c r="D5" s="4">
        <v>150900</v>
      </c>
      <c r="E5" s="4">
        <v>120695</v>
      </c>
      <c r="F5" s="4">
        <v>108629</v>
      </c>
      <c r="G5" s="4">
        <v>1</v>
      </c>
      <c r="H5" s="4">
        <f t="shared" si="0"/>
        <v>5000</v>
      </c>
      <c r="I5" s="4" t="s">
        <v>287</v>
      </c>
      <c r="J5" s="4">
        <f t="shared" si="1"/>
        <v>162966</v>
      </c>
      <c r="L5" s="4">
        <v>3</v>
      </c>
      <c r="M5" s="4" t="s">
        <v>376</v>
      </c>
      <c r="N5" s="4">
        <v>9</v>
      </c>
    </row>
    <row r="6" spans="2:14" ht="15.75">
      <c r="B6" s="4" t="s">
        <v>285</v>
      </c>
      <c r="C6" s="4" t="s">
        <v>286</v>
      </c>
      <c r="D6" s="4">
        <v>247800</v>
      </c>
      <c r="E6" s="4">
        <v>165246</v>
      </c>
      <c r="F6" s="4">
        <v>82979</v>
      </c>
      <c r="G6" s="4">
        <v>5</v>
      </c>
      <c r="H6" s="4">
        <f t="shared" si="0"/>
        <v>20000</v>
      </c>
      <c r="I6" s="4" t="s">
        <v>287</v>
      </c>
      <c r="J6" s="4">
        <f t="shared" si="1"/>
        <v>330067</v>
      </c>
      <c r="L6" s="4">
        <v>4</v>
      </c>
      <c r="M6" s="4" t="s">
        <v>378</v>
      </c>
      <c r="N6" s="4">
        <v>532</v>
      </c>
    </row>
    <row r="7" spans="2:14" ht="15.75">
      <c r="B7" s="4" t="s">
        <v>361</v>
      </c>
      <c r="C7" s="4" t="s">
        <v>302</v>
      </c>
      <c r="D7" s="4">
        <v>50000</v>
      </c>
      <c r="E7" s="4">
        <v>10000</v>
      </c>
      <c r="F7" s="4">
        <v>5000</v>
      </c>
      <c r="G7" s="4">
        <v>2</v>
      </c>
      <c r="H7" s="4">
        <f t="shared" si="0"/>
        <v>5000</v>
      </c>
      <c r="I7" s="4" t="s">
        <v>292</v>
      </c>
      <c r="J7" s="4">
        <f t="shared" si="1"/>
        <v>55000</v>
      </c>
      <c r="L7" s="4">
        <v>5</v>
      </c>
      <c r="M7" s="4" t="s">
        <v>379</v>
      </c>
      <c r="N7" s="4">
        <v>23</v>
      </c>
    </row>
    <row r="8" spans="2:14" ht="15.75">
      <c r="B8" s="4" t="s">
        <v>366</v>
      </c>
      <c r="C8" s="4" t="s">
        <v>295</v>
      </c>
      <c r="D8" s="4">
        <v>36900</v>
      </c>
      <c r="E8" s="4">
        <v>10977</v>
      </c>
      <c r="F8" s="4">
        <v>9111</v>
      </c>
      <c r="G8" s="4">
        <v>3</v>
      </c>
      <c r="H8" s="4">
        <f t="shared" si="0"/>
        <v>7500</v>
      </c>
      <c r="I8" s="4" t="s">
        <v>287</v>
      </c>
      <c r="J8" s="4">
        <f t="shared" si="1"/>
        <v>38766</v>
      </c>
      <c r="L8" s="4">
        <v>6</v>
      </c>
      <c r="M8" s="4" t="s">
        <v>380</v>
      </c>
      <c r="N8" s="4">
        <v>11</v>
      </c>
    </row>
    <row r="9" spans="2:14" ht="15.75">
      <c r="B9" s="4" t="s">
        <v>288</v>
      </c>
      <c r="C9" s="4" t="s">
        <v>289</v>
      </c>
      <c r="D9" s="4">
        <v>192300</v>
      </c>
      <c r="E9" s="4">
        <v>131443</v>
      </c>
      <c r="F9" s="4">
        <v>222</v>
      </c>
      <c r="G9" s="4">
        <v>2</v>
      </c>
      <c r="H9" s="4">
        <f t="shared" si="0"/>
        <v>10000</v>
      </c>
      <c r="I9" s="4" t="s">
        <v>287</v>
      </c>
      <c r="J9" s="4">
        <f t="shared" si="1"/>
        <v>323521</v>
      </c>
      <c r="L9" s="4">
        <v>7</v>
      </c>
      <c r="M9" s="4" t="s">
        <v>381</v>
      </c>
      <c r="N9" s="4">
        <v>7</v>
      </c>
    </row>
    <row r="10" spans="2:14" ht="15.75">
      <c r="B10" s="4" t="s">
        <v>293</v>
      </c>
      <c r="C10" s="4" t="s">
        <v>286</v>
      </c>
      <c r="D10" s="4">
        <v>195900</v>
      </c>
      <c r="E10" s="4">
        <v>143993</v>
      </c>
      <c r="F10" s="4">
        <v>46713</v>
      </c>
      <c r="G10" s="4">
        <v>4</v>
      </c>
      <c r="H10" s="4">
        <f t="shared" si="0"/>
        <v>20000</v>
      </c>
      <c r="I10" s="4" t="s">
        <v>287</v>
      </c>
      <c r="J10" s="4">
        <f t="shared" si="1"/>
        <v>293180</v>
      </c>
      <c r="L10" s="4">
        <v>8</v>
      </c>
      <c r="M10" s="4" t="s">
        <v>382</v>
      </c>
      <c r="N10" s="4">
        <v>61</v>
      </c>
    </row>
    <row r="11" spans="2:14" ht="15.75">
      <c r="B11" s="4" t="s">
        <v>359</v>
      </c>
      <c r="C11" s="4" t="s">
        <v>297</v>
      </c>
      <c r="D11" s="4">
        <v>55200</v>
      </c>
      <c r="E11" s="4">
        <v>17868</v>
      </c>
      <c r="F11" s="4">
        <v>15728</v>
      </c>
      <c r="G11" s="4">
        <v>2</v>
      </c>
      <c r="H11" s="4">
        <f t="shared" si="0"/>
        <v>5000</v>
      </c>
      <c r="I11" s="4" t="s">
        <v>292</v>
      </c>
      <c r="J11" s="4">
        <f t="shared" si="1"/>
        <v>57340</v>
      </c>
      <c r="L11" s="4">
        <v>9</v>
      </c>
      <c r="M11" s="4" t="s">
        <v>383</v>
      </c>
      <c r="N11" s="4">
        <v>7</v>
      </c>
    </row>
    <row r="12" spans="2:14" ht="15.75">
      <c r="B12" s="4" t="s">
        <v>339</v>
      </c>
      <c r="C12" s="4" t="s">
        <v>289</v>
      </c>
      <c r="D12" s="4">
        <v>119400</v>
      </c>
      <c r="E12" s="4">
        <v>17052</v>
      </c>
      <c r="F12" s="4">
        <v>9512</v>
      </c>
      <c r="G12" s="4">
        <v>2</v>
      </c>
      <c r="H12" s="4">
        <f t="shared" si="0"/>
        <v>10000</v>
      </c>
      <c r="I12" s="4" t="s">
        <v>287</v>
      </c>
      <c r="J12" s="4">
        <f t="shared" si="1"/>
        <v>126940</v>
      </c>
      <c r="L12" s="4">
        <v>10</v>
      </c>
      <c r="M12" s="4" t="s">
        <v>384</v>
      </c>
      <c r="N12" s="4">
        <v>31411</v>
      </c>
    </row>
    <row r="13" spans="2:14" ht="15.75">
      <c r="B13" s="4" t="s">
        <v>301</v>
      </c>
      <c r="C13" s="4" t="s">
        <v>302</v>
      </c>
      <c r="D13" s="4">
        <v>244200</v>
      </c>
      <c r="E13" s="4">
        <v>39387</v>
      </c>
      <c r="F13" s="4">
        <v>7279</v>
      </c>
      <c r="G13" s="4">
        <v>2</v>
      </c>
      <c r="H13" s="4">
        <f t="shared" si="0"/>
        <v>5000</v>
      </c>
      <c r="I13" s="4" t="s">
        <v>287</v>
      </c>
      <c r="J13" s="4">
        <f t="shared" si="1"/>
        <v>276308</v>
      </c>
      <c r="L13" s="4">
        <v>11</v>
      </c>
      <c r="M13" s="4" t="s">
        <v>385</v>
      </c>
      <c r="N13" s="4">
        <v>19</v>
      </c>
    </row>
    <row r="14" spans="2:14" ht="15.75">
      <c r="B14" s="4" t="s">
        <v>290</v>
      </c>
      <c r="C14" s="4" t="s">
        <v>291</v>
      </c>
      <c r="D14" s="4">
        <v>236700</v>
      </c>
      <c r="E14" s="4">
        <v>177157</v>
      </c>
      <c r="F14" s="4">
        <v>117611</v>
      </c>
      <c r="G14" s="4">
        <v>2</v>
      </c>
      <c r="H14" s="4">
        <f t="shared" si="0"/>
        <v>15000</v>
      </c>
      <c r="I14" s="4" t="s">
        <v>292</v>
      </c>
      <c r="J14" s="4">
        <f t="shared" si="1"/>
        <v>296246</v>
      </c>
      <c r="L14" s="4">
        <v>12</v>
      </c>
      <c r="M14" s="4" t="s">
        <v>386</v>
      </c>
      <c r="N14" s="4">
        <v>296246</v>
      </c>
    </row>
    <row r="15" spans="2:14" ht="15.75">
      <c r="B15" s="4" t="s">
        <v>303</v>
      </c>
      <c r="C15" s="4" t="s">
        <v>291</v>
      </c>
      <c r="D15" s="4">
        <v>201000</v>
      </c>
      <c r="E15" s="4">
        <v>194215</v>
      </c>
      <c r="F15" s="4">
        <v>125386</v>
      </c>
      <c r="G15" s="4">
        <v>1</v>
      </c>
      <c r="H15" s="4">
        <f t="shared" si="0"/>
        <v>15000</v>
      </c>
      <c r="I15" s="4" t="s">
        <v>287</v>
      </c>
      <c r="J15" s="4">
        <f t="shared" si="1"/>
        <v>269829</v>
      </c>
      <c r="L15" s="4">
        <v>13</v>
      </c>
      <c r="M15" s="4" t="s">
        <v>387</v>
      </c>
      <c r="N15" s="4">
        <v>43</v>
      </c>
    </row>
    <row r="16" spans="2:14" ht="15.75">
      <c r="B16" s="4" t="s">
        <v>323</v>
      </c>
      <c r="C16" s="4" t="s">
        <v>299</v>
      </c>
      <c r="D16" s="4">
        <v>189000</v>
      </c>
      <c r="E16" s="4">
        <v>53015</v>
      </c>
      <c r="F16" s="4">
        <v>51774</v>
      </c>
      <c r="G16" s="4">
        <v>5</v>
      </c>
      <c r="H16" s="4">
        <f t="shared" si="0"/>
        <v>15000</v>
      </c>
      <c r="I16" s="4" t="s">
        <v>292</v>
      </c>
      <c r="J16" s="4">
        <f t="shared" si="1"/>
        <v>190241</v>
      </c>
      <c r="L16" s="4">
        <v>14</v>
      </c>
      <c r="M16" s="4" t="s">
        <v>388</v>
      </c>
      <c r="N16" s="4">
        <v>330067</v>
      </c>
    </row>
    <row r="17" spans="2:14" ht="15.75">
      <c r="B17" s="4" t="s">
        <v>312</v>
      </c>
      <c r="C17" s="4" t="s">
        <v>299</v>
      </c>
      <c r="D17" s="4">
        <v>185400</v>
      </c>
      <c r="E17" s="4">
        <v>100352</v>
      </c>
      <c r="F17" s="4">
        <v>40072</v>
      </c>
      <c r="G17" s="4">
        <v>3</v>
      </c>
      <c r="H17" s="4">
        <f t="shared" si="0"/>
        <v>15000</v>
      </c>
      <c r="I17" s="4" t="s">
        <v>292</v>
      </c>
      <c r="J17" s="4">
        <f t="shared" si="1"/>
        <v>245680</v>
      </c>
      <c r="L17" s="4">
        <v>15</v>
      </c>
      <c r="M17" s="4" t="s">
        <v>389</v>
      </c>
      <c r="N17" s="4">
        <v>25</v>
      </c>
    </row>
    <row r="18" spans="2:14" ht="15.75">
      <c r="B18" s="4" t="s">
        <v>336</v>
      </c>
      <c r="C18" s="4" t="s">
        <v>302</v>
      </c>
      <c r="D18" s="4">
        <v>126000</v>
      </c>
      <c r="E18" s="4">
        <v>13803</v>
      </c>
      <c r="F18" s="4">
        <v>2986</v>
      </c>
      <c r="G18" s="4">
        <v>4</v>
      </c>
      <c r="H18" s="4">
        <f t="shared" si="0"/>
        <v>5000</v>
      </c>
      <c r="I18" s="4" t="s">
        <v>287</v>
      </c>
      <c r="J18" s="4">
        <f t="shared" si="1"/>
        <v>136817</v>
      </c>
    </row>
    <row r="19" spans="2:14" ht="15.75">
      <c r="B19" s="4" t="s">
        <v>311</v>
      </c>
      <c r="C19" s="4" t="s">
        <v>297</v>
      </c>
      <c r="D19" s="4">
        <v>219000</v>
      </c>
      <c r="E19" s="4">
        <v>37955</v>
      </c>
      <c r="F19" s="4">
        <v>8471</v>
      </c>
      <c r="G19" s="4">
        <v>2</v>
      </c>
      <c r="H19" s="4">
        <f t="shared" si="0"/>
        <v>5000</v>
      </c>
      <c r="I19" s="4" t="s">
        <v>287</v>
      </c>
      <c r="J19" s="4">
        <f t="shared" si="1"/>
        <v>248484</v>
      </c>
    </row>
    <row r="20" spans="2:14" ht="15.75">
      <c r="B20" s="4" t="s">
        <v>328</v>
      </c>
      <c r="C20" s="4" t="s">
        <v>297</v>
      </c>
      <c r="D20" s="4">
        <v>166200</v>
      </c>
      <c r="E20" s="4">
        <v>119478</v>
      </c>
      <c r="F20" s="4">
        <v>118048</v>
      </c>
      <c r="G20" s="4">
        <v>3</v>
      </c>
      <c r="H20" s="4">
        <f t="shared" si="0"/>
        <v>5000</v>
      </c>
      <c r="I20" s="4" t="s">
        <v>292</v>
      </c>
      <c r="J20" s="4">
        <f t="shared" si="1"/>
        <v>167630</v>
      </c>
    </row>
    <row r="21" spans="2:14" ht="15.75">
      <c r="B21" s="4" t="s">
        <v>335</v>
      </c>
      <c r="C21" s="4" t="s">
        <v>307</v>
      </c>
      <c r="D21" s="4">
        <v>99300</v>
      </c>
      <c r="E21" s="4">
        <v>90919</v>
      </c>
      <c r="F21" s="4">
        <v>53126</v>
      </c>
      <c r="G21" s="4">
        <v>4</v>
      </c>
      <c r="H21" s="4">
        <f t="shared" si="0"/>
        <v>7500</v>
      </c>
      <c r="I21" s="4" t="s">
        <v>287</v>
      </c>
      <c r="J21" s="4">
        <f t="shared" si="1"/>
        <v>137093</v>
      </c>
    </row>
    <row r="22" spans="2:14" ht="15.75">
      <c r="B22" s="4" t="s">
        <v>331</v>
      </c>
      <c r="C22" s="4" t="s">
        <v>297</v>
      </c>
      <c r="D22" s="4">
        <v>144600</v>
      </c>
      <c r="E22" s="4">
        <v>101720</v>
      </c>
      <c r="F22" s="4">
        <v>84743</v>
      </c>
      <c r="G22" s="4">
        <v>4</v>
      </c>
      <c r="H22" s="4">
        <f t="shared" si="0"/>
        <v>5000</v>
      </c>
      <c r="I22" s="4" t="s">
        <v>287</v>
      </c>
      <c r="J22" s="4">
        <f t="shared" si="1"/>
        <v>161577</v>
      </c>
    </row>
    <row r="23" spans="2:14" ht="15.75">
      <c r="B23" s="4" t="s">
        <v>296</v>
      </c>
      <c r="C23" s="4" t="s">
        <v>297</v>
      </c>
      <c r="D23" s="4">
        <v>190500</v>
      </c>
      <c r="E23" s="4">
        <v>151281</v>
      </c>
      <c r="F23" s="4">
        <v>62324</v>
      </c>
      <c r="G23" s="4">
        <v>2</v>
      </c>
      <c r="H23" s="4">
        <f t="shared" si="0"/>
        <v>5000</v>
      </c>
      <c r="I23" s="4" t="s">
        <v>287</v>
      </c>
      <c r="J23" s="4">
        <f t="shared" si="1"/>
        <v>279457</v>
      </c>
    </row>
    <row r="24" spans="2:14" ht="15.75">
      <c r="B24" s="4" t="s">
        <v>358</v>
      </c>
      <c r="C24" s="4" t="s">
        <v>289</v>
      </c>
      <c r="D24" s="4">
        <v>55500</v>
      </c>
      <c r="E24" s="4">
        <v>10618</v>
      </c>
      <c r="F24" s="4">
        <v>7429</v>
      </c>
      <c r="G24" s="4">
        <v>1</v>
      </c>
      <c r="H24" s="4">
        <f t="shared" si="0"/>
        <v>10000</v>
      </c>
      <c r="I24" s="4" t="s">
        <v>287</v>
      </c>
      <c r="J24" s="4">
        <f t="shared" si="1"/>
        <v>58689</v>
      </c>
    </row>
    <row r="25" spans="2:14" ht="15.75">
      <c r="B25" s="4" t="s">
        <v>348</v>
      </c>
      <c r="C25" s="4" t="s">
        <v>302</v>
      </c>
      <c r="D25" s="4">
        <v>58500</v>
      </c>
      <c r="E25" s="4">
        <v>47732</v>
      </c>
      <c r="F25" s="4">
        <v>23161</v>
      </c>
      <c r="G25" s="4">
        <v>2</v>
      </c>
      <c r="H25" s="4">
        <f t="shared" si="0"/>
        <v>5000</v>
      </c>
      <c r="I25" s="4" t="s">
        <v>292</v>
      </c>
      <c r="J25" s="4">
        <f t="shared" si="1"/>
        <v>83071</v>
      </c>
    </row>
    <row r="26" spans="2:14" ht="15.75">
      <c r="B26" s="4" t="s">
        <v>318</v>
      </c>
      <c r="C26" s="4" t="s">
        <v>297</v>
      </c>
      <c r="D26" s="4">
        <v>163200</v>
      </c>
      <c r="E26" s="4">
        <v>64822</v>
      </c>
      <c r="F26" s="4">
        <v>11066</v>
      </c>
      <c r="G26" s="4">
        <v>3</v>
      </c>
      <c r="H26" s="4">
        <f t="shared" si="0"/>
        <v>5000</v>
      </c>
      <c r="I26" s="4" t="s">
        <v>292</v>
      </c>
      <c r="J26" s="4">
        <f t="shared" si="1"/>
        <v>216956</v>
      </c>
    </row>
    <row r="27" spans="2:14" ht="15.75">
      <c r="B27" s="4" t="s">
        <v>309</v>
      </c>
      <c r="C27" s="4" t="s">
        <v>310</v>
      </c>
      <c r="D27" s="4">
        <v>250000</v>
      </c>
      <c r="E27" s="4">
        <v>50000</v>
      </c>
      <c r="F27" s="4">
        <v>45000</v>
      </c>
      <c r="G27" s="4">
        <v>3</v>
      </c>
      <c r="H27" s="4">
        <f t="shared" si="0"/>
        <v>30000</v>
      </c>
      <c r="I27" s="4" t="s">
        <v>287</v>
      </c>
      <c r="J27" s="4">
        <f t="shared" si="1"/>
        <v>255000</v>
      </c>
    </row>
    <row r="28" spans="2:14" ht="15.75">
      <c r="B28" s="4" t="s">
        <v>325</v>
      </c>
      <c r="C28" s="4" t="s">
        <v>307</v>
      </c>
      <c r="D28" s="4">
        <v>132600</v>
      </c>
      <c r="E28" s="4">
        <v>74377</v>
      </c>
      <c r="F28" s="4">
        <v>19474</v>
      </c>
      <c r="G28" s="4">
        <v>3</v>
      </c>
      <c r="H28" s="4">
        <f t="shared" si="0"/>
        <v>7500</v>
      </c>
      <c r="I28" s="4" t="s">
        <v>292</v>
      </c>
      <c r="J28" s="4">
        <f t="shared" si="1"/>
        <v>187503</v>
      </c>
    </row>
    <row r="29" spans="2:14" ht="15.75">
      <c r="B29" s="4" t="s">
        <v>317</v>
      </c>
      <c r="C29" s="4" t="s">
        <v>291</v>
      </c>
      <c r="D29" s="4">
        <v>204900</v>
      </c>
      <c r="E29" s="4">
        <v>76562</v>
      </c>
      <c r="F29" s="4">
        <v>64409</v>
      </c>
      <c r="G29" s="4">
        <v>2</v>
      </c>
      <c r="H29" s="4">
        <f t="shared" si="0"/>
        <v>15000</v>
      </c>
      <c r="I29" s="4" t="s">
        <v>292</v>
      </c>
      <c r="J29" s="4">
        <f t="shared" si="1"/>
        <v>217053</v>
      </c>
    </row>
    <row r="30" spans="2:14" ht="15.75">
      <c r="B30" s="4" t="s">
        <v>341</v>
      </c>
      <c r="C30" s="4" t="s">
        <v>307</v>
      </c>
      <c r="D30" s="4">
        <v>105600</v>
      </c>
      <c r="E30" s="4">
        <v>19154</v>
      </c>
      <c r="F30" s="4">
        <v>5947</v>
      </c>
      <c r="G30" s="4">
        <v>2</v>
      </c>
      <c r="H30" s="4">
        <f t="shared" si="0"/>
        <v>7500</v>
      </c>
      <c r="I30" s="4" t="s">
        <v>292</v>
      </c>
      <c r="J30" s="4">
        <f t="shared" si="1"/>
        <v>118807</v>
      </c>
    </row>
    <row r="31" spans="2:14" ht="15.75">
      <c r="B31" s="4" t="s">
        <v>330</v>
      </c>
      <c r="C31" s="4" t="s">
        <v>291</v>
      </c>
      <c r="D31" s="4">
        <v>117900</v>
      </c>
      <c r="E31" s="4">
        <v>48118</v>
      </c>
      <c r="F31" s="4">
        <v>4015</v>
      </c>
      <c r="G31" s="4">
        <v>4</v>
      </c>
      <c r="H31" s="4">
        <f t="shared" si="0"/>
        <v>15000</v>
      </c>
      <c r="I31" s="4" t="s">
        <v>292</v>
      </c>
      <c r="J31" s="4">
        <f t="shared" si="1"/>
        <v>162003</v>
      </c>
    </row>
    <row r="32" spans="2:14" ht="15.75">
      <c r="B32" s="4" t="s">
        <v>332</v>
      </c>
      <c r="C32" s="4" t="s">
        <v>291</v>
      </c>
      <c r="D32" s="4">
        <v>140100</v>
      </c>
      <c r="E32" s="4">
        <v>71664</v>
      </c>
      <c r="F32" s="4">
        <v>51252</v>
      </c>
      <c r="G32" s="4">
        <v>5</v>
      </c>
      <c r="H32" s="4">
        <f t="shared" si="0"/>
        <v>15000</v>
      </c>
      <c r="I32" s="4" t="s">
        <v>287</v>
      </c>
      <c r="J32" s="4">
        <f t="shared" si="1"/>
        <v>160512</v>
      </c>
    </row>
    <row r="33" spans="2:10" ht="15.75">
      <c r="B33" s="4" t="s">
        <v>340</v>
      </c>
      <c r="C33" s="4" t="s">
        <v>291</v>
      </c>
      <c r="D33" s="4">
        <v>123300</v>
      </c>
      <c r="E33" s="4">
        <v>7863</v>
      </c>
      <c r="F33" s="4">
        <v>5719</v>
      </c>
      <c r="G33" s="4">
        <v>4</v>
      </c>
      <c r="H33" s="4">
        <f t="shared" si="0"/>
        <v>15000</v>
      </c>
      <c r="I33" s="4" t="s">
        <v>292</v>
      </c>
      <c r="J33" s="4">
        <f t="shared" si="1"/>
        <v>125444</v>
      </c>
    </row>
    <row r="34" spans="2:10" ht="15.75">
      <c r="B34" s="4" t="s">
        <v>304</v>
      </c>
      <c r="C34" s="4" t="s">
        <v>286</v>
      </c>
      <c r="D34" s="4">
        <v>191400</v>
      </c>
      <c r="E34" s="4">
        <v>113378</v>
      </c>
      <c r="F34" s="4">
        <v>35047</v>
      </c>
      <c r="G34" s="4">
        <v>3</v>
      </c>
      <c r="H34" s="4">
        <f t="shared" si="0"/>
        <v>20000</v>
      </c>
      <c r="I34" s="4" t="s">
        <v>292</v>
      </c>
      <c r="J34" s="4">
        <f t="shared" si="1"/>
        <v>269731</v>
      </c>
    </row>
    <row r="35" spans="2:10" ht="15.75">
      <c r="B35" s="4" t="s">
        <v>342</v>
      </c>
      <c r="C35" s="4" t="s">
        <v>291</v>
      </c>
      <c r="D35" s="4">
        <v>71400</v>
      </c>
      <c r="E35" s="4">
        <v>57605</v>
      </c>
      <c r="F35" s="4">
        <v>12375</v>
      </c>
      <c r="G35" s="4">
        <v>4</v>
      </c>
      <c r="H35" s="4">
        <f t="shared" ref="H35:H66" si="2">IF(C35="Tester",5000,IF(C35="Manager",20000,IF(C35="PJM",7500,IF(C35="Lead",15000,IF(C35="DB",5000,IF(C35="Developer",10000,IF(C35="Analyst",15000,IF(C35="Associate",7500,IF(C35="CEO",30000)))))))))</f>
        <v>15000</v>
      </c>
      <c r="I35" s="4" t="s">
        <v>287</v>
      </c>
      <c r="J35" s="4">
        <f t="shared" ref="J35:J66" si="3">D35+E35-F35</f>
        <v>116630</v>
      </c>
    </row>
    <row r="36" spans="2:10" ht="15.75">
      <c r="B36" s="4" t="s">
        <v>320</v>
      </c>
      <c r="C36" s="4" t="s">
        <v>307</v>
      </c>
      <c r="D36" s="4">
        <v>123900</v>
      </c>
      <c r="E36" s="4">
        <v>102042</v>
      </c>
      <c r="F36" s="4">
        <v>23420</v>
      </c>
      <c r="G36" s="4">
        <v>2</v>
      </c>
      <c r="H36" s="4">
        <f t="shared" si="2"/>
        <v>7500</v>
      </c>
      <c r="I36" s="4" t="s">
        <v>287</v>
      </c>
      <c r="J36" s="4">
        <f t="shared" si="3"/>
        <v>202522</v>
      </c>
    </row>
    <row r="37" spans="2:10" ht="15.75">
      <c r="B37" s="4" t="s">
        <v>349</v>
      </c>
      <c r="C37" s="4" t="s">
        <v>291</v>
      </c>
      <c r="D37" s="4">
        <v>57600</v>
      </c>
      <c r="E37" s="4">
        <v>41628</v>
      </c>
      <c r="F37" s="4">
        <v>17514</v>
      </c>
      <c r="G37" s="4">
        <v>5</v>
      </c>
      <c r="H37" s="4">
        <f t="shared" si="2"/>
        <v>15000</v>
      </c>
      <c r="I37" s="4" t="s">
        <v>287</v>
      </c>
      <c r="J37" s="4">
        <f t="shared" si="3"/>
        <v>81714</v>
      </c>
    </row>
    <row r="38" spans="2:10" ht="15.75">
      <c r="B38" s="4" t="s">
        <v>294</v>
      </c>
      <c r="C38" s="4" t="s">
        <v>295</v>
      </c>
      <c r="D38" s="4">
        <v>201000</v>
      </c>
      <c r="E38" s="4">
        <v>138693</v>
      </c>
      <c r="F38" s="4">
        <v>60174</v>
      </c>
      <c r="G38" s="4">
        <v>4</v>
      </c>
      <c r="H38" s="4">
        <f t="shared" si="2"/>
        <v>7500</v>
      </c>
      <c r="I38" s="4" t="s">
        <v>287</v>
      </c>
      <c r="J38" s="4">
        <f t="shared" si="3"/>
        <v>279519</v>
      </c>
    </row>
    <row r="39" spans="2:10" ht="15.75">
      <c r="B39" s="4" t="s">
        <v>338</v>
      </c>
      <c r="C39" s="4" t="s">
        <v>302</v>
      </c>
      <c r="D39" s="4">
        <v>116100</v>
      </c>
      <c r="E39" s="4">
        <v>20868</v>
      </c>
      <c r="F39" s="4">
        <v>3607</v>
      </c>
      <c r="G39" s="4">
        <v>3</v>
      </c>
      <c r="H39" s="4">
        <f t="shared" si="2"/>
        <v>5000</v>
      </c>
      <c r="I39" s="4" t="s">
        <v>292</v>
      </c>
      <c r="J39" s="4">
        <f t="shared" si="3"/>
        <v>133361</v>
      </c>
    </row>
    <row r="40" spans="2:10" ht="15.75">
      <c r="B40" s="4" t="s">
        <v>346</v>
      </c>
      <c r="C40" s="4" t="s">
        <v>302</v>
      </c>
      <c r="D40" s="4">
        <v>87000</v>
      </c>
      <c r="E40" s="4">
        <v>23471</v>
      </c>
      <c r="F40" s="4">
        <v>17234</v>
      </c>
      <c r="G40" s="4">
        <v>5</v>
      </c>
      <c r="H40" s="4">
        <f t="shared" si="2"/>
        <v>5000</v>
      </c>
      <c r="I40" s="4" t="s">
        <v>292</v>
      </c>
      <c r="J40" s="4">
        <f t="shared" si="3"/>
        <v>93237</v>
      </c>
    </row>
    <row r="41" spans="2:10" ht="15.75">
      <c r="B41" s="4" t="s">
        <v>363</v>
      </c>
      <c r="C41" s="4" t="s">
        <v>299</v>
      </c>
      <c r="D41" s="4">
        <v>39600</v>
      </c>
      <c r="E41" s="4">
        <v>13300</v>
      </c>
      <c r="F41" s="4">
        <v>3988</v>
      </c>
      <c r="G41" s="4">
        <v>4</v>
      </c>
      <c r="H41" s="4">
        <f t="shared" si="2"/>
        <v>15000</v>
      </c>
      <c r="I41" s="4" t="s">
        <v>287</v>
      </c>
      <c r="J41" s="4">
        <f t="shared" si="3"/>
        <v>48912</v>
      </c>
    </row>
    <row r="42" spans="2:10" ht="15.75">
      <c r="B42" s="4" t="s">
        <v>315</v>
      </c>
      <c r="C42" s="4" t="s">
        <v>286</v>
      </c>
      <c r="D42" s="4">
        <v>226500</v>
      </c>
      <c r="E42" s="4">
        <v>49437</v>
      </c>
      <c r="F42" s="4">
        <v>47173</v>
      </c>
      <c r="G42" s="4">
        <v>3</v>
      </c>
      <c r="H42" s="4">
        <f t="shared" si="2"/>
        <v>20000</v>
      </c>
      <c r="I42" s="4" t="s">
        <v>287</v>
      </c>
      <c r="J42" s="4">
        <f t="shared" si="3"/>
        <v>228764</v>
      </c>
    </row>
    <row r="43" spans="2:10" ht="15.75">
      <c r="B43" s="4" t="s">
        <v>362</v>
      </c>
      <c r="C43" s="4" t="s">
        <v>297</v>
      </c>
      <c r="D43" s="4">
        <v>48000</v>
      </c>
      <c r="E43" s="4">
        <v>38039</v>
      </c>
      <c r="F43" s="4">
        <v>32073</v>
      </c>
      <c r="G43" s="4">
        <v>2</v>
      </c>
      <c r="H43" s="4">
        <f t="shared" si="2"/>
        <v>5000</v>
      </c>
      <c r="I43" s="4" t="s">
        <v>287</v>
      </c>
      <c r="J43" s="4">
        <f t="shared" si="3"/>
        <v>53966</v>
      </c>
    </row>
    <row r="44" spans="2:10" ht="15.75">
      <c r="B44" s="4" t="s">
        <v>321</v>
      </c>
      <c r="C44" s="4" t="s">
        <v>286</v>
      </c>
      <c r="D44" s="4">
        <v>175800</v>
      </c>
      <c r="E44" s="4">
        <v>93318</v>
      </c>
      <c r="F44" s="4">
        <v>68046</v>
      </c>
      <c r="G44" s="4">
        <v>3</v>
      </c>
      <c r="H44" s="4">
        <f t="shared" si="2"/>
        <v>20000</v>
      </c>
      <c r="I44" s="4" t="s">
        <v>287</v>
      </c>
      <c r="J44" s="4">
        <f t="shared" si="3"/>
        <v>201072</v>
      </c>
    </row>
    <row r="45" spans="2:10" ht="15.75">
      <c r="B45" s="4" t="s">
        <v>334</v>
      </c>
      <c r="C45" s="4" t="s">
        <v>297</v>
      </c>
      <c r="D45" s="4">
        <v>81300</v>
      </c>
      <c r="E45" s="4">
        <v>77121</v>
      </c>
      <c r="F45" s="4">
        <v>19225</v>
      </c>
      <c r="G45" s="4">
        <v>5</v>
      </c>
      <c r="H45" s="4">
        <f t="shared" si="2"/>
        <v>5000</v>
      </c>
      <c r="I45" s="4" t="s">
        <v>292</v>
      </c>
      <c r="J45" s="4">
        <f t="shared" si="3"/>
        <v>139196</v>
      </c>
    </row>
    <row r="46" spans="2:10" ht="15.75">
      <c r="B46" s="4" t="s">
        <v>347</v>
      </c>
      <c r="C46" s="4" t="s">
        <v>302</v>
      </c>
      <c r="D46" s="4">
        <v>72300</v>
      </c>
      <c r="E46" s="4">
        <v>42346</v>
      </c>
      <c r="F46" s="4">
        <v>26975</v>
      </c>
      <c r="G46" s="4">
        <v>3</v>
      </c>
      <c r="H46" s="4">
        <f t="shared" si="2"/>
        <v>5000</v>
      </c>
      <c r="I46" s="4" t="s">
        <v>292</v>
      </c>
      <c r="J46" s="4">
        <f t="shared" si="3"/>
        <v>87671</v>
      </c>
    </row>
    <row r="47" spans="2:10" ht="15.75">
      <c r="B47" s="4" t="s">
        <v>326</v>
      </c>
      <c r="C47" s="4" t="s">
        <v>302</v>
      </c>
      <c r="D47" s="4">
        <v>158400</v>
      </c>
      <c r="E47" s="4">
        <v>114099</v>
      </c>
      <c r="F47" s="4">
        <v>87490</v>
      </c>
      <c r="G47" s="4">
        <v>1</v>
      </c>
      <c r="H47" s="4">
        <f t="shared" si="2"/>
        <v>5000</v>
      </c>
      <c r="I47" s="4" t="s">
        <v>292</v>
      </c>
      <c r="J47" s="4">
        <f t="shared" si="3"/>
        <v>185009</v>
      </c>
    </row>
    <row r="48" spans="2:10" ht="15.75">
      <c r="B48" s="4" t="s">
        <v>322</v>
      </c>
      <c r="C48" s="4" t="s">
        <v>286</v>
      </c>
      <c r="D48" s="4">
        <v>151200</v>
      </c>
      <c r="E48" s="4">
        <v>103984</v>
      </c>
      <c r="F48" s="4">
        <v>58807</v>
      </c>
      <c r="G48" s="4">
        <v>3</v>
      </c>
      <c r="H48" s="4">
        <f t="shared" si="2"/>
        <v>20000</v>
      </c>
      <c r="I48" s="4" t="s">
        <v>287</v>
      </c>
      <c r="J48" s="4">
        <f t="shared" si="3"/>
        <v>196377</v>
      </c>
    </row>
    <row r="49" spans="2:10" ht="15.75">
      <c r="B49" s="4" t="s">
        <v>345</v>
      </c>
      <c r="C49" s="4" t="s">
        <v>299</v>
      </c>
      <c r="D49" s="4">
        <v>72300</v>
      </c>
      <c r="E49" s="4">
        <v>54637</v>
      </c>
      <c r="F49" s="4">
        <v>30090</v>
      </c>
      <c r="G49" s="4">
        <v>5</v>
      </c>
      <c r="H49" s="4">
        <f t="shared" si="2"/>
        <v>15000</v>
      </c>
      <c r="I49" s="4" t="s">
        <v>292</v>
      </c>
      <c r="J49" s="4">
        <f t="shared" si="3"/>
        <v>96847</v>
      </c>
    </row>
    <row r="50" spans="2:10" ht="15.75">
      <c r="B50" s="4" t="s">
        <v>352</v>
      </c>
      <c r="C50" s="4" t="s">
        <v>307</v>
      </c>
      <c r="D50" s="4">
        <v>66900</v>
      </c>
      <c r="E50" s="4">
        <v>24383</v>
      </c>
      <c r="F50" s="4">
        <v>15999</v>
      </c>
      <c r="G50" s="4">
        <v>3</v>
      </c>
      <c r="H50" s="4">
        <f t="shared" si="2"/>
        <v>7500</v>
      </c>
      <c r="I50" s="4" t="s">
        <v>292</v>
      </c>
      <c r="J50" s="4">
        <f t="shared" si="3"/>
        <v>75284</v>
      </c>
    </row>
    <row r="51" spans="2:10" ht="15.75">
      <c r="B51" s="4" t="s">
        <v>333</v>
      </c>
      <c r="C51" s="4" t="s">
        <v>286</v>
      </c>
      <c r="D51" s="4">
        <v>140700</v>
      </c>
      <c r="E51" s="4">
        <v>16595</v>
      </c>
      <c r="F51" s="4">
        <v>9420</v>
      </c>
      <c r="G51" s="4">
        <v>2</v>
      </c>
      <c r="H51" s="4">
        <f t="shared" si="2"/>
        <v>20000</v>
      </c>
      <c r="I51" s="4" t="s">
        <v>287</v>
      </c>
      <c r="J51" s="4">
        <f t="shared" si="3"/>
        <v>147875</v>
      </c>
    </row>
    <row r="52" spans="2:10" ht="15.75">
      <c r="B52" s="4" t="s">
        <v>367</v>
      </c>
      <c r="C52" s="4" t="s">
        <v>307</v>
      </c>
      <c r="D52" s="4">
        <v>23400</v>
      </c>
      <c r="E52" s="4">
        <v>20330</v>
      </c>
      <c r="F52" s="4">
        <v>5543</v>
      </c>
      <c r="G52" s="4">
        <v>2</v>
      </c>
      <c r="H52" s="4">
        <f t="shared" si="2"/>
        <v>7500</v>
      </c>
      <c r="I52" s="4" t="s">
        <v>287</v>
      </c>
      <c r="J52" s="4">
        <f t="shared" si="3"/>
        <v>38187</v>
      </c>
    </row>
    <row r="53" spans="2:10" ht="15.75">
      <c r="B53" s="4" t="s">
        <v>355</v>
      </c>
      <c r="C53" s="4" t="s">
        <v>291</v>
      </c>
      <c r="D53" s="4">
        <v>53700</v>
      </c>
      <c r="E53" s="4">
        <v>48851</v>
      </c>
      <c r="F53" s="4">
        <v>36576</v>
      </c>
      <c r="G53" s="4">
        <v>2</v>
      </c>
      <c r="H53" s="4">
        <f t="shared" si="2"/>
        <v>15000</v>
      </c>
      <c r="I53" s="4" t="s">
        <v>292</v>
      </c>
      <c r="J53" s="4">
        <f t="shared" si="3"/>
        <v>65975</v>
      </c>
    </row>
    <row r="54" spans="2:10" ht="15.75">
      <c r="B54" s="4" t="s">
        <v>351</v>
      </c>
      <c r="C54" s="4" t="s">
        <v>286</v>
      </c>
      <c r="D54" s="4">
        <v>66300</v>
      </c>
      <c r="E54" s="4">
        <v>12424</v>
      </c>
      <c r="F54" s="4">
        <v>3346</v>
      </c>
      <c r="G54" s="4">
        <v>4</v>
      </c>
      <c r="H54" s="4">
        <f t="shared" si="2"/>
        <v>20000</v>
      </c>
      <c r="I54" s="4" t="s">
        <v>287</v>
      </c>
      <c r="J54" s="4">
        <f t="shared" si="3"/>
        <v>75378</v>
      </c>
    </row>
    <row r="55" spans="2:10" ht="15.75">
      <c r="B55" s="4" t="s">
        <v>371</v>
      </c>
      <c r="C55" s="4" t="s">
        <v>297</v>
      </c>
      <c r="D55" s="4">
        <v>16200</v>
      </c>
      <c r="E55" s="4">
        <v>12647</v>
      </c>
      <c r="F55" s="4">
        <v>6344</v>
      </c>
      <c r="G55" s="4">
        <v>3</v>
      </c>
      <c r="H55" s="4">
        <f t="shared" si="2"/>
        <v>5000</v>
      </c>
      <c r="I55" s="4" t="s">
        <v>287</v>
      </c>
      <c r="J55" s="4">
        <f t="shared" si="3"/>
        <v>22503</v>
      </c>
    </row>
    <row r="56" spans="2:10" ht="15.75">
      <c r="B56" s="4" t="s">
        <v>314</v>
      </c>
      <c r="C56" s="4" t="s">
        <v>297</v>
      </c>
      <c r="D56" s="4">
        <v>211200</v>
      </c>
      <c r="E56" s="4">
        <v>24756</v>
      </c>
      <c r="F56" s="4">
        <v>2800</v>
      </c>
      <c r="G56" s="4">
        <v>2</v>
      </c>
      <c r="H56" s="4">
        <f t="shared" si="2"/>
        <v>5000</v>
      </c>
      <c r="I56" s="4" t="s">
        <v>292</v>
      </c>
      <c r="J56" s="4">
        <f t="shared" si="3"/>
        <v>233156</v>
      </c>
    </row>
    <row r="57" spans="2:10" ht="15.75">
      <c r="B57" s="4" t="s">
        <v>353</v>
      </c>
      <c r="C57" s="4" t="s">
        <v>286</v>
      </c>
      <c r="D57" s="4">
        <v>54600</v>
      </c>
      <c r="E57" s="4">
        <v>23785</v>
      </c>
      <c r="F57" s="4">
        <v>3417</v>
      </c>
      <c r="G57" s="4">
        <v>4</v>
      </c>
      <c r="H57" s="4">
        <f t="shared" si="2"/>
        <v>20000</v>
      </c>
      <c r="I57" s="4" t="s">
        <v>292</v>
      </c>
      <c r="J57" s="4">
        <f t="shared" si="3"/>
        <v>74968</v>
      </c>
    </row>
    <row r="58" spans="2:10" ht="15.75">
      <c r="B58" s="4" t="s">
        <v>360</v>
      </c>
      <c r="C58" s="4" t="s">
        <v>302</v>
      </c>
      <c r="D58" s="4">
        <v>37500</v>
      </c>
      <c r="E58" s="4">
        <v>35685</v>
      </c>
      <c r="F58" s="4">
        <v>16914</v>
      </c>
      <c r="G58" s="4">
        <v>2</v>
      </c>
      <c r="H58" s="4">
        <f t="shared" si="2"/>
        <v>5000</v>
      </c>
      <c r="I58" s="4" t="s">
        <v>287</v>
      </c>
      <c r="J58" s="4">
        <f t="shared" si="3"/>
        <v>56271</v>
      </c>
    </row>
    <row r="59" spans="2:10" ht="15.75">
      <c r="B59" s="4" t="s">
        <v>373</v>
      </c>
      <c r="C59" s="4" t="s">
        <v>307</v>
      </c>
      <c r="D59" s="4">
        <v>12300</v>
      </c>
      <c r="E59" s="4">
        <v>9558</v>
      </c>
      <c r="F59" s="4">
        <v>3754</v>
      </c>
      <c r="G59" s="4">
        <v>1</v>
      </c>
      <c r="H59" s="4">
        <f t="shared" si="2"/>
        <v>7500</v>
      </c>
      <c r="I59" s="4" t="s">
        <v>287</v>
      </c>
      <c r="J59" s="4">
        <f t="shared" si="3"/>
        <v>18104</v>
      </c>
    </row>
    <row r="60" spans="2:10" ht="15.75">
      <c r="B60" s="4" t="s">
        <v>350</v>
      </c>
      <c r="C60" s="4" t="s">
        <v>289</v>
      </c>
      <c r="D60" s="4">
        <v>57000</v>
      </c>
      <c r="E60" s="4">
        <v>35431</v>
      </c>
      <c r="F60" s="4">
        <v>15755</v>
      </c>
      <c r="G60" s="4">
        <v>3</v>
      </c>
      <c r="H60" s="4">
        <f t="shared" si="2"/>
        <v>10000</v>
      </c>
      <c r="I60" s="4" t="s">
        <v>287</v>
      </c>
      <c r="J60" s="4">
        <f t="shared" si="3"/>
        <v>76676</v>
      </c>
    </row>
    <row r="61" spans="2:10" ht="15.75">
      <c r="B61" s="4" t="s">
        <v>313</v>
      </c>
      <c r="C61" s="4" t="s">
        <v>302</v>
      </c>
      <c r="D61" s="4">
        <v>183300</v>
      </c>
      <c r="E61" s="4">
        <v>67378</v>
      </c>
      <c r="F61" s="4">
        <v>16929</v>
      </c>
      <c r="G61" s="4">
        <v>3</v>
      </c>
      <c r="H61" s="4">
        <f t="shared" si="2"/>
        <v>5000</v>
      </c>
      <c r="I61" s="4" t="s">
        <v>287</v>
      </c>
      <c r="J61" s="4">
        <f t="shared" si="3"/>
        <v>233749</v>
      </c>
    </row>
    <row r="62" spans="2:10" ht="15.75">
      <c r="B62" s="4" t="s">
        <v>354</v>
      </c>
      <c r="C62" s="4" t="s">
        <v>286</v>
      </c>
      <c r="D62" s="4">
        <v>59100</v>
      </c>
      <c r="E62" s="4">
        <v>41616</v>
      </c>
      <c r="F62" s="4">
        <v>28324</v>
      </c>
      <c r="G62" s="4">
        <v>4</v>
      </c>
      <c r="H62" s="4">
        <f t="shared" si="2"/>
        <v>20000</v>
      </c>
      <c r="I62" s="4" t="s">
        <v>292</v>
      </c>
      <c r="J62" s="4">
        <f t="shared" si="3"/>
        <v>72392</v>
      </c>
    </row>
    <row r="63" spans="2:10" ht="15.75">
      <c r="B63" s="4" t="s">
        <v>319</v>
      </c>
      <c r="C63" s="4" t="s">
        <v>302</v>
      </c>
      <c r="D63" s="4">
        <v>161100</v>
      </c>
      <c r="E63" s="4">
        <v>88942</v>
      </c>
      <c r="F63" s="4">
        <v>46579</v>
      </c>
      <c r="G63" s="4">
        <v>3</v>
      </c>
      <c r="H63" s="4">
        <f t="shared" si="2"/>
        <v>5000</v>
      </c>
      <c r="I63" s="4" t="s">
        <v>287</v>
      </c>
      <c r="J63" s="4">
        <f t="shared" si="3"/>
        <v>203463</v>
      </c>
    </row>
    <row r="64" spans="2:10" ht="15.75">
      <c r="B64" s="4" t="s">
        <v>370</v>
      </c>
      <c r="C64" s="4" t="s">
        <v>299</v>
      </c>
      <c r="D64" s="4">
        <v>20100</v>
      </c>
      <c r="E64" s="4">
        <v>14768</v>
      </c>
      <c r="F64" s="4">
        <v>5459</v>
      </c>
      <c r="G64" s="4">
        <v>5</v>
      </c>
      <c r="H64" s="4">
        <f t="shared" si="2"/>
        <v>15000</v>
      </c>
      <c r="I64" s="4" t="s">
        <v>287</v>
      </c>
      <c r="J64" s="4">
        <f t="shared" si="3"/>
        <v>29409</v>
      </c>
    </row>
    <row r="65" spans="2:10" ht="15.75">
      <c r="B65" s="4" t="s">
        <v>308</v>
      </c>
      <c r="C65" s="4" t="s">
        <v>302</v>
      </c>
      <c r="D65" s="4">
        <v>204000</v>
      </c>
      <c r="E65" s="4">
        <v>80954</v>
      </c>
      <c r="F65" s="4">
        <v>27455</v>
      </c>
      <c r="G65" s="4">
        <v>2</v>
      </c>
      <c r="H65" s="4">
        <f t="shared" si="2"/>
        <v>5000</v>
      </c>
      <c r="I65" s="4" t="s">
        <v>292</v>
      </c>
      <c r="J65" s="4">
        <f t="shared" si="3"/>
        <v>257499</v>
      </c>
    </row>
    <row r="66" spans="2:10" ht="15.75">
      <c r="B66" s="4" t="s">
        <v>306</v>
      </c>
      <c r="C66" s="4" t="s">
        <v>307</v>
      </c>
      <c r="D66" s="4">
        <v>204600</v>
      </c>
      <c r="E66" s="4">
        <v>75039</v>
      </c>
      <c r="F66" s="4">
        <v>14813</v>
      </c>
      <c r="G66" s="4">
        <v>2</v>
      </c>
      <c r="H66" s="4">
        <f t="shared" si="2"/>
        <v>7500</v>
      </c>
      <c r="I66" s="4" t="s">
        <v>292</v>
      </c>
      <c r="J66" s="4">
        <f t="shared" si="3"/>
        <v>264826</v>
      </c>
    </row>
    <row r="67" spans="2:10" ht="15.75">
      <c r="B67" s="4" t="s">
        <v>356</v>
      </c>
      <c r="C67" s="4" t="s">
        <v>307</v>
      </c>
      <c r="D67" s="4">
        <v>53400</v>
      </c>
      <c r="E67" s="4">
        <v>14002</v>
      </c>
      <c r="F67" s="4">
        <v>1992</v>
      </c>
      <c r="G67" s="4">
        <v>3</v>
      </c>
      <c r="H67" s="4">
        <f t="shared" ref="H67:H80" si="4">IF(C67="Tester",5000,IF(C67="Manager",20000,IF(C67="PJM",7500,IF(C67="Lead",15000,IF(C67="DB",5000,IF(C67="Developer",10000,IF(C67="Analyst",15000,IF(C67="Associate",7500,IF(C67="CEO",30000)))))))))</f>
        <v>7500</v>
      </c>
      <c r="I67" s="4" t="s">
        <v>287</v>
      </c>
      <c r="J67" s="4">
        <f t="shared" ref="J67:J80" si="5">D67+E67-F67</f>
        <v>65410</v>
      </c>
    </row>
    <row r="68" spans="2:10" ht="15.75">
      <c r="B68" s="4" t="s">
        <v>365</v>
      </c>
      <c r="C68" s="4" t="s">
        <v>307</v>
      </c>
      <c r="D68" s="4">
        <v>37500</v>
      </c>
      <c r="E68" s="4">
        <v>19686</v>
      </c>
      <c r="F68" s="4">
        <v>18282</v>
      </c>
      <c r="G68" s="4">
        <v>4</v>
      </c>
      <c r="H68" s="4">
        <f t="shared" si="4"/>
        <v>7500</v>
      </c>
      <c r="I68" s="4" t="s">
        <v>292</v>
      </c>
      <c r="J68" s="4">
        <f t="shared" si="5"/>
        <v>38904</v>
      </c>
    </row>
    <row r="69" spans="2:10" ht="15.75">
      <c r="B69" s="4" t="s">
        <v>316</v>
      </c>
      <c r="C69" s="4" t="s">
        <v>299</v>
      </c>
      <c r="D69" s="4">
        <v>164700</v>
      </c>
      <c r="E69" s="4">
        <v>87185</v>
      </c>
      <c r="F69" s="4">
        <v>28540</v>
      </c>
      <c r="G69" s="4">
        <v>5</v>
      </c>
      <c r="H69" s="4">
        <f t="shared" si="4"/>
        <v>15000</v>
      </c>
      <c r="I69" s="4" t="s">
        <v>287</v>
      </c>
      <c r="J69" s="4">
        <f t="shared" si="5"/>
        <v>223345</v>
      </c>
    </row>
    <row r="70" spans="2:10" ht="15.75">
      <c r="B70" s="4" t="s">
        <v>337</v>
      </c>
      <c r="C70" s="4" t="s">
        <v>289</v>
      </c>
      <c r="D70" s="4">
        <v>130200</v>
      </c>
      <c r="E70" s="4">
        <v>68763</v>
      </c>
      <c r="F70" s="4">
        <v>62693</v>
      </c>
      <c r="G70" s="4">
        <v>2</v>
      </c>
      <c r="H70" s="4">
        <f t="shared" si="4"/>
        <v>10000</v>
      </c>
      <c r="I70" s="4" t="s">
        <v>287</v>
      </c>
      <c r="J70" s="4">
        <f t="shared" si="5"/>
        <v>136270</v>
      </c>
    </row>
    <row r="71" spans="2:10" ht="15.75">
      <c r="B71" s="4" t="s">
        <v>372</v>
      </c>
      <c r="C71" s="4" t="s">
        <v>286</v>
      </c>
      <c r="D71" s="4">
        <v>20000</v>
      </c>
      <c r="E71" s="4">
        <v>4000</v>
      </c>
      <c r="F71" s="4">
        <v>2000</v>
      </c>
      <c r="G71" s="4">
        <v>2</v>
      </c>
      <c r="H71" s="4">
        <f t="shared" si="4"/>
        <v>20000</v>
      </c>
      <c r="I71" s="4" t="s">
        <v>287</v>
      </c>
      <c r="J71" s="4">
        <f t="shared" si="5"/>
        <v>22000</v>
      </c>
    </row>
    <row r="72" spans="2:10" ht="15.75">
      <c r="B72" s="4" t="s">
        <v>344</v>
      </c>
      <c r="C72" s="4" t="s">
        <v>289</v>
      </c>
      <c r="D72" s="4">
        <v>87600</v>
      </c>
      <c r="E72" s="4">
        <v>16030</v>
      </c>
      <c r="F72" s="4">
        <v>4202</v>
      </c>
      <c r="G72" s="4">
        <v>3</v>
      </c>
      <c r="H72" s="4">
        <f t="shared" si="4"/>
        <v>10000</v>
      </c>
      <c r="I72" s="4" t="s">
        <v>287</v>
      </c>
      <c r="J72" s="4">
        <f t="shared" si="5"/>
        <v>99428</v>
      </c>
    </row>
    <row r="73" spans="2:10" ht="15.75">
      <c r="B73" s="4" t="s">
        <v>364</v>
      </c>
      <c r="C73" s="4" t="s">
        <v>289</v>
      </c>
      <c r="D73" s="4">
        <v>29100</v>
      </c>
      <c r="E73" s="4">
        <v>18130</v>
      </c>
      <c r="F73" s="4">
        <v>5774</v>
      </c>
      <c r="G73" s="4">
        <v>3</v>
      </c>
      <c r="H73" s="4">
        <f t="shared" si="4"/>
        <v>10000</v>
      </c>
      <c r="I73" s="4" t="s">
        <v>287</v>
      </c>
      <c r="J73" s="4">
        <f t="shared" si="5"/>
        <v>41456</v>
      </c>
    </row>
    <row r="74" spans="2:10" ht="15.75">
      <c r="B74" s="4" t="s">
        <v>343</v>
      </c>
      <c r="C74" s="4" t="s">
        <v>295</v>
      </c>
      <c r="D74" s="4">
        <v>98700</v>
      </c>
      <c r="E74" s="4">
        <v>43618</v>
      </c>
      <c r="F74" s="4">
        <v>41290</v>
      </c>
      <c r="G74" s="4">
        <v>3</v>
      </c>
      <c r="H74" s="4">
        <f t="shared" si="4"/>
        <v>7500</v>
      </c>
      <c r="I74" s="4" t="s">
        <v>287</v>
      </c>
      <c r="J74" s="4">
        <f t="shared" si="5"/>
        <v>101028</v>
      </c>
    </row>
    <row r="75" spans="2:10" ht="15.75">
      <c r="B75" s="4" t="s">
        <v>305</v>
      </c>
      <c r="C75" s="4" t="s">
        <v>302</v>
      </c>
      <c r="D75" s="4">
        <v>240600</v>
      </c>
      <c r="E75" s="4">
        <v>174829</v>
      </c>
      <c r="F75" s="4">
        <v>146026</v>
      </c>
      <c r="G75" s="4">
        <v>3</v>
      </c>
      <c r="H75" s="4">
        <f t="shared" si="4"/>
        <v>5000</v>
      </c>
      <c r="I75" s="4" t="s">
        <v>287</v>
      </c>
      <c r="J75" s="4">
        <f t="shared" si="5"/>
        <v>269403</v>
      </c>
    </row>
    <row r="76" spans="2:10" ht="15.75">
      <c r="B76" s="4" t="s">
        <v>300</v>
      </c>
      <c r="C76" s="4" t="s">
        <v>295</v>
      </c>
      <c r="D76" s="4">
        <v>186600</v>
      </c>
      <c r="E76" s="4">
        <v>90252</v>
      </c>
      <c r="F76" s="4">
        <v>322</v>
      </c>
      <c r="G76" s="4">
        <v>1</v>
      </c>
      <c r="H76" s="4">
        <f t="shared" si="4"/>
        <v>7500</v>
      </c>
      <c r="I76" s="4" t="s">
        <v>292</v>
      </c>
      <c r="J76" s="4">
        <f t="shared" si="5"/>
        <v>276530</v>
      </c>
    </row>
    <row r="77" spans="2:10" ht="15.75">
      <c r="B77" s="4" t="s">
        <v>324</v>
      </c>
      <c r="C77" s="4" t="s">
        <v>299</v>
      </c>
      <c r="D77" s="4">
        <v>130200</v>
      </c>
      <c r="E77" s="4">
        <v>114728</v>
      </c>
      <c r="F77" s="4">
        <v>57262</v>
      </c>
      <c r="G77" s="4">
        <v>2</v>
      </c>
      <c r="H77" s="4">
        <f t="shared" si="4"/>
        <v>15000</v>
      </c>
      <c r="I77" s="4" t="s">
        <v>287</v>
      </c>
      <c r="J77" s="4">
        <f t="shared" si="5"/>
        <v>187666</v>
      </c>
    </row>
    <row r="78" spans="2:10" ht="15.75">
      <c r="B78" s="4" t="s">
        <v>368</v>
      </c>
      <c r="C78" s="4" t="s">
        <v>302</v>
      </c>
      <c r="D78" s="4">
        <v>35400</v>
      </c>
      <c r="E78" s="4">
        <v>532</v>
      </c>
      <c r="F78" s="4">
        <v>293</v>
      </c>
      <c r="G78" s="4">
        <v>4</v>
      </c>
      <c r="H78" s="4">
        <f t="shared" si="4"/>
        <v>5000</v>
      </c>
      <c r="I78" s="4" t="s">
        <v>292</v>
      </c>
      <c r="J78" s="4">
        <f t="shared" si="5"/>
        <v>35639</v>
      </c>
    </row>
    <row r="79" spans="2:10" ht="15.75">
      <c r="B79" s="4" t="s">
        <v>327</v>
      </c>
      <c r="C79" s="4" t="s">
        <v>299</v>
      </c>
      <c r="D79" s="4">
        <v>169800</v>
      </c>
      <c r="E79" s="4">
        <v>37372</v>
      </c>
      <c r="F79" s="4">
        <v>36283</v>
      </c>
      <c r="G79" s="4">
        <v>4</v>
      </c>
      <c r="H79" s="4">
        <f t="shared" si="4"/>
        <v>15000</v>
      </c>
      <c r="I79" s="4" t="s">
        <v>287</v>
      </c>
      <c r="J79" s="4">
        <f t="shared" si="5"/>
        <v>170889</v>
      </c>
    </row>
    <row r="80" spans="2:10" ht="15.75">
      <c r="B80" s="4" t="s">
        <v>357</v>
      </c>
      <c r="C80" s="4" t="s">
        <v>291</v>
      </c>
      <c r="D80" s="4">
        <v>57300</v>
      </c>
      <c r="E80" s="4">
        <v>6558</v>
      </c>
      <c r="F80" s="4">
        <v>185</v>
      </c>
      <c r="G80" s="4">
        <v>3</v>
      </c>
      <c r="H80" s="4">
        <f t="shared" si="4"/>
        <v>15000</v>
      </c>
      <c r="I80" s="4" t="s">
        <v>287</v>
      </c>
      <c r="J80" s="4">
        <f t="shared" si="5"/>
        <v>63673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04CC4-6394-4035-B3F0-EE076182E1C8}">
  <dimension ref="B1:E14"/>
  <sheetViews>
    <sheetView workbookViewId="0">
      <selection activeCell="L14" sqref="L14"/>
    </sheetView>
  </sheetViews>
  <sheetFormatPr defaultRowHeight="15"/>
  <cols>
    <col min="1" max="1" width="1.7109375" customWidth="1"/>
    <col min="2" max="2" width="19.28515625" bestFit="1" customWidth="1"/>
    <col min="3" max="4" width="16.28515625" bestFit="1" customWidth="1"/>
    <col min="5" max="5" width="11.28515625" bestFit="1" customWidth="1"/>
  </cols>
  <sheetData>
    <row r="1" spans="2:5" ht="9.9499999999999993" customHeight="1"/>
    <row r="2" spans="2:5">
      <c r="B2" s="49" t="s">
        <v>395</v>
      </c>
    </row>
    <row r="3" spans="2:5">
      <c r="B3" s="58" t="s">
        <v>394</v>
      </c>
      <c r="C3" s="58" t="s">
        <v>392</v>
      </c>
    </row>
    <row r="4" spans="2:5">
      <c r="B4" s="58" t="s">
        <v>390</v>
      </c>
      <c r="C4" t="s">
        <v>287</v>
      </c>
      <c r="D4" t="s">
        <v>292</v>
      </c>
      <c r="E4" t="s">
        <v>391</v>
      </c>
    </row>
    <row r="5" spans="2:5">
      <c r="B5" s="28" t="s">
        <v>291</v>
      </c>
      <c r="C5">
        <v>5</v>
      </c>
      <c r="D5">
        <v>5</v>
      </c>
      <c r="E5">
        <v>10</v>
      </c>
    </row>
    <row r="6" spans="2:5">
      <c r="B6" s="28" t="s">
        <v>295</v>
      </c>
      <c r="C6">
        <v>3</v>
      </c>
      <c r="D6">
        <v>1</v>
      </c>
      <c r="E6">
        <v>4</v>
      </c>
    </row>
    <row r="7" spans="2:5">
      <c r="B7" s="28" t="s">
        <v>310</v>
      </c>
      <c r="C7">
        <v>1</v>
      </c>
      <c r="E7">
        <v>1</v>
      </c>
    </row>
    <row r="8" spans="2:5">
      <c r="B8" s="28" t="s">
        <v>297</v>
      </c>
      <c r="C8">
        <v>5</v>
      </c>
      <c r="D8">
        <v>5</v>
      </c>
      <c r="E8">
        <v>10</v>
      </c>
    </row>
    <row r="9" spans="2:5">
      <c r="B9" s="28" t="s">
        <v>289</v>
      </c>
      <c r="C9">
        <v>7</v>
      </c>
      <c r="E9">
        <v>7</v>
      </c>
    </row>
    <row r="10" spans="2:5">
      <c r="B10" s="28" t="s">
        <v>299</v>
      </c>
      <c r="C10">
        <v>5</v>
      </c>
      <c r="D10">
        <v>4</v>
      </c>
      <c r="E10">
        <v>9</v>
      </c>
    </row>
    <row r="11" spans="2:5">
      <c r="B11" s="28" t="s">
        <v>286</v>
      </c>
      <c r="C11">
        <v>8</v>
      </c>
      <c r="D11">
        <v>3</v>
      </c>
      <c r="E11">
        <v>11</v>
      </c>
    </row>
    <row r="12" spans="2:5">
      <c r="B12" s="28" t="s">
        <v>307</v>
      </c>
      <c r="C12">
        <v>5</v>
      </c>
      <c r="D12">
        <v>6</v>
      </c>
      <c r="E12">
        <v>11</v>
      </c>
    </row>
    <row r="13" spans="2:5">
      <c r="B13" s="28" t="s">
        <v>302</v>
      </c>
      <c r="C13">
        <v>7</v>
      </c>
      <c r="D13">
        <v>8</v>
      </c>
      <c r="E13">
        <v>15</v>
      </c>
    </row>
    <row r="14" spans="2:5">
      <c r="B14" s="28" t="s">
        <v>391</v>
      </c>
      <c r="C14">
        <v>46</v>
      </c>
      <c r="D14">
        <v>32</v>
      </c>
      <c r="E14">
        <v>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B6797-BA4C-4683-937F-60A79417403C}">
  <dimension ref="B1:C13"/>
  <sheetViews>
    <sheetView workbookViewId="0">
      <selection activeCell="I13" sqref="I13"/>
    </sheetView>
  </sheetViews>
  <sheetFormatPr defaultRowHeight="15"/>
  <cols>
    <col min="1" max="1" width="1.7109375" customWidth="1"/>
    <col min="2" max="2" width="13.140625" bestFit="1" customWidth="1"/>
    <col min="3" max="3" width="17.85546875" bestFit="1" customWidth="1"/>
    <col min="4" max="4" width="9.42578125" bestFit="1" customWidth="1"/>
    <col min="5" max="5" width="7" bestFit="1" customWidth="1"/>
    <col min="6" max="6" width="8" bestFit="1" customWidth="1"/>
    <col min="7" max="7" width="10.28515625" bestFit="1" customWidth="1"/>
    <col min="8" max="8" width="8" bestFit="1" customWidth="1"/>
    <col min="9" max="9" width="8.85546875" bestFit="1" customWidth="1"/>
    <col min="10" max="11" width="8" bestFit="1" customWidth="1"/>
    <col min="12" max="12" width="11.28515625" bestFit="1" customWidth="1"/>
  </cols>
  <sheetData>
    <row r="1" spans="2:3" ht="9.9499999999999993" customHeight="1"/>
    <row r="2" spans="2:3">
      <c r="B2" s="49" t="s">
        <v>396</v>
      </c>
    </row>
    <row r="3" spans="2:3">
      <c r="B3" s="58" t="s">
        <v>390</v>
      </c>
      <c r="C3" t="s">
        <v>393</v>
      </c>
    </row>
    <row r="4" spans="2:3">
      <c r="B4" s="28" t="s">
        <v>291</v>
      </c>
      <c r="C4">
        <v>1559079</v>
      </c>
    </row>
    <row r="5" spans="2:3">
      <c r="B5" s="28" t="s">
        <v>295</v>
      </c>
      <c r="C5">
        <v>695843</v>
      </c>
    </row>
    <row r="6" spans="2:3">
      <c r="B6" s="28" t="s">
        <v>310</v>
      </c>
      <c r="C6">
        <v>255000</v>
      </c>
    </row>
    <row r="7" spans="2:3">
      <c r="B7" s="28" t="s">
        <v>297</v>
      </c>
      <c r="C7">
        <v>1580265</v>
      </c>
    </row>
    <row r="8" spans="2:3">
      <c r="B8" s="28" t="s">
        <v>289</v>
      </c>
      <c r="C8">
        <v>862980</v>
      </c>
    </row>
    <row r="9" spans="2:3">
      <c r="B9" s="28" t="s">
        <v>299</v>
      </c>
      <c r="C9">
        <v>1472394</v>
      </c>
    </row>
    <row r="10" spans="2:3">
      <c r="B10" s="28" t="s">
        <v>286</v>
      </c>
      <c r="C10">
        <v>1911804</v>
      </c>
    </row>
    <row r="11" spans="2:3">
      <c r="B11" s="28" t="s">
        <v>307</v>
      </c>
      <c r="C11">
        <v>1178051</v>
      </c>
    </row>
    <row r="12" spans="2:3">
      <c r="B12" s="28" t="s">
        <v>302</v>
      </c>
      <c r="C12">
        <v>2269464</v>
      </c>
    </row>
    <row r="13" spans="2:3">
      <c r="B13" s="28" t="s">
        <v>391</v>
      </c>
      <c r="C13">
        <v>11784880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4F0B8-E7F0-496A-9AF2-A02D1D0C7189}">
  <dimension ref="B1:C6"/>
  <sheetViews>
    <sheetView zoomScaleNormal="100" workbookViewId="0">
      <selection activeCell="L8" sqref="L8"/>
    </sheetView>
  </sheetViews>
  <sheetFormatPr defaultRowHeight="15"/>
  <cols>
    <col min="1" max="1" width="1.7109375" customWidth="1"/>
    <col min="2" max="2" width="16.140625" bestFit="1" customWidth="1"/>
    <col min="3" max="3" width="21.5703125" bestFit="1" customWidth="1"/>
  </cols>
  <sheetData>
    <row r="1" spans="2:3" ht="9.9499999999999993" customHeight="1"/>
    <row r="2" spans="2:3">
      <c r="B2" s="49" t="s">
        <v>397</v>
      </c>
    </row>
    <row r="3" spans="2:3">
      <c r="B3" s="58" t="s">
        <v>390</v>
      </c>
      <c r="C3" t="s">
        <v>398</v>
      </c>
    </row>
    <row r="4" spans="2:3">
      <c r="B4" s="28" t="s">
        <v>287</v>
      </c>
      <c r="C4">
        <v>121910.86956521739</v>
      </c>
    </row>
    <row r="5" spans="2:3">
      <c r="B5" s="28" t="s">
        <v>292</v>
      </c>
      <c r="C5">
        <v>122743.75</v>
      </c>
    </row>
    <row r="6" spans="2:3">
      <c r="B6" s="28" t="s">
        <v>391</v>
      </c>
      <c r="C6">
        <v>122252.56410256411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29365-1933-47FD-ADD4-F0C221084D08}">
  <dimension ref="B1:C9"/>
  <sheetViews>
    <sheetView workbookViewId="0">
      <selection activeCell="K12" sqref="K12"/>
    </sheetView>
  </sheetViews>
  <sheetFormatPr defaultRowHeight="15"/>
  <cols>
    <col min="1" max="1" width="1.7109375" customWidth="1"/>
    <col min="2" max="2" width="13.140625" bestFit="1" customWidth="1"/>
    <col min="3" max="3" width="30.85546875" bestFit="1" customWidth="1"/>
  </cols>
  <sheetData>
    <row r="1" spans="2:3" ht="9.9499999999999993" customHeight="1"/>
    <row r="2" spans="2:3">
      <c r="B2" s="49" t="s">
        <v>399</v>
      </c>
    </row>
    <row r="3" spans="2:3">
      <c r="B3" s="58" t="s">
        <v>390</v>
      </c>
      <c r="C3" t="s">
        <v>400</v>
      </c>
    </row>
    <row r="4" spans="2:3">
      <c r="B4" s="28">
        <v>1</v>
      </c>
      <c r="C4">
        <v>57500</v>
      </c>
    </row>
    <row r="5" spans="2:3">
      <c r="B5" s="28">
        <v>2</v>
      </c>
      <c r="C5">
        <v>210000</v>
      </c>
    </row>
    <row r="6" spans="2:3">
      <c r="B6" s="28">
        <v>3</v>
      </c>
      <c r="C6">
        <v>247500</v>
      </c>
    </row>
    <row r="7" spans="2:3">
      <c r="B7" s="28">
        <v>4</v>
      </c>
      <c r="C7">
        <v>207500</v>
      </c>
    </row>
    <row r="8" spans="2:3">
      <c r="B8" s="28">
        <v>5</v>
      </c>
      <c r="C8">
        <v>120000</v>
      </c>
    </row>
    <row r="9" spans="2:3">
      <c r="B9" s="28" t="s">
        <v>391</v>
      </c>
      <c r="C9">
        <v>842500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AAC0-0C69-42ED-B726-75E33AAC2704}">
  <dimension ref="B1:S665"/>
  <sheetViews>
    <sheetView zoomScale="73" workbookViewId="0">
      <selection activeCell="B2" sqref="B2:G2"/>
    </sheetView>
  </sheetViews>
  <sheetFormatPr defaultRowHeight="15"/>
  <cols>
    <col min="1" max="1" width="1.7109375" customWidth="1"/>
    <col min="2" max="2" width="15.7109375" customWidth="1"/>
    <col min="3" max="3" width="11.85546875" bestFit="1" customWidth="1"/>
    <col min="4" max="4" width="13.85546875" bestFit="1" customWidth="1"/>
    <col min="5" max="5" width="11.140625" bestFit="1" customWidth="1"/>
    <col min="6" max="6" width="20.85546875" bestFit="1" customWidth="1"/>
    <col min="7" max="7" width="14.42578125" bestFit="1" customWidth="1"/>
    <col min="8" max="8" width="17" bestFit="1" customWidth="1"/>
    <col min="9" max="9" width="22" bestFit="1" customWidth="1"/>
    <col min="10" max="10" width="16.5703125" bestFit="1" customWidth="1"/>
    <col min="11" max="11" width="18.7109375" bestFit="1" customWidth="1"/>
    <col min="12" max="13" width="15.5703125" bestFit="1" customWidth="1"/>
    <col min="14" max="14" width="13.28515625" bestFit="1" customWidth="1"/>
    <col min="15" max="15" width="10.5703125" bestFit="1" customWidth="1"/>
    <col min="16" max="16" width="10.5703125" customWidth="1"/>
    <col min="18" max="18" width="17" bestFit="1" customWidth="1"/>
    <col min="19" max="19" width="22.28515625" bestFit="1" customWidth="1"/>
  </cols>
  <sheetData>
    <row r="1" spans="2:19" ht="9.9499999999999993" customHeight="1"/>
    <row r="2" spans="2:19" ht="45" customHeight="1">
      <c r="B2" s="93" t="s">
        <v>1111</v>
      </c>
      <c r="C2" s="93"/>
      <c r="D2" s="93"/>
      <c r="E2" s="93"/>
      <c r="F2" s="93"/>
      <c r="G2" s="93"/>
    </row>
    <row r="3" spans="2:19" ht="16.5" thickBot="1">
      <c r="B3" s="60" t="s">
        <v>401</v>
      </c>
      <c r="C3" s="59" t="s">
        <v>402</v>
      </c>
      <c r="D3" s="63" t="s">
        <v>403</v>
      </c>
      <c r="E3" s="64" t="s">
        <v>404</v>
      </c>
      <c r="F3" s="63" t="s">
        <v>405</v>
      </c>
      <c r="G3" s="64" t="s">
        <v>406</v>
      </c>
      <c r="H3" s="63" t="s">
        <v>4</v>
      </c>
      <c r="I3" s="64" t="s">
        <v>407</v>
      </c>
      <c r="J3" s="63" t="s">
        <v>408</v>
      </c>
      <c r="K3" s="64" t="s">
        <v>409</v>
      </c>
      <c r="L3" s="63" t="s">
        <v>5</v>
      </c>
      <c r="M3" s="64" t="s">
        <v>410</v>
      </c>
      <c r="N3" s="63" t="s">
        <v>411</v>
      </c>
      <c r="O3" s="64" t="s">
        <v>412</v>
      </c>
      <c r="R3" s="20" t="s">
        <v>1112</v>
      </c>
      <c r="S3" s="20"/>
    </row>
    <row r="4" spans="2:19" ht="16.5" thickBot="1">
      <c r="B4" s="61" t="s">
        <v>413</v>
      </c>
      <c r="C4" s="75">
        <v>43586</v>
      </c>
      <c r="D4" s="61" t="s">
        <v>175</v>
      </c>
      <c r="E4" s="61" t="s">
        <v>134</v>
      </c>
      <c r="F4" s="61" t="s">
        <v>414</v>
      </c>
      <c r="G4" s="61" t="s">
        <v>415</v>
      </c>
      <c r="H4" s="61" t="s">
        <v>416</v>
      </c>
      <c r="I4" s="61" t="str">
        <f t="shared" ref="I4:I67" si="0">VLOOKUP(H4,$R$5:$S$32,2,FALSE)</f>
        <v>Health and beauty</v>
      </c>
      <c r="J4" s="61">
        <v>74.69</v>
      </c>
      <c r="K4" s="61">
        <v>78.424499999999995</v>
      </c>
      <c r="L4" s="61">
        <v>7</v>
      </c>
      <c r="M4" s="61" t="s">
        <v>417</v>
      </c>
      <c r="N4" s="61">
        <v>9.1</v>
      </c>
      <c r="O4" s="61">
        <f>(CATEGORIZATION!$K4-CATEGORIZATION!$J4)</f>
        <v>3.734499999999997</v>
      </c>
      <c r="R4" s="20" t="s">
        <v>4</v>
      </c>
      <c r="S4" s="20" t="s">
        <v>407</v>
      </c>
    </row>
    <row r="5" spans="2:19" ht="15.75">
      <c r="B5" s="13" t="s">
        <v>418</v>
      </c>
      <c r="C5" s="76">
        <v>43680</v>
      </c>
      <c r="D5" s="13" t="s">
        <v>419</v>
      </c>
      <c r="E5" s="13" t="s">
        <v>131</v>
      </c>
      <c r="F5" s="13" t="s">
        <v>420</v>
      </c>
      <c r="G5" s="13" t="s">
        <v>415</v>
      </c>
      <c r="H5" s="13" t="s">
        <v>421</v>
      </c>
      <c r="I5" s="13" t="str">
        <f t="shared" si="0"/>
        <v>Electronic accessories</v>
      </c>
      <c r="J5" s="13">
        <v>15.28</v>
      </c>
      <c r="K5" s="13">
        <v>16.044</v>
      </c>
      <c r="L5" s="13">
        <v>5</v>
      </c>
      <c r="M5" s="13" t="s">
        <v>422</v>
      </c>
      <c r="N5" s="13">
        <v>9.6</v>
      </c>
      <c r="O5" s="13">
        <f>(CATEGORIZATION!$K5-CATEGORIZATION!$J5)</f>
        <v>0.76400000000000112</v>
      </c>
      <c r="R5" s="5" t="s">
        <v>426</v>
      </c>
      <c r="S5" s="5" t="s">
        <v>1113</v>
      </c>
    </row>
    <row r="6" spans="2:19" ht="15.75">
      <c r="B6" s="13" t="s">
        <v>423</v>
      </c>
      <c r="C6" s="76">
        <v>43492</v>
      </c>
      <c r="D6" s="13" t="s">
        <v>175</v>
      </c>
      <c r="E6" s="13" t="s">
        <v>134</v>
      </c>
      <c r="F6" s="13" t="s">
        <v>414</v>
      </c>
      <c r="G6" s="13" t="s">
        <v>415</v>
      </c>
      <c r="H6" s="13" t="s">
        <v>424</v>
      </c>
      <c r="I6" s="13" t="str">
        <f t="shared" si="0"/>
        <v>Health and beauty</v>
      </c>
      <c r="J6" s="13">
        <v>58.22</v>
      </c>
      <c r="K6" s="13">
        <v>61.131</v>
      </c>
      <c r="L6" s="13">
        <v>8</v>
      </c>
      <c r="M6" s="13" t="s">
        <v>417</v>
      </c>
      <c r="N6" s="13">
        <v>8.4</v>
      </c>
      <c r="O6" s="13">
        <f>(CATEGORIZATION!$K6-CATEGORIZATION!$J6)</f>
        <v>2.9110000000000014</v>
      </c>
      <c r="R6" s="4" t="s">
        <v>467</v>
      </c>
      <c r="S6" s="4" t="s">
        <v>1114</v>
      </c>
    </row>
    <row r="7" spans="2:19" ht="15.75">
      <c r="B7" s="13" t="s">
        <v>425</v>
      </c>
      <c r="C7" s="76">
        <v>43679</v>
      </c>
      <c r="D7" s="13" t="s">
        <v>175</v>
      </c>
      <c r="E7" s="13" t="s">
        <v>134</v>
      </c>
      <c r="F7" s="13" t="s">
        <v>420</v>
      </c>
      <c r="G7" s="13" t="s">
        <v>415</v>
      </c>
      <c r="H7" s="13" t="s">
        <v>426</v>
      </c>
      <c r="I7" s="13" t="str">
        <f t="shared" si="0"/>
        <v>Sports</v>
      </c>
      <c r="J7" s="13">
        <v>86.31</v>
      </c>
      <c r="K7" s="13">
        <v>90.625500000000002</v>
      </c>
      <c r="L7" s="13">
        <v>7</v>
      </c>
      <c r="M7" s="13" t="s">
        <v>417</v>
      </c>
      <c r="N7" s="13">
        <v>5.3</v>
      </c>
      <c r="O7" s="13">
        <f>(CATEGORIZATION!$K7-CATEGORIZATION!$J7)</f>
        <v>4.3155000000000001</v>
      </c>
      <c r="R7" s="4" t="s">
        <v>442</v>
      </c>
      <c r="S7" s="4" t="s">
        <v>1115</v>
      </c>
    </row>
    <row r="8" spans="2:19" ht="15.75">
      <c r="B8" s="13" t="s">
        <v>427</v>
      </c>
      <c r="C8" s="76">
        <v>43549</v>
      </c>
      <c r="D8" s="13" t="s">
        <v>419</v>
      </c>
      <c r="E8" s="13" t="s">
        <v>131</v>
      </c>
      <c r="F8" s="13" t="s">
        <v>420</v>
      </c>
      <c r="G8" s="13" t="s">
        <v>415</v>
      </c>
      <c r="H8" s="13" t="s">
        <v>428</v>
      </c>
      <c r="I8" s="13" t="s">
        <v>186</v>
      </c>
      <c r="J8" s="13">
        <v>85.39</v>
      </c>
      <c r="K8" s="13">
        <v>89.659499999999994</v>
      </c>
      <c r="L8" s="13">
        <v>7</v>
      </c>
      <c r="M8" s="13" t="s">
        <v>417</v>
      </c>
      <c r="N8" s="13">
        <v>4.0999999999999996</v>
      </c>
      <c r="O8" s="13">
        <f>(CATEGORIZATION!$K8-CATEGORIZATION!$J8)</f>
        <v>4.2694999999999936</v>
      </c>
      <c r="R8" s="4" t="s">
        <v>440</v>
      </c>
      <c r="S8" s="4" t="s">
        <v>1114</v>
      </c>
    </row>
    <row r="9" spans="2:19" ht="15.75">
      <c r="B9" s="13" t="s">
        <v>429</v>
      </c>
      <c r="C9" s="76">
        <v>43521</v>
      </c>
      <c r="D9" s="13" t="s">
        <v>175</v>
      </c>
      <c r="E9" s="13" t="s">
        <v>134</v>
      </c>
      <c r="F9" s="13" t="s">
        <v>414</v>
      </c>
      <c r="G9" s="13" t="s">
        <v>415</v>
      </c>
      <c r="H9" s="13" t="s">
        <v>430</v>
      </c>
      <c r="I9" s="13" t="str">
        <f t="shared" si="0"/>
        <v>Electronic accessories</v>
      </c>
      <c r="J9" s="13">
        <v>68.84</v>
      </c>
      <c r="K9" s="13">
        <v>72.281999999999996</v>
      </c>
      <c r="L9" s="13">
        <v>6</v>
      </c>
      <c r="M9" s="13" t="s">
        <v>417</v>
      </c>
      <c r="N9" s="13">
        <v>5.8</v>
      </c>
      <c r="O9" s="13">
        <f>(CATEGORIZATION!$K9-CATEGORIZATION!$J9)</f>
        <v>3.4419999999999931</v>
      </c>
      <c r="R9" s="4" t="s">
        <v>428</v>
      </c>
      <c r="S9" s="4" t="s">
        <v>1116</v>
      </c>
    </row>
    <row r="10" spans="2:19" ht="15.75">
      <c r="B10" s="13" t="s">
        <v>431</v>
      </c>
      <c r="C10" s="76">
        <v>43739</v>
      </c>
      <c r="D10" s="13" t="s">
        <v>175</v>
      </c>
      <c r="E10" s="13" t="s">
        <v>134</v>
      </c>
      <c r="F10" s="13" t="s">
        <v>414</v>
      </c>
      <c r="G10" s="13" t="s">
        <v>415</v>
      </c>
      <c r="H10" s="13" t="s">
        <v>432</v>
      </c>
      <c r="I10" s="13" t="str">
        <f t="shared" si="0"/>
        <v>Health and beauty</v>
      </c>
      <c r="J10" s="13">
        <v>36.26</v>
      </c>
      <c r="K10" s="13">
        <v>38.073</v>
      </c>
      <c r="L10" s="13">
        <v>2</v>
      </c>
      <c r="M10" s="13" t="s">
        <v>433</v>
      </c>
      <c r="N10" s="13">
        <v>7.2</v>
      </c>
      <c r="O10" s="13">
        <f>(CATEGORIZATION!$K10-CATEGORIZATION!$J10)</f>
        <v>1.8130000000000024</v>
      </c>
      <c r="R10" s="4" t="s">
        <v>457</v>
      </c>
      <c r="S10" s="4" t="s">
        <v>1114</v>
      </c>
    </row>
    <row r="11" spans="2:19" ht="15.75">
      <c r="B11" s="13" t="s">
        <v>434</v>
      </c>
      <c r="C11" s="76">
        <v>43516</v>
      </c>
      <c r="D11" s="13" t="s">
        <v>266</v>
      </c>
      <c r="E11" s="13" t="s">
        <v>135</v>
      </c>
      <c r="F11" s="13" t="s">
        <v>414</v>
      </c>
      <c r="G11" s="13" t="s">
        <v>415</v>
      </c>
      <c r="H11" s="13" t="s">
        <v>435</v>
      </c>
      <c r="I11" s="13" t="str">
        <f t="shared" si="0"/>
        <v>Food and beverages</v>
      </c>
      <c r="J11" s="13">
        <v>54.84</v>
      </c>
      <c r="K11" s="13">
        <v>57.582000000000001</v>
      </c>
      <c r="L11" s="13">
        <v>3</v>
      </c>
      <c r="M11" s="13" t="s">
        <v>433</v>
      </c>
      <c r="N11" s="13">
        <v>5.9</v>
      </c>
      <c r="O11" s="13">
        <f>(CATEGORIZATION!$K11-CATEGORIZATION!$J11)</f>
        <v>2.7419999999999973</v>
      </c>
      <c r="R11" s="4" t="s">
        <v>465</v>
      </c>
      <c r="S11" s="4" t="s">
        <v>1115</v>
      </c>
    </row>
    <row r="12" spans="2:19" ht="15.75">
      <c r="B12" s="13" t="s">
        <v>436</v>
      </c>
      <c r="C12" s="76">
        <v>43711</v>
      </c>
      <c r="D12" s="13" t="s">
        <v>266</v>
      </c>
      <c r="E12" s="13" t="s">
        <v>135</v>
      </c>
      <c r="F12" s="13" t="s">
        <v>414</v>
      </c>
      <c r="G12" s="13" t="s">
        <v>415</v>
      </c>
      <c r="H12" s="13" t="s">
        <v>437</v>
      </c>
      <c r="I12" s="13" t="str">
        <f t="shared" si="0"/>
        <v>Electronic accessories</v>
      </c>
      <c r="J12" s="13">
        <v>25.51</v>
      </c>
      <c r="K12" s="13">
        <v>26.785499999999999</v>
      </c>
      <c r="L12" s="13">
        <v>4</v>
      </c>
      <c r="M12" s="13" t="s">
        <v>422</v>
      </c>
      <c r="N12" s="13">
        <v>6.8</v>
      </c>
      <c r="O12" s="13">
        <f>(CATEGORIZATION!$K12-CATEGORIZATION!$J12)</f>
        <v>1.2754999999999974</v>
      </c>
      <c r="R12" s="4" t="s">
        <v>430</v>
      </c>
      <c r="S12" s="4" t="s">
        <v>1116</v>
      </c>
    </row>
    <row r="13" spans="2:19" ht="15.75">
      <c r="B13" s="13" t="s">
        <v>438</v>
      </c>
      <c r="C13" s="76">
        <v>43801</v>
      </c>
      <c r="D13" s="13" t="s">
        <v>175</v>
      </c>
      <c r="E13" s="13" t="s">
        <v>134</v>
      </c>
      <c r="F13" s="13" t="s">
        <v>420</v>
      </c>
      <c r="G13" s="13" t="s">
        <v>415</v>
      </c>
      <c r="H13" s="13" t="s">
        <v>437</v>
      </c>
      <c r="I13" s="13" t="str">
        <f t="shared" si="0"/>
        <v>Electronic accessories</v>
      </c>
      <c r="J13" s="13">
        <v>46.95</v>
      </c>
      <c r="K13" s="13">
        <v>49.297499999999999</v>
      </c>
      <c r="L13" s="13">
        <v>5</v>
      </c>
      <c r="M13" s="13" t="s">
        <v>417</v>
      </c>
      <c r="N13" s="13">
        <v>7.1</v>
      </c>
      <c r="O13" s="13">
        <f>(CATEGORIZATION!$K13-CATEGORIZATION!$J13)</f>
        <v>2.3474999999999966</v>
      </c>
      <c r="R13" s="4" t="s">
        <v>476</v>
      </c>
      <c r="S13" s="4" t="s">
        <v>1114</v>
      </c>
    </row>
    <row r="14" spans="2:19" ht="15.75">
      <c r="B14" s="13" t="s">
        <v>439</v>
      </c>
      <c r="C14" s="76">
        <v>43648</v>
      </c>
      <c r="D14" s="13" t="s">
        <v>175</v>
      </c>
      <c r="E14" s="13" t="s">
        <v>134</v>
      </c>
      <c r="F14" s="13" t="s">
        <v>420</v>
      </c>
      <c r="G14" s="13" t="s">
        <v>415</v>
      </c>
      <c r="H14" s="13" t="s">
        <v>440</v>
      </c>
      <c r="I14" s="13" t="str">
        <f t="shared" si="0"/>
        <v>Food and beverages</v>
      </c>
      <c r="J14" s="13">
        <v>43.19</v>
      </c>
      <c r="K14" s="13">
        <v>45.349499999999999</v>
      </c>
      <c r="L14" s="13">
        <v>10</v>
      </c>
      <c r="M14" s="13" t="s">
        <v>417</v>
      </c>
      <c r="N14" s="13">
        <v>8.1999999999999993</v>
      </c>
      <c r="O14" s="13">
        <f>(CATEGORIZATION!$K14-CATEGORIZATION!$J14)</f>
        <v>2.1595000000000013</v>
      </c>
      <c r="R14" s="4" t="s">
        <v>459</v>
      </c>
      <c r="S14" s="4" t="s">
        <v>1115</v>
      </c>
    </row>
    <row r="15" spans="2:19" ht="15.75">
      <c r="B15" s="13" t="s">
        <v>441</v>
      </c>
      <c r="C15" s="76">
        <v>43553</v>
      </c>
      <c r="D15" s="13" t="s">
        <v>175</v>
      </c>
      <c r="E15" s="13" t="s">
        <v>134</v>
      </c>
      <c r="F15" s="13" t="s">
        <v>420</v>
      </c>
      <c r="G15" s="13" t="s">
        <v>415</v>
      </c>
      <c r="H15" s="13" t="s">
        <v>442</v>
      </c>
      <c r="I15" s="13" t="str">
        <f t="shared" si="0"/>
        <v>Health and beauty</v>
      </c>
      <c r="J15" s="13">
        <v>71.38</v>
      </c>
      <c r="K15" s="13">
        <v>74.948999999999998</v>
      </c>
      <c r="L15" s="13">
        <v>10</v>
      </c>
      <c r="M15" s="13" t="s">
        <v>422</v>
      </c>
      <c r="N15" s="13">
        <v>5.7</v>
      </c>
      <c r="O15" s="13">
        <f>(CATEGORIZATION!$K15-CATEGORIZATION!$J15)</f>
        <v>3.5690000000000026</v>
      </c>
      <c r="R15" s="4" t="s">
        <v>444</v>
      </c>
      <c r="S15" s="4" t="s">
        <v>1113</v>
      </c>
    </row>
    <row r="16" spans="2:19" ht="15.75">
      <c r="B16" s="13" t="s">
        <v>443</v>
      </c>
      <c r="C16" s="76">
        <v>43480</v>
      </c>
      <c r="D16" s="13" t="s">
        <v>266</v>
      </c>
      <c r="E16" s="13" t="s">
        <v>135</v>
      </c>
      <c r="F16" s="13" t="s">
        <v>414</v>
      </c>
      <c r="G16" s="13" t="s">
        <v>415</v>
      </c>
      <c r="H16" s="13" t="s">
        <v>444</v>
      </c>
      <c r="I16" s="13" t="str">
        <f t="shared" si="0"/>
        <v>Sports</v>
      </c>
      <c r="J16" s="13">
        <v>93.72</v>
      </c>
      <c r="K16" s="13">
        <v>98.406000000000006</v>
      </c>
      <c r="L16" s="13">
        <v>6</v>
      </c>
      <c r="M16" s="13" t="s">
        <v>422</v>
      </c>
      <c r="N16" s="13">
        <v>4.5</v>
      </c>
      <c r="O16" s="13">
        <f>(CATEGORIZATION!$K16-CATEGORIZATION!$J16)</f>
        <v>4.686000000000007</v>
      </c>
      <c r="R16" s="4" t="s">
        <v>448</v>
      </c>
      <c r="S16" s="4" t="s">
        <v>1113</v>
      </c>
    </row>
    <row r="17" spans="2:19" ht="15.75">
      <c r="B17" s="13" t="s">
        <v>445</v>
      </c>
      <c r="C17" s="76">
        <v>43772</v>
      </c>
      <c r="D17" s="13" t="s">
        <v>175</v>
      </c>
      <c r="E17" s="13" t="s">
        <v>134</v>
      </c>
      <c r="F17" s="13" t="s">
        <v>414</v>
      </c>
      <c r="G17" s="13" t="s">
        <v>415</v>
      </c>
      <c r="H17" s="13" t="s">
        <v>446</v>
      </c>
      <c r="I17" s="13" t="str">
        <f t="shared" si="0"/>
        <v>Health and beauty</v>
      </c>
      <c r="J17" s="13">
        <v>68.930000000000007</v>
      </c>
      <c r="K17" s="13">
        <v>72.376499999999993</v>
      </c>
      <c r="L17" s="13">
        <v>7</v>
      </c>
      <c r="M17" s="13" t="s">
        <v>433</v>
      </c>
      <c r="N17" s="13">
        <v>4.5999999999999996</v>
      </c>
      <c r="O17" s="13">
        <f>(CATEGORIZATION!$K17-CATEGORIZATION!$J17)</f>
        <v>3.4464999999999861</v>
      </c>
      <c r="R17" s="4" t="s">
        <v>437</v>
      </c>
      <c r="S17" s="4" t="s">
        <v>1116</v>
      </c>
    </row>
    <row r="18" spans="2:19" ht="15.75">
      <c r="B18" s="13" t="s">
        <v>447</v>
      </c>
      <c r="C18" s="76">
        <v>43466</v>
      </c>
      <c r="D18" s="13" t="s">
        <v>175</v>
      </c>
      <c r="E18" s="13" t="s">
        <v>134</v>
      </c>
      <c r="F18" s="13" t="s">
        <v>420</v>
      </c>
      <c r="G18" s="13" t="s">
        <v>415</v>
      </c>
      <c r="H18" s="13" t="s">
        <v>448</v>
      </c>
      <c r="I18" s="13" t="str">
        <f t="shared" si="0"/>
        <v>Sports</v>
      </c>
      <c r="J18" s="13">
        <v>72.61</v>
      </c>
      <c r="K18" s="13">
        <v>76.240499999999997</v>
      </c>
      <c r="L18" s="13">
        <v>6</v>
      </c>
      <c r="M18" s="13" t="s">
        <v>433</v>
      </c>
      <c r="N18" s="13">
        <v>6.9</v>
      </c>
      <c r="O18" s="13">
        <f>(CATEGORIZATION!$K18-CATEGORIZATION!$J18)</f>
        <v>3.6304999999999978</v>
      </c>
      <c r="R18" s="4" t="s">
        <v>450</v>
      </c>
      <c r="S18" s="4" t="s">
        <v>1114</v>
      </c>
    </row>
    <row r="19" spans="2:19" ht="15.75">
      <c r="B19" s="13" t="s">
        <v>449</v>
      </c>
      <c r="C19" s="76">
        <v>43486</v>
      </c>
      <c r="D19" s="13" t="s">
        <v>175</v>
      </c>
      <c r="E19" s="13" t="s">
        <v>134</v>
      </c>
      <c r="F19" s="13" t="s">
        <v>420</v>
      </c>
      <c r="G19" s="13" t="s">
        <v>415</v>
      </c>
      <c r="H19" s="13" t="s">
        <v>450</v>
      </c>
      <c r="I19" s="13" t="str">
        <f t="shared" si="0"/>
        <v>Food and beverages</v>
      </c>
      <c r="J19" s="13">
        <v>54.67</v>
      </c>
      <c r="K19" s="13">
        <v>57.403500000000001</v>
      </c>
      <c r="L19" s="13">
        <v>3</v>
      </c>
      <c r="M19" s="13" t="s">
        <v>433</v>
      </c>
      <c r="N19" s="13">
        <v>8.6</v>
      </c>
      <c r="O19" s="13">
        <f>(CATEGORIZATION!$K19-CATEGORIZATION!$J19)</f>
        <v>2.7334999999999994</v>
      </c>
      <c r="R19" s="4" t="s">
        <v>499</v>
      </c>
      <c r="S19" s="4" t="s">
        <v>1116</v>
      </c>
    </row>
    <row r="20" spans="2:19" ht="15.75">
      <c r="B20" s="13" t="s">
        <v>451</v>
      </c>
      <c r="C20" s="76">
        <v>43521</v>
      </c>
      <c r="D20" s="13" t="s">
        <v>419</v>
      </c>
      <c r="E20" s="13" t="s">
        <v>131</v>
      </c>
      <c r="F20" s="13" t="s">
        <v>414</v>
      </c>
      <c r="G20" s="13" t="s">
        <v>415</v>
      </c>
      <c r="H20" s="13" t="s">
        <v>430</v>
      </c>
      <c r="I20" s="13" t="str">
        <f t="shared" si="0"/>
        <v>Electronic accessories</v>
      </c>
      <c r="J20" s="13">
        <v>86.04</v>
      </c>
      <c r="K20" s="13">
        <v>90.341999999999999</v>
      </c>
      <c r="L20" s="13">
        <v>5</v>
      </c>
      <c r="M20" s="13" t="s">
        <v>417</v>
      </c>
      <c r="N20" s="13">
        <v>4.8</v>
      </c>
      <c r="O20" s="13">
        <f>(CATEGORIZATION!$K20-CATEGORIZATION!$J20)</f>
        <v>4.3019999999999925</v>
      </c>
      <c r="R20" s="4" t="s">
        <v>463</v>
      </c>
      <c r="S20" s="4" t="s">
        <v>1113</v>
      </c>
    </row>
    <row r="21" spans="2:19" ht="15.75">
      <c r="B21" s="13" t="s">
        <v>452</v>
      </c>
      <c r="C21" s="76">
        <v>43588</v>
      </c>
      <c r="D21" s="13" t="s">
        <v>266</v>
      </c>
      <c r="E21" s="13" t="s">
        <v>135</v>
      </c>
      <c r="F21" s="13" t="s">
        <v>420</v>
      </c>
      <c r="G21" s="13" t="s">
        <v>415</v>
      </c>
      <c r="H21" s="13" t="s">
        <v>424</v>
      </c>
      <c r="I21" s="13" t="str">
        <f t="shared" si="0"/>
        <v>Health and beauty</v>
      </c>
      <c r="J21" s="13">
        <v>87.98</v>
      </c>
      <c r="K21" s="13">
        <v>92.379000000000005</v>
      </c>
      <c r="L21" s="13">
        <v>3</v>
      </c>
      <c r="M21" s="13" t="s">
        <v>417</v>
      </c>
      <c r="N21" s="13">
        <v>5.0999999999999996</v>
      </c>
      <c r="O21" s="13">
        <f>(CATEGORIZATION!$K21-CATEGORIZATION!$J21)</f>
        <v>4.3990000000000009</v>
      </c>
      <c r="R21" s="4" t="s">
        <v>424</v>
      </c>
      <c r="S21" s="4" t="s">
        <v>1115</v>
      </c>
    </row>
    <row r="22" spans="2:19" ht="15.75">
      <c r="B22" s="13" t="s">
        <v>453</v>
      </c>
      <c r="C22" s="76">
        <v>43513</v>
      </c>
      <c r="D22" s="13" t="s">
        <v>175</v>
      </c>
      <c r="E22" s="13" t="s">
        <v>134</v>
      </c>
      <c r="F22" s="13" t="s">
        <v>420</v>
      </c>
      <c r="G22" s="13" t="s">
        <v>415</v>
      </c>
      <c r="H22" s="13" t="s">
        <v>437</v>
      </c>
      <c r="I22" s="13" t="str">
        <f t="shared" si="0"/>
        <v>Electronic accessories</v>
      </c>
      <c r="J22" s="13">
        <v>34.56</v>
      </c>
      <c r="K22" s="13">
        <v>36.287999999999997</v>
      </c>
      <c r="L22" s="13">
        <v>5</v>
      </c>
      <c r="M22" s="13" t="s">
        <v>417</v>
      </c>
      <c r="N22" s="13">
        <v>9.9</v>
      </c>
      <c r="O22" s="13">
        <f>(CATEGORIZATION!$K22-CATEGORIZATION!$J22)</f>
        <v>1.7279999999999944</v>
      </c>
      <c r="R22" s="4" t="s">
        <v>446</v>
      </c>
      <c r="S22" s="4" t="s">
        <v>1115</v>
      </c>
    </row>
    <row r="23" spans="2:19" ht="15.75">
      <c r="B23" s="13" t="s">
        <v>454</v>
      </c>
      <c r="C23" s="76">
        <v>43499</v>
      </c>
      <c r="D23" s="13" t="s">
        <v>175</v>
      </c>
      <c r="E23" s="13" t="s">
        <v>134</v>
      </c>
      <c r="F23" s="13" t="s">
        <v>414</v>
      </c>
      <c r="G23" s="13" t="s">
        <v>415</v>
      </c>
      <c r="H23" s="13" t="s">
        <v>455</v>
      </c>
      <c r="I23" s="13" t="str">
        <f t="shared" si="0"/>
        <v>Sports</v>
      </c>
      <c r="J23" s="13">
        <v>88.63</v>
      </c>
      <c r="K23" s="13">
        <v>93.061500000000009</v>
      </c>
      <c r="L23" s="13">
        <v>3</v>
      </c>
      <c r="M23" s="13" t="s">
        <v>417</v>
      </c>
      <c r="N23" s="13">
        <v>6</v>
      </c>
      <c r="O23" s="13">
        <f>(CATEGORIZATION!$K23-CATEGORIZATION!$J23)</f>
        <v>4.431500000000014</v>
      </c>
      <c r="R23" s="4" t="s">
        <v>455</v>
      </c>
      <c r="S23" s="4" t="s">
        <v>1113</v>
      </c>
    </row>
    <row r="24" spans="2:19" ht="15.75">
      <c r="B24" s="13" t="s">
        <v>456</v>
      </c>
      <c r="C24" s="76">
        <v>43490</v>
      </c>
      <c r="D24" s="13" t="s">
        <v>266</v>
      </c>
      <c r="E24" s="13" t="s">
        <v>135</v>
      </c>
      <c r="F24" s="13" t="s">
        <v>420</v>
      </c>
      <c r="G24" s="13" t="s">
        <v>415</v>
      </c>
      <c r="H24" s="13" t="s">
        <v>457</v>
      </c>
      <c r="I24" s="13" t="str">
        <f t="shared" si="0"/>
        <v>Food and beverages</v>
      </c>
      <c r="J24" s="13">
        <v>88.36</v>
      </c>
      <c r="K24" s="13">
        <v>92.777999999999992</v>
      </c>
      <c r="L24" s="13">
        <v>5</v>
      </c>
      <c r="M24" s="13" t="s">
        <v>422</v>
      </c>
      <c r="N24" s="13">
        <v>9.6</v>
      </c>
      <c r="O24" s="13">
        <f>(CATEGORIZATION!$K24-CATEGORIZATION!$J24)</f>
        <v>4.4179999999999922</v>
      </c>
      <c r="R24" s="4" t="s">
        <v>432</v>
      </c>
      <c r="S24" s="4" t="s">
        <v>1115</v>
      </c>
    </row>
    <row r="25" spans="2:19" ht="15.75">
      <c r="B25" s="13" t="s">
        <v>458</v>
      </c>
      <c r="C25" s="76">
        <v>43539</v>
      </c>
      <c r="D25" s="13" t="s">
        <v>175</v>
      </c>
      <c r="E25" s="13" t="s">
        <v>134</v>
      </c>
      <c r="F25" s="13" t="s">
        <v>420</v>
      </c>
      <c r="G25" s="13" t="s">
        <v>415</v>
      </c>
      <c r="H25" s="13" t="s">
        <v>459</v>
      </c>
      <c r="I25" s="13" t="str">
        <f t="shared" si="0"/>
        <v>Health and beauty</v>
      </c>
      <c r="J25" s="13">
        <v>24.89</v>
      </c>
      <c r="K25" s="13">
        <v>26.134499999999999</v>
      </c>
      <c r="L25" s="13">
        <v>9</v>
      </c>
      <c r="M25" s="13" t="s">
        <v>422</v>
      </c>
      <c r="N25" s="13">
        <v>7.4</v>
      </c>
      <c r="O25" s="13">
        <f>(CATEGORIZATION!$K25-CATEGORIZATION!$J25)</f>
        <v>1.2444999999999986</v>
      </c>
      <c r="R25" s="4" t="s">
        <v>435</v>
      </c>
      <c r="S25" s="4" t="s">
        <v>1114</v>
      </c>
    </row>
    <row r="26" spans="2:19" ht="15.75">
      <c r="B26" s="13" t="s">
        <v>460</v>
      </c>
      <c r="C26" s="76">
        <v>43493</v>
      </c>
      <c r="D26" s="13" t="s">
        <v>266</v>
      </c>
      <c r="E26" s="13" t="s">
        <v>135</v>
      </c>
      <c r="F26" s="13" t="s">
        <v>414</v>
      </c>
      <c r="G26" s="13" t="s">
        <v>415</v>
      </c>
      <c r="H26" s="13" t="s">
        <v>461</v>
      </c>
      <c r="I26" s="13" t="str">
        <f t="shared" si="0"/>
        <v>Sports</v>
      </c>
      <c r="J26" s="13">
        <v>78.069999999999993</v>
      </c>
      <c r="K26" s="13">
        <v>81.973500000000001</v>
      </c>
      <c r="L26" s="13">
        <v>9</v>
      </c>
      <c r="M26" s="13" t="s">
        <v>422</v>
      </c>
      <c r="N26" s="13">
        <v>4.5</v>
      </c>
      <c r="O26" s="13">
        <f>(CATEGORIZATION!$K26-CATEGORIZATION!$J26)</f>
        <v>3.9035000000000082</v>
      </c>
      <c r="R26" s="4" t="s">
        <v>471</v>
      </c>
      <c r="S26" s="4" t="s">
        <v>1113</v>
      </c>
    </row>
    <row r="27" spans="2:19" ht="15.75">
      <c r="B27" s="13" t="s">
        <v>462</v>
      </c>
      <c r="C27" s="76">
        <v>43739</v>
      </c>
      <c r="D27" s="13" t="s">
        <v>266</v>
      </c>
      <c r="E27" s="13" t="s">
        <v>135</v>
      </c>
      <c r="F27" s="13" t="s">
        <v>420</v>
      </c>
      <c r="G27" s="13" t="s">
        <v>415</v>
      </c>
      <c r="H27" s="13" t="s">
        <v>463</v>
      </c>
      <c r="I27" s="13" t="str">
        <f t="shared" si="0"/>
        <v>Sports</v>
      </c>
      <c r="J27" s="13">
        <v>83.78</v>
      </c>
      <c r="K27" s="13">
        <v>87.968999999999994</v>
      </c>
      <c r="L27" s="13">
        <v>8</v>
      </c>
      <c r="M27" s="13" t="s">
        <v>422</v>
      </c>
      <c r="N27" s="13">
        <v>5.0999999999999996</v>
      </c>
      <c r="O27" s="13">
        <f>(CATEGORIZATION!$K27-CATEGORIZATION!$J27)</f>
        <v>4.188999999999993</v>
      </c>
      <c r="R27" s="4" t="s">
        <v>469</v>
      </c>
      <c r="S27" s="4" t="s">
        <v>1113</v>
      </c>
    </row>
    <row r="28" spans="2:19" ht="15.75">
      <c r="B28" s="13" t="s">
        <v>464</v>
      </c>
      <c r="C28" s="76">
        <v>43539</v>
      </c>
      <c r="D28" s="13" t="s">
        <v>175</v>
      </c>
      <c r="E28" s="13" t="s">
        <v>134</v>
      </c>
      <c r="F28" s="13" t="s">
        <v>420</v>
      </c>
      <c r="G28" s="13" t="s">
        <v>415</v>
      </c>
      <c r="H28" s="13" t="s">
        <v>465</v>
      </c>
      <c r="I28" s="13" t="str">
        <f t="shared" si="0"/>
        <v>Health and beauty</v>
      </c>
      <c r="J28" s="13">
        <v>96.58</v>
      </c>
      <c r="K28" s="13">
        <v>101.40900000000001</v>
      </c>
      <c r="L28" s="13">
        <v>2</v>
      </c>
      <c r="M28" s="13" t="s">
        <v>433</v>
      </c>
      <c r="N28" s="13">
        <v>5.0999999999999996</v>
      </c>
      <c r="O28" s="13">
        <f>(CATEGORIZATION!$K28-CATEGORIZATION!$J28)</f>
        <v>4.8290000000000077</v>
      </c>
      <c r="R28" s="4" t="s">
        <v>461</v>
      </c>
      <c r="S28" s="4" t="s">
        <v>1113</v>
      </c>
    </row>
    <row r="29" spans="2:19" ht="15.75">
      <c r="B29" s="13" t="s">
        <v>466</v>
      </c>
      <c r="C29" s="76">
        <v>43618</v>
      </c>
      <c r="D29" s="13" t="s">
        <v>419</v>
      </c>
      <c r="E29" s="13" t="s">
        <v>131</v>
      </c>
      <c r="F29" s="13" t="s">
        <v>414</v>
      </c>
      <c r="G29" s="13" t="s">
        <v>415</v>
      </c>
      <c r="H29" s="13" t="s">
        <v>467</v>
      </c>
      <c r="I29" s="13" t="str">
        <f t="shared" si="0"/>
        <v>Food and beverages</v>
      </c>
      <c r="J29" s="13">
        <v>99.42</v>
      </c>
      <c r="K29" s="13">
        <v>104.39100000000001</v>
      </c>
      <c r="L29" s="13">
        <v>4</v>
      </c>
      <c r="M29" s="13" t="s">
        <v>417</v>
      </c>
      <c r="N29" s="13">
        <v>7.5</v>
      </c>
      <c r="O29" s="13">
        <f>(CATEGORIZATION!$K29-CATEGORIZATION!$J29)</f>
        <v>4.9710000000000036</v>
      </c>
      <c r="R29" s="4" t="s">
        <v>416</v>
      </c>
      <c r="S29" s="4" t="s">
        <v>1115</v>
      </c>
    </row>
    <row r="30" spans="2:19" ht="15.75">
      <c r="B30" s="13" t="s">
        <v>468</v>
      </c>
      <c r="C30" s="76">
        <v>43647</v>
      </c>
      <c r="D30" s="13" t="s">
        <v>419</v>
      </c>
      <c r="E30" s="13" t="s">
        <v>131</v>
      </c>
      <c r="F30" s="13" t="s">
        <v>414</v>
      </c>
      <c r="G30" s="13" t="s">
        <v>415</v>
      </c>
      <c r="H30" s="13" t="s">
        <v>469</v>
      </c>
      <c r="I30" s="13" t="str">
        <f t="shared" si="0"/>
        <v>Sports</v>
      </c>
      <c r="J30" s="13">
        <v>68.12</v>
      </c>
      <c r="K30" s="13">
        <v>71.525999999999996</v>
      </c>
      <c r="L30" s="13">
        <v>1</v>
      </c>
      <c r="M30" s="13" t="s">
        <v>417</v>
      </c>
      <c r="N30" s="13">
        <v>6.8</v>
      </c>
      <c r="O30" s="13">
        <f>(CATEGORIZATION!$K30-CATEGORIZATION!$J30)</f>
        <v>3.4059999999999917</v>
      </c>
      <c r="R30" s="4" t="s">
        <v>421</v>
      </c>
      <c r="S30" s="4" t="s">
        <v>1116</v>
      </c>
    </row>
    <row r="31" spans="2:19" ht="15.75">
      <c r="B31" s="13" t="s">
        <v>470</v>
      </c>
      <c r="C31" s="76">
        <v>43741</v>
      </c>
      <c r="D31" s="13" t="s">
        <v>175</v>
      </c>
      <c r="E31" s="13" t="s">
        <v>134</v>
      </c>
      <c r="F31" s="13" t="s">
        <v>414</v>
      </c>
      <c r="G31" s="13" t="s">
        <v>415</v>
      </c>
      <c r="H31" s="13" t="s">
        <v>471</v>
      </c>
      <c r="I31" s="13" t="str">
        <f t="shared" si="0"/>
        <v>Sports</v>
      </c>
      <c r="J31" s="13">
        <v>62.62</v>
      </c>
      <c r="K31" s="13">
        <v>65.751000000000005</v>
      </c>
      <c r="L31" s="13">
        <v>5</v>
      </c>
      <c r="M31" s="13" t="s">
        <v>417</v>
      </c>
      <c r="N31" s="13">
        <v>7</v>
      </c>
      <c r="O31" s="13">
        <f>(CATEGORIZATION!$K31-CATEGORIZATION!$J31)</f>
        <v>3.1310000000000073</v>
      </c>
      <c r="R31" s="4" t="s">
        <v>920</v>
      </c>
      <c r="S31" s="4" t="s">
        <v>1114</v>
      </c>
    </row>
    <row r="32" spans="2:19" ht="15.75">
      <c r="B32" s="13" t="s">
        <v>472</v>
      </c>
      <c r="C32" s="76">
        <v>43480</v>
      </c>
      <c r="D32" s="13" t="s">
        <v>175</v>
      </c>
      <c r="E32" s="13" t="s">
        <v>134</v>
      </c>
      <c r="F32" s="13" t="s">
        <v>420</v>
      </c>
      <c r="G32" s="13" t="s">
        <v>415</v>
      </c>
      <c r="H32" s="13" t="s">
        <v>437</v>
      </c>
      <c r="I32" s="13" t="str">
        <f t="shared" si="0"/>
        <v>Electronic accessories</v>
      </c>
      <c r="J32" s="13">
        <v>60.88</v>
      </c>
      <c r="K32" s="13">
        <v>63.924000000000007</v>
      </c>
      <c r="L32" s="13">
        <v>9</v>
      </c>
      <c r="M32" s="13" t="s">
        <v>417</v>
      </c>
      <c r="N32" s="13">
        <v>4.7</v>
      </c>
      <c r="O32" s="13">
        <f>(CATEGORIZATION!$K32-CATEGORIZATION!$J32)</f>
        <v>3.044000000000004</v>
      </c>
      <c r="R32" s="4" t="s">
        <v>892</v>
      </c>
      <c r="S32" s="4" t="s">
        <v>1113</v>
      </c>
    </row>
    <row r="33" spans="2:15" ht="15.75">
      <c r="B33" s="13" t="s">
        <v>473</v>
      </c>
      <c r="C33" s="76">
        <v>43547</v>
      </c>
      <c r="D33" s="13" t="s">
        <v>419</v>
      </c>
      <c r="E33" s="13" t="s">
        <v>131</v>
      </c>
      <c r="F33" s="13" t="s">
        <v>420</v>
      </c>
      <c r="G33" s="13" t="s">
        <v>415</v>
      </c>
      <c r="H33" s="13" t="s">
        <v>465</v>
      </c>
      <c r="I33" s="13" t="str">
        <f t="shared" si="0"/>
        <v>Health and beauty</v>
      </c>
      <c r="J33" s="13">
        <v>54.92</v>
      </c>
      <c r="K33" s="13">
        <v>57.665999999999997</v>
      </c>
      <c r="L33" s="13">
        <v>8</v>
      </c>
      <c r="M33" s="13" t="s">
        <v>417</v>
      </c>
      <c r="N33" s="13">
        <v>7.6</v>
      </c>
      <c r="O33" s="13">
        <f>(CATEGORIZATION!$K33-CATEGORIZATION!$J33)</f>
        <v>2.7459999999999951</v>
      </c>
    </row>
    <row r="34" spans="2:15" ht="15.75">
      <c r="B34" s="13" t="s">
        <v>474</v>
      </c>
      <c r="C34" s="76">
        <v>43679</v>
      </c>
      <c r="D34" s="13" t="s">
        <v>266</v>
      </c>
      <c r="E34" s="13" t="s">
        <v>135</v>
      </c>
      <c r="F34" s="13" t="s">
        <v>414</v>
      </c>
      <c r="G34" s="13" t="s">
        <v>415</v>
      </c>
      <c r="H34" s="13" t="s">
        <v>444</v>
      </c>
      <c r="I34" s="13" t="str">
        <f t="shared" si="0"/>
        <v>Sports</v>
      </c>
      <c r="J34" s="13">
        <v>69.12</v>
      </c>
      <c r="K34" s="13">
        <v>72.576000000000008</v>
      </c>
      <c r="L34" s="13">
        <v>6</v>
      </c>
      <c r="M34" s="13" t="s">
        <v>422</v>
      </c>
      <c r="N34" s="13">
        <v>5.6</v>
      </c>
      <c r="O34" s="13">
        <f>(CATEGORIZATION!$K34-CATEGORIZATION!$J34)</f>
        <v>3.4560000000000031</v>
      </c>
    </row>
    <row r="35" spans="2:15" ht="15.75">
      <c r="B35" s="13" t="s">
        <v>475</v>
      </c>
      <c r="C35" s="76">
        <v>43558</v>
      </c>
      <c r="D35" s="13" t="s">
        <v>419</v>
      </c>
      <c r="E35" s="13" t="s">
        <v>131</v>
      </c>
      <c r="F35" s="13" t="s">
        <v>414</v>
      </c>
      <c r="G35" s="13" t="s">
        <v>415</v>
      </c>
      <c r="H35" s="13" t="s">
        <v>476</v>
      </c>
      <c r="I35" s="13" t="str">
        <f t="shared" si="0"/>
        <v>Food and beverages</v>
      </c>
      <c r="J35" s="13">
        <v>98.7</v>
      </c>
      <c r="K35" s="13">
        <v>103.63500000000001</v>
      </c>
      <c r="L35" s="13">
        <v>8</v>
      </c>
      <c r="M35" s="13" t="s">
        <v>422</v>
      </c>
      <c r="N35" s="13">
        <v>7.6</v>
      </c>
      <c r="O35" s="13">
        <f>(CATEGORIZATION!$K35-CATEGORIZATION!$J35)</f>
        <v>4.9350000000000023</v>
      </c>
    </row>
    <row r="36" spans="2:15" ht="15.75">
      <c r="B36" s="13" t="s">
        <v>477</v>
      </c>
      <c r="C36" s="76">
        <v>43540</v>
      </c>
      <c r="D36" s="13" t="s">
        <v>419</v>
      </c>
      <c r="E36" s="13" t="s">
        <v>131</v>
      </c>
      <c r="F36" s="13" t="s">
        <v>414</v>
      </c>
      <c r="G36" s="13" t="s">
        <v>415</v>
      </c>
      <c r="H36" s="13" t="s">
        <v>442</v>
      </c>
      <c r="I36" s="13" t="str">
        <f t="shared" si="0"/>
        <v>Health and beauty</v>
      </c>
      <c r="J36" s="13">
        <v>15.37</v>
      </c>
      <c r="K36" s="13">
        <v>16.138500000000001</v>
      </c>
      <c r="L36" s="13">
        <v>2</v>
      </c>
      <c r="M36" s="13" t="s">
        <v>422</v>
      </c>
      <c r="N36" s="13">
        <v>7.2</v>
      </c>
      <c r="O36" s="13">
        <f>(CATEGORIZATION!$K36-CATEGORIZATION!$J36)</f>
        <v>0.76850000000000129</v>
      </c>
    </row>
    <row r="37" spans="2:15" ht="15.75">
      <c r="B37" s="13" t="s">
        <v>478</v>
      </c>
      <c r="C37" s="76">
        <v>43711</v>
      </c>
      <c r="D37" s="13" t="s">
        <v>266</v>
      </c>
      <c r="E37" s="13" t="s">
        <v>135</v>
      </c>
      <c r="F37" s="13" t="s">
        <v>414</v>
      </c>
      <c r="G37" s="13" t="s">
        <v>415</v>
      </c>
      <c r="H37" s="13" t="s">
        <v>437</v>
      </c>
      <c r="I37" s="13" t="str">
        <f t="shared" si="0"/>
        <v>Electronic accessories</v>
      </c>
      <c r="J37" s="13">
        <v>93.96</v>
      </c>
      <c r="K37" s="13">
        <v>98.658000000000001</v>
      </c>
      <c r="L37" s="13">
        <v>4</v>
      </c>
      <c r="M37" s="13" t="s">
        <v>422</v>
      </c>
      <c r="N37" s="13">
        <v>9.5</v>
      </c>
      <c r="O37" s="13">
        <f>(CATEGORIZATION!$K37-CATEGORIZATION!$J37)</f>
        <v>4.6980000000000075</v>
      </c>
    </row>
    <row r="38" spans="2:15" ht="15.75">
      <c r="B38" s="13" t="s">
        <v>479</v>
      </c>
      <c r="C38" s="76">
        <v>43523</v>
      </c>
      <c r="D38" s="13" t="s">
        <v>266</v>
      </c>
      <c r="E38" s="13" t="s">
        <v>135</v>
      </c>
      <c r="F38" s="13" t="s">
        <v>414</v>
      </c>
      <c r="G38" s="13" t="s">
        <v>415</v>
      </c>
      <c r="H38" s="13" t="s">
        <v>465</v>
      </c>
      <c r="I38" s="13" t="str">
        <f t="shared" si="0"/>
        <v>Health and beauty</v>
      </c>
      <c r="J38" s="13">
        <v>56.69</v>
      </c>
      <c r="K38" s="13">
        <v>59.524500000000003</v>
      </c>
      <c r="L38" s="13">
        <v>9</v>
      </c>
      <c r="M38" s="13" t="s">
        <v>433</v>
      </c>
      <c r="N38" s="13">
        <v>8.4</v>
      </c>
      <c r="O38" s="13">
        <f>(CATEGORIZATION!$K38-CATEGORIZATION!$J38)</f>
        <v>2.8345000000000056</v>
      </c>
    </row>
    <row r="39" spans="2:15" ht="15.75">
      <c r="B39" s="13" t="s">
        <v>480</v>
      </c>
      <c r="C39" s="76">
        <v>43618</v>
      </c>
      <c r="D39" s="13" t="s">
        <v>266</v>
      </c>
      <c r="E39" s="13" t="s">
        <v>135</v>
      </c>
      <c r="F39" s="13" t="s">
        <v>414</v>
      </c>
      <c r="G39" s="13" t="s">
        <v>415</v>
      </c>
      <c r="H39" s="13" t="s">
        <v>467</v>
      </c>
      <c r="I39" s="13" t="str">
        <f t="shared" si="0"/>
        <v>Food and beverages</v>
      </c>
      <c r="J39" s="13">
        <v>20.010000000000002</v>
      </c>
      <c r="K39" s="13">
        <v>21.0105</v>
      </c>
      <c r="L39" s="13">
        <v>9</v>
      </c>
      <c r="M39" s="13" t="s">
        <v>417</v>
      </c>
      <c r="N39" s="13">
        <v>4.0999999999999996</v>
      </c>
      <c r="O39" s="13">
        <f>(CATEGORIZATION!$K39-CATEGORIZATION!$J39)</f>
        <v>1.0004999999999988</v>
      </c>
    </row>
    <row r="40" spans="2:15" ht="15.75">
      <c r="B40" s="13" t="s">
        <v>481</v>
      </c>
      <c r="C40" s="76">
        <v>43740</v>
      </c>
      <c r="D40" s="13" t="s">
        <v>266</v>
      </c>
      <c r="E40" s="13" t="s">
        <v>135</v>
      </c>
      <c r="F40" s="13" t="s">
        <v>414</v>
      </c>
      <c r="G40" s="13" t="s">
        <v>415</v>
      </c>
      <c r="H40" s="13" t="s">
        <v>437</v>
      </c>
      <c r="I40" s="13" t="str">
        <f t="shared" si="0"/>
        <v>Electronic accessories</v>
      </c>
      <c r="J40" s="13">
        <v>18.93</v>
      </c>
      <c r="K40" s="13">
        <v>19.8765</v>
      </c>
      <c r="L40" s="13">
        <v>6</v>
      </c>
      <c r="M40" s="13" t="s">
        <v>433</v>
      </c>
      <c r="N40" s="13">
        <v>8.1</v>
      </c>
      <c r="O40" s="13">
        <f>(CATEGORIZATION!$K40-CATEGORIZATION!$J40)</f>
        <v>0.94650000000000034</v>
      </c>
    </row>
    <row r="41" spans="2:15" ht="15.75">
      <c r="B41" s="13" t="s">
        <v>482</v>
      </c>
      <c r="C41" s="76">
        <v>43526</v>
      </c>
      <c r="D41" s="13" t="s">
        <v>419</v>
      </c>
      <c r="E41" s="13" t="s">
        <v>131</v>
      </c>
      <c r="F41" s="13" t="s">
        <v>414</v>
      </c>
      <c r="G41" s="13" t="s">
        <v>415</v>
      </c>
      <c r="H41" s="13" t="s">
        <v>467</v>
      </c>
      <c r="I41" s="13" t="str">
        <f t="shared" si="0"/>
        <v>Food and beverages</v>
      </c>
      <c r="J41" s="13">
        <v>91.4</v>
      </c>
      <c r="K41" s="13">
        <v>95.97</v>
      </c>
      <c r="L41" s="13">
        <v>7</v>
      </c>
      <c r="M41" s="13" t="s">
        <v>422</v>
      </c>
      <c r="N41" s="13">
        <v>9.5</v>
      </c>
      <c r="O41" s="13">
        <f>(CATEGORIZATION!$K41-CATEGORIZATION!$J41)</f>
        <v>4.5699999999999932</v>
      </c>
    </row>
    <row r="42" spans="2:15" ht="15.75">
      <c r="B42" s="13" t="s">
        <v>483</v>
      </c>
      <c r="C42" s="76">
        <v>43740</v>
      </c>
      <c r="D42" s="13" t="s">
        <v>175</v>
      </c>
      <c r="E42" s="13" t="s">
        <v>134</v>
      </c>
      <c r="F42" s="13" t="s">
        <v>414</v>
      </c>
      <c r="G42" s="13" t="s">
        <v>415</v>
      </c>
      <c r="H42" s="13" t="s">
        <v>467</v>
      </c>
      <c r="I42" s="13" t="str">
        <f t="shared" si="0"/>
        <v>Food and beverages</v>
      </c>
      <c r="J42" s="13">
        <v>44.59</v>
      </c>
      <c r="K42" s="13">
        <v>46.819499999999998</v>
      </c>
      <c r="L42" s="13">
        <v>5</v>
      </c>
      <c r="M42" s="13" t="s">
        <v>422</v>
      </c>
      <c r="N42" s="13">
        <v>8.5</v>
      </c>
      <c r="O42" s="13">
        <f>(CATEGORIZATION!$K42-CATEGORIZATION!$J42)</f>
        <v>2.2294999999999945</v>
      </c>
    </row>
    <row r="43" spans="2:15" ht="15.75">
      <c r="B43" s="13" t="s">
        <v>484</v>
      </c>
      <c r="C43" s="76">
        <v>43524</v>
      </c>
      <c r="D43" s="13" t="s">
        <v>419</v>
      </c>
      <c r="E43" s="13" t="s">
        <v>131</v>
      </c>
      <c r="F43" s="13" t="s">
        <v>420</v>
      </c>
      <c r="G43" s="13" t="s">
        <v>415</v>
      </c>
      <c r="H43" s="13" t="s">
        <v>421</v>
      </c>
      <c r="I43" s="13" t="str">
        <f t="shared" si="0"/>
        <v>Electronic accessories</v>
      </c>
      <c r="J43" s="13">
        <v>85.98</v>
      </c>
      <c r="K43" s="13">
        <v>90.278999999999996</v>
      </c>
      <c r="L43" s="13">
        <v>8</v>
      </c>
      <c r="M43" s="13" t="s">
        <v>422</v>
      </c>
      <c r="N43" s="13">
        <v>8.1999999999999993</v>
      </c>
      <c r="O43" s="13">
        <f>(CATEGORIZATION!$K43-CATEGORIZATION!$J43)</f>
        <v>4.2989999999999924</v>
      </c>
    </row>
    <row r="44" spans="2:15" ht="15.75">
      <c r="B44" s="13" t="s">
        <v>485</v>
      </c>
      <c r="C44" s="76">
        <v>43648</v>
      </c>
      <c r="D44" s="13" t="s">
        <v>175</v>
      </c>
      <c r="E44" s="13" t="s">
        <v>134</v>
      </c>
      <c r="F44" s="13" t="s">
        <v>420</v>
      </c>
      <c r="G44" s="13" t="s">
        <v>415</v>
      </c>
      <c r="H44" s="13" t="s">
        <v>465</v>
      </c>
      <c r="I44" s="13" t="str">
        <f t="shared" si="0"/>
        <v>Health and beauty</v>
      </c>
      <c r="J44" s="13">
        <v>89.6</v>
      </c>
      <c r="K44" s="13">
        <v>94.08</v>
      </c>
      <c r="L44" s="13">
        <v>8</v>
      </c>
      <c r="M44" s="13" t="s">
        <v>417</v>
      </c>
      <c r="N44" s="13">
        <v>6.6</v>
      </c>
      <c r="O44" s="13">
        <f>(CATEGORIZATION!$K44-CATEGORIZATION!$J44)</f>
        <v>4.480000000000004</v>
      </c>
    </row>
    <row r="45" spans="2:15" ht="15.75">
      <c r="B45" s="13" t="s">
        <v>486</v>
      </c>
      <c r="C45" s="76">
        <v>43802</v>
      </c>
      <c r="D45" s="13" t="s">
        <v>419</v>
      </c>
      <c r="E45" s="13" t="s">
        <v>131</v>
      </c>
      <c r="F45" s="13" t="s">
        <v>420</v>
      </c>
      <c r="G45" s="13" t="s">
        <v>415</v>
      </c>
      <c r="H45" s="13" t="s">
        <v>421</v>
      </c>
      <c r="I45" s="13" t="str">
        <f t="shared" si="0"/>
        <v>Electronic accessories</v>
      </c>
      <c r="J45" s="13">
        <v>30.61</v>
      </c>
      <c r="K45" s="13">
        <v>32.140499999999996</v>
      </c>
      <c r="L45" s="13">
        <v>6</v>
      </c>
      <c r="M45" s="13" t="s">
        <v>422</v>
      </c>
      <c r="N45" s="13">
        <v>9.3000000000000007</v>
      </c>
      <c r="O45" s="13">
        <f>(CATEGORIZATION!$K45-CATEGORIZATION!$J45)</f>
        <v>1.5304999999999964</v>
      </c>
    </row>
    <row r="46" spans="2:15" ht="15.75">
      <c r="B46" s="13" t="s">
        <v>487</v>
      </c>
      <c r="C46" s="76">
        <v>43511</v>
      </c>
      <c r="D46" s="13" t="s">
        <v>419</v>
      </c>
      <c r="E46" s="13" t="s">
        <v>131</v>
      </c>
      <c r="F46" s="13" t="s">
        <v>414</v>
      </c>
      <c r="G46" s="13" t="s">
        <v>415</v>
      </c>
      <c r="H46" s="13" t="s">
        <v>448</v>
      </c>
      <c r="I46" s="13" t="str">
        <f t="shared" si="0"/>
        <v>Sports</v>
      </c>
      <c r="J46" s="13">
        <v>24.74</v>
      </c>
      <c r="K46" s="13">
        <v>25.977</v>
      </c>
      <c r="L46" s="13">
        <v>3</v>
      </c>
      <c r="M46" s="13" t="s">
        <v>433</v>
      </c>
      <c r="N46" s="13">
        <v>10</v>
      </c>
      <c r="O46" s="13">
        <f>(CATEGORIZATION!$K46-CATEGORIZATION!$J46)</f>
        <v>1.2370000000000019</v>
      </c>
    </row>
    <row r="47" spans="2:15" ht="15.75">
      <c r="B47" s="13" t="s">
        <v>488</v>
      </c>
      <c r="C47" s="76">
        <v>43526</v>
      </c>
      <c r="D47" s="13" t="s">
        <v>266</v>
      </c>
      <c r="E47" s="13" t="s">
        <v>135</v>
      </c>
      <c r="F47" s="13" t="s">
        <v>414</v>
      </c>
      <c r="G47" s="13" t="s">
        <v>415</v>
      </c>
      <c r="H47" s="13" t="s">
        <v>426</v>
      </c>
      <c r="I47" s="13" t="str">
        <f t="shared" si="0"/>
        <v>Sports</v>
      </c>
      <c r="J47" s="13">
        <v>55.07</v>
      </c>
      <c r="K47" s="13">
        <v>57.823500000000003</v>
      </c>
      <c r="L47" s="13">
        <v>9</v>
      </c>
      <c r="M47" s="13" t="s">
        <v>417</v>
      </c>
      <c r="N47" s="13">
        <v>10</v>
      </c>
      <c r="O47" s="13">
        <f>(CATEGORIZATION!$K47-CATEGORIZATION!$J47)</f>
        <v>2.7535000000000025</v>
      </c>
    </row>
    <row r="48" spans="2:15" ht="15.75">
      <c r="B48" s="13" t="s">
        <v>489</v>
      </c>
      <c r="C48" s="76">
        <v>43619</v>
      </c>
      <c r="D48" s="13" t="s">
        <v>175</v>
      </c>
      <c r="E48" s="13" t="s">
        <v>134</v>
      </c>
      <c r="F48" s="13" t="s">
        <v>414</v>
      </c>
      <c r="G48" s="13" t="s">
        <v>415</v>
      </c>
      <c r="H48" s="13" t="s">
        <v>469</v>
      </c>
      <c r="I48" s="13" t="str">
        <f t="shared" si="0"/>
        <v>Sports</v>
      </c>
      <c r="J48" s="13">
        <v>15.81</v>
      </c>
      <c r="K48" s="13">
        <v>16.6005</v>
      </c>
      <c r="L48" s="13">
        <v>10</v>
      </c>
      <c r="M48" s="13" t="s">
        <v>433</v>
      </c>
      <c r="N48" s="13">
        <v>8.6</v>
      </c>
      <c r="O48" s="13">
        <f>(CATEGORIZATION!$K48-CATEGORIZATION!$J48)</f>
        <v>0.79049999999999976</v>
      </c>
    </row>
    <row r="49" spans="2:15" ht="15.75">
      <c r="B49" s="13" t="s">
        <v>490</v>
      </c>
      <c r="C49" s="76">
        <v>43510</v>
      </c>
      <c r="D49" s="13" t="s">
        <v>266</v>
      </c>
      <c r="E49" s="13" t="s">
        <v>135</v>
      </c>
      <c r="F49" s="13" t="s">
        <v>414</v>
      </c>
      <c r="G49" s="13" t="s">
        <v>415</v>
      </c>
      <c r="H49" s="13" t="s">
        <v>465</v>
      </c>
      <c r="I49" s="13" t="str">
        <f t="shared" si="0"/>
        <v>Health and beauty</v>
      </c>
      <c r="J49" s="13">
        <v>75.739999999999995</v>
      </c>
      <c r="K49" s="13">
        <v>79.527000000000001</v>
      </c>
      <c r="L49" s="13">
        <v>4</v>
      </c>
      <c r="M49" s="13" t="s">
        <v>422</v>
      </c>
      <c r="N49" s="13">
        <v>7.6</v>
      </c>
      <c r="O49" s="13">
        <f>(CATEGORIZATION!$K49-CATEGORIZATION!$J49)</f>
        <v>3.7870000000000061</v>
      </c>
    </row>
    <row r="50" spans="2:15" ht="15.75">
      <c r="B50" s="13" t="s">
        <v>491</v>
      </c>
      <c r="C50" s="76">
        <v>43537</v>
      </c>
      <c r="D50" s="13" t="s">
        <v>175</v>
      </c>
      <c r="E50" s="13" t="s">
        <v>134</v>
      </c>
      <c r="F50" s="13" t="s">
        <v>414</v>
      </c>
      <c r="G50" s="13" t="s">
        <v>415</v>
      </c>
      <c r="H50" s="13" t="s">
        <v>442</v>
      </c>
      <c r="I50" s="13" t="str">
        <f t="shared" si="0"/>
        <v>Health and beauty</v>
      </c>
      <c r="J50" s="13">
        <v>15.87</v>
      </c>
      <c r="K50" s="13">
        <v>16.663499999999999</v>
      </c>
      <c r="L50" s="13">
        <v>10</v>
      </c>
      <c r="M50" s="13" t="s">
        <v>422</v>
      </c>
      <c r="N50" s="13">
        <v>5.8</v>
      </c>
      <c r="O50" s="13">
        <f>(CATEGORIZATION!$K50-CATEGORIZATION!$J50)</f>
        <v>0.79349999999999987</v>
      </c>
    </row>
    <row r="51" spans="2:15" ht="15.75">
      <c r="B51" s="13" t="s">
        <v>492</v>
      </c>
      <c r="C51" s="76">
        <v>43740</v>
      </c>
      <c r="D51" s="13" t="s">
        <v>419</v>
      </c>
      <c r="E51" s="13" t="s">
        <v>131</v>
      </c>
      <c r="F51" s="13" t="s">
        <v>420</v>
      </c>
      <c r="G51" s="13" t="s">
        <v>415</v>
      </c>
      <c r="H51" s="13" t="s">
        <v>416</v>
      </c>
      <c r="I51" s="13" t="str">
        <f t="shared" si="0"/>
        <v>Health and beauty</v>
      </c>
      <c r="J51" s="13">
        <v>33.47</v>
      </c>
      <c r="K51" s="13">
        <v>35.143500000000003</v>
      </c>
      <c r="L51" s="13">
        <v>2</v>
      </c>
      <c r="M51" s="13" t="s">
        <v>417</v>
      </c>
      <c r="N51" s="13">
        <v>6.7</v>
      </c>
      <c r="O51" s="13">
        <f>(CATEGORIZATION!$K51-CATEGORIZATION!$J51)</f>
        <v>1.6735000000000042</v>
      </c>
    </row>
    <row r="52" spans="2:15" ht="15.75">
      <c r="B52" s="13" t="s">
        <v>493</v>
      </c>
      <c r="C52" s="76">
        <v>43489</v>
      </c>
      <c r="D52" s="13" t="s">
        <v>175</v>
      </c>
      <c r="E52" s="13" t="s">
        <v>134</v>
      </c>
      <c r="F52" s="13" t="s">
        <v>420</v>
      </c>
      <c r="G52" s="13" t="s">
        <v>494</v>
      </c>
      <c r="H52" s="13" t="s">
        <v>469</v>
      </c>
      <c r="I52" s="13" t="str">
        <f t="shared" si="0"/>
        <v>Sports</v>
      </c>
      <c r="J52" s="13">
        <v>78.77</v>
      </c>
      <c r="K52" s="13">
        <v>82.708500000000001</v>
      </c>
      <c r="L52" s="13">
        <v>10</v>
      </c>
      <c r="M52" s="13" t="s">
        <v>422</v>
      </c>
      <c r="N52" s="13">
        <v>6.4</v>
      </c>
      <c r="O52" s="13">
        <f>(CATEGORIZATION!$K52-CATEGORIZATION!$J52)</f>
        <v>3.9385000000000048</v>
      </c>
    </row>
    <row r="53" spans="2:15" ht="15.75">
      <c r="B53" s="13" t="s">
        <v>495</v>
      </c>
      <c r="C53" s="76">
        <v>43498</v>
      </c>
      <c r="D53" s="13" t="s">
        <v>175</v>
      </c>
      <c r="E53" s="13" t="s">
        <v>134</v>
      </c>
      <c r="F53" s="13" t="s">
        <v>414</v>
      </c>
      <c r="G53" s="13" t="s">
        <v>415</v>
      </c>
      <c r="H53" s="13" t="s">
        <v>416</v>
      </c>
      <c r="I53" s="13" t="str">
        <f t="shared" si="0"/>
        <v>Health and beauty</v>
      </c>
      <c r="J53" s="13">
        <v>18.329999999999998</v>
      </c>
      <c r="K53" s="13">
        <v>19.246500000000001</v>
      </c>
      <c r="L53" s="13">
        <v>1</v>
      </c>
      <c r="M53" s="13" t="s">
        <v>422</v>
      </c>
      <c r="N53" s="13">
        <v>4.3</v>
      </c>
      <c r="O53" s="13">
        <f>(CATEGORIZATION!$K53-CATEGORIZATION!$J53)</f>
        <v>0.91650000000000276</v>
      </c>
    </row>
    <row r="54" spans="2:15" ht="15.75">
      <c r="B54" s="13" t="s">
        <v>496</v>
      </c>
      <c r="C54" s="76">
        <v>43617</v>
      </c>
      <c r="D54" s="13" t="s">
        <v>419</v>
      </c>
      <c r="E54" s="13" t="s">
        <v>131</v>
      </c>
      <c r="F54" s="13" t="s">
        <v>420</v>
      </c>
      <c r="G54" s="13" t="s">
        <v>494</v>
      </c>
      <c r="H54" s="13" t="s">
        <v>467</v>
      </c>
      <c r="I54" s="13" t="str">
        <f t="shared" si="0"/>
        <v>Food and beverages</v>
      </c>
      <c r="J54" s="13">
        <v>89.48</v>
      </c>
      <c r="K54" s="13">
        <v>93.953999999999994</v>
      </c>
      <c r="L54" s="13">
        <v>10</v>
      </c>
      <c r="M54" s="13" t="s">
        <v>433</v>
      </c>
      <c r="N54" s="13">
        <v>9.6</v>
      </c>
      <c r="O54" s="13">
        <f>(CATEGORIZATION!$K54-CATEGORIZATION!$J54)</f>
        <v>4.4739999999999895</v>
      </c>
    </row>
    <row r="55" spans="2:15" ht="15.75">
      <c r="B55" s="13" t="s">
        <v>497</v>
      </c>
      <c r="C55" s="76">
        <v>43588</v>
      </c>
      <c r="D55" s="13" t="s">
        <v>266</v>
      </c>
      <c r="E55" s="13" t="s">
        <v>135</v>
      </c>
      <c r="F55" s="13" t="s">
        <v>414</v>
      </c>
      <c r="G55" s="13" t="s">
        <v>415</v>
      </c>
      <c r="H55" s="13" t="s">
        <v>476</v>
      </c>
      <c r="I55" s="13" t="str">
        <f t="shared" si="0"/>
        <v>Food and beverages</v>
      </c>
      <c r="J55" s="13">
        <v>48.52</v>
      </c>
      <c r="K55" s="13">
        <v>50.945999999999998</v>
      </c>
      <c r="L55" s="13">
        <v>3</v>
      </c>
      <c r="M55" s="13" t="s">
        <v>417</v>
      </c>
      <c r="N55" s="13">
        <v>4</v>
      </c>
      <c r="O55" s="13">
        <f>(CATEGORIZATION!$K55-CATEGORIZATION!$J55)</f>
        <v>2.4259999999999948</v>
      </c>
    </row>
    <row r="56" spans="2:15" ht="15.75">
      <c r="B56" s="13" t="s">
        <v>498</v>
      </c>
      <c r="C56" s="76">
        <v>43711</v>
      </c>
      <c r="D56" s="13" t="s">
        <v>419</v>
      </c>
      <c r="E56" s="13" t="s">
        <v>131</v>
      </c>
      <c r="F56" s="13" t="s">
        <v>420</v>
      </c>
      <c r="G56" s="13" t="s">
        <v>415</v>
      </c>
      <c r="H56" s="13" t="s">
        <v>499</v>
      </c>
      <c r="I56" s="13" t="str">
        <f t="shared" si="0"/>
        <v>Electronic accessories</v>
      </c>
      <c r="J56" s="13">
        <v>75.91</v>
      </c>
      <c r="K56" s="13">
        <v>79.705500000000001</v>
      </c>
      <c r="L56" s="13">
        <v>6</v>
      </c>
      <c r="M56" s="13" t="s">
        <v>422</v>
      </c>
      <c r="N56" s="13">
        <v>8.6999999999999993</v>
      </c>
      <c r="O56" s="13">
        <f>(CATEGORIZATION!$K56-CATEGORIZATION!$J56)</f>
        <v>3.7955000000000041</v>
      </c>
    </row>
    <row r="57" spans="2:15" ht="15.75">
      <c r="B57" s="13" t="s">
        <v>500</v>
      </c>
      <c r="C57" s="76">
        <v>43478</v>
      </c>
      <c r="D57" s="13" t="s">
        <v>419</v>
      </c>
      <c r="E57" s="13" t="s">
        <v>131</v>
      </c>
      <c r="F57" s="13" t="s">
        <v>420</v>
      </c>
      <c r="G57" s="13" t="s">
        <v>415</v>
      </c>
      <c r="H57" s="13" t="s">
        <v>430</v>
      </c>
      <c r="I57" s="13" t="str">
        <f t="shared" si="0"/>
        <v>Electronic accessories</v>
      </c>
      <c r="J57" s="13">
        <v>41.65</v>
      </c>
      <c r="K57" s="13">
        <v>43.732500000000002</v>
      </c>
      <c r="L57" s="13">
        <v>10</v>
      </c>
      <c r="M57" s="13" t="s">
        <v>433</v>
      </c>
      <c r="N57" s="13">
        <v>5.4</v>
      </c>
      <c r="O57" s="13">
        <f>(CATEGORIZATION!$K57-CATEGORIZATION!$J57)</f>
        <v>2.0825000000000031</v>
      </c>
    </row>
    <row r="58" spans="2:15" ht="15.75">
      <c r="B58" s="13" t="s">
        <v>501</v>
      </c>
      <c r="C58" s="76">
        <v>43588</v>
      </c>
      <c r="D58" s="13" t="s">
        <v>419</v>
      </c>
      <c r="E58" s="13" t="s">
        <v>131</v>
      </c>
      <c r="F58" s="13" t="s">
        <v>414</v>
      </c>
      <c r="G58" s="13" t="s">
        <v>415</v>
      </c>
      <c r="H58" s="13" t="s">
        <v>440</v>
      </c>
      <c r="I58" s="13" t="str">
        <f t="shared" si="0"/>
        <v>Food and beverages</v>
      </c>
      <c r="J58" s="13">
        <v>78.31</v>
      </c>
      <c r="K58" s="13">
        <v>82.225499999999997</v>
      </c>
      <c r="L58" s="13">
        <v>10</v>
      </c>
      <c r="M58" s="13" t="s">
        <v>417</v>
      </c>
      <c r="N58" s="13">
        <v>6.6</v>
      </c>
      <c r="O58" s="13">
        <f>(CATEGORIZATION!$K58-CATEGORIZATION!$J58)</f>
        <v>3.9154999999999944</v>
      </c>
    </row>
    <row r="59" spans="2:15" ht="15.75">
      <c r="B59" s="13" t="s">
        <v>502</v>
      </c>
      <c r="C59" s="76">
        <v>43487</v>
      </c>
      <c r="D59" s="13" t="s">
        <v>419</v>
      </c>
      <c r="E59" s="13" t="s">
        <v>131</v>
      </c>
      <c r="F59" s="13" t="s">
        <v>420</v>
      </c>
      <c r="G59" s="13" t="s">
        <v>415</v>
      </c>
      <c r="H59" s="13" t="s">
        <v>442</v>
      </c>
      <c r="I59" s="13" t="str">
        <f t="shared" si="0"/>
        <v>Health and beauty</v>
      </c>
      <c r="J59" s="13">
        <v>20.38</v>
      </c>
      <c r="K59" s="13">
        <v>21.399000000000001</v>
      </c>
      <c r="L59" s="13">
        <v>5</v>
      </c>
      <c r="M59" s="13" t="s">
        <v>422</v>
      </c>
      <c r="N59" s="13">
        <v>6</v>
      </c>
      <c r="O59" s="13">
        <f>(CATEGORIZATION!$K59-CATEGORIZATION!$J59)</f>
        <v>1.0190000000000019</v>
      </c>
    </row>
    <row r="60" spans="2:15" ht="15.75">
      <c r="B60" s="13" t="s">
        <v>503</v>
      </c>
      <c r="C60" s="76">
        <v>43486</v>
      </c>
      <c r="D60" s="13" t="s">
        <v>419</v>
      </c>
      <c r="E60" s="13" t="s">
        <v>131</v>
      </c>
      <c r="F60" s="13" t="s">
        <v>420</v>
      </c>
      <c r="G60" s="13" t="s">
        <v>415</v>
      </c>
      <c r="H60" s="13" t="s">
        <v>416</v>
      </c>
      <c r="I60" s="13" t="str">
        <f t="shared" si="0"/>
        <v>Health and beauty</v>
      </c>
      <c r="J60" s="13">
        <v>99.19</v>
      </c>
      <c r="K60" s="13">
        <v>104.1495</v>
      </c>
      <c r="L60" s="13">
        <v>6</v>
      </c>
      <c r="M60" s="13" t="s">
        <v>433</v>
      </c>
      <c r="N60" s="13">
        <v>5.5</v>
      </c>
      <c r="O60" s="13">
        <f>(CATEGORIZATION!$K60-CATEGORIZATION!$J60)</f>
        <v>4.9595000000000056</v>
      </c>
    </row>
    <row r="61" spans="2:15" ht="15.75">
      <c r="B61" s="13" t="s">
        <v>504</v>
      </c>
      <c r="C61" s="76">
        <v>43491</v>
      </c>
      <c r="D61" s="13" t="s">
        <v>266</v>
      </c>
      <c r="E61" s="13" t="s">
        <v>135</v>
      </c>
      <c r="F61" s="13" t="s">
        <v>420</v>
      </c>
      <c r="G61" s="13" t="s">
        <v>415</v>
      </c>
      <c r="H61" s="13" t="s">
        <v>467</v>
      </c>
      <c r="I61" s="13" t="str">
        <f t="shared" si="0"/>
        <v>Food and beverages</v>
      </c>
      <c r="J61" s="13">
        <v>96.68</v>
      </c>
      <c r="K61" s="13">
        <v>101.514</v>
      </c>
      <c r="L61" s="13">
        <v>3</v>
      </c>
      <c r="M61" s="13" t="s">
        <v>417</v>
      </c>
      <c r="N61" s="13">
        <v>6.4</v>
      </c>
      <c r="O61" s="13">
        <f>(CATEGORIZATION!$K61-CATEGORIZATION!$J61)</f>
        <v>4.833999999999989</v>
      </c>
    </row>
    <row r="62" spans="2:15" ht="15.75">
      <c r="B62" s="13" t="s">
        <v>505</v>
      </c>
      <c r="C62" s="76">
        <v>43488</v>
      </c>
      <c r="D62" s="13" t="s">
        <v>419</v>
      </c>
      <c r="E62" s="13" t="s">
        <v>131</v>
      </c>
      <c r="F62" s="13" t="s">
        <v>420</v>
      </c>
      <c r="G62" s="13" t="s">
        <v>494</v>
      </c>
      <c r="H62" s="13" t="s">
        <v>467</v>
      </c>
      <c r="I62" s="13" t="str">
        <f t="shared" si="0"/>
        <v>Food and beverages</v>
      </c>
      <c r="J62" s="13">
        <v>19.25</v>
      </c>
      <c r="K62" s="13">
        <v>20.212499999999999</v>
      </c>
      <c r="L62" s="13">
        <v>8</v>
      </c>
      <c r="M62" s="13" t="s">
        <v>417</v>
      </c>
      <c r="N62" s="13">
        <v>6.6</v>
      </c>
      <c r="O62" s="13">
        <f>(CATEGORIZATION!$K62-CATEGORIZATION!$J62)</f>
        <v>0.96249999999999858</v>
      </c>
    </row>
    <row r="63" spans="2:15" ht="15.75">
      <c r="B63" s="13" t="s">
        <v>506</v>
      </c>
      <c r="C63" s="76">
        <v>43519</v>
      </c>
      <c r="D63" s="13" t="s">
        <v>419</v>
      </c>
      <c r="E63" s="13" t="s">
        <v>131</v>
      </c>
      <c r="F63" s="13" t="s">
        <v>414</v>
      </c>
      <c r="G63" s="13" t="s">
        <v>415</v>
      </c>
      <c r="H63" s="13" t="s">
        <v>467</v>
      </c>
      <c r="I63" s="13" t="str">
        <f t="shared" si="0"/>
        <v>Food and beverages</v>
      </c>
      <c r="J63" s="13">
        <v>80.36</v>
      </c>
      <c r="K63" s="13">
        <v>84.378</v>
      </c>
      <c r="L63" s="13">
        <v>4</v>
      </c>
      <c r="M63" s="13" t="s">
        <v>433</v>
      </c>
      <c r="N63" s="13">
        <v>8.3000000000000007</v>
      </c>
      <c r="O63" s="13">
        <f>(CATEGORIZATION!$K63-CATEGORIZATION!$J63)</f>
        <v>4.0180000000000007</v>
      </c>
    </row>
    <row r="64" spans="2:15" ht="15.75">
      <c r="B64" s="13" t="s">
        <v>507</v>
      </c>
      <c r="C64" s="76">
        <v>43711</v>
      </c>
      <c r="D64" s="13" t="s">
        <v>419</v>
      </c>
      <c r="E64" s="13" t="s">
        <v>131</v>
      </c>
      <c r="F64" s="13" t="s">
        <v>414</v>
      </c>
      <c r="G64" s="13" t="s">
        <v>494</v>
      </c>
      <c r="H64" s="13" t="s">
        <v>448</v>
      </c>
      <c r="I64" s="13" t="str">
        <f t="shared" si="0"/>
        <v>Sports</v>
      </c>
      <c r="J64" s="13">
        <v>48.91</v>
      </c>
      <c r="K64" s="13">
        <v>51.355499999999992</v>
      </c>
      <c r="L64" s="13">
        <v>5</v>
      </c>
      <c r="M64" s="13" t="s">
        <v>422</v>
      </c>
      <c r="N64" s="13">
        <v>6.6</v>
      </c>
      <c r="O64" s="13">
        <f>(CATEGORIZATION!$K64-CATEGORIZATION!$J64)</f>
        <v>2.4454999999999956</v>
      </c>
    </row>
    <row r="65" spans="2:15" ht="15.75">
      <c r="B65" s="13" t="s">
        <v>508</v>
      </c>
      <c r="C65" s="76">
        <v>43588</v>
      </c>
      <c r="D65" s="13" t="s">
        <v>419</v>
      </c>
      <c r="E65" s="13" t="s">
        <v>131</v>
      </c>
      <c r="F65" s="13" t="s">
        <v>420</v>
      </c>
      <c r="G65" s="13" t="s">
        <v>415</v>
      </c>
      <c r="H65" s="13" t="s">
        <v>469</v>
      </c>
      <c r="I65" s="13" t="str">
        <f t="shared" si="0"/>
        <v>Sports</v>
      </c>
      <c r="J65" s="13">
        <v>83.06</v>
      </c>
      <c r="K65" s="13">
        <v>87.212999999999994</v>
      </c>
      <c r="L65" s="13">
        <v>7</v>
      </c>
      <c r="M65" s="13" t="s">
        <v>417</v>
      </c>
      <c r="N65" s="13">
        <v>4</v>
      </c>
      <c r="O65" s="13">
        <f>(CATEGORIZATION!$K65-CATEGORIZATION!$J65)</f>
        <v>4.1529999999999916</v>
      </c>
    </row>
    <row r="66" spans="2:15" ht="15.75">
      <c r="B66" s="13" t="s">
        <v>509</v>
      </c>
      <c r="C66" s="76">
        <v>43551</v>
      </c>
      <c r="D66" s="13" t="s">
        <v>175</v>
      </c>
      <c r="E66" s="13" t="s">
        <v>134</v>
      </c>
      <c r="F66" s="13" t="s">
        <v>414</v>
      </c>
      <c r="G66" s="13" t="s">
        <v>494</v>
      </c>
      <c r="H66" s="13" t="s">
        <v>450</v>
      </c>
      <c r="I66" s="13" t="str">
        <f t="shared" si="0"/>
        <v>Food and beverages</v>
      </c>
      <c r="J66" s="13">
        <v>49.38</v>
      </c>
      <c r="K66" s="13">
        <v>51.848999999999997</v>
      </c>
      <c r="L66" s="13">
        <v>7</v>
      </c>
      <c r="M66" s="13" t="s">
        <v>433</v>
      </c>
      <c r="N66" s="13">
        <v>7.3</v>
      </c>
      <c r="O66" s="13">
        <f>(CATEGORIZATION!$K66-CATEGORIZATION!$J66)</f>
        <v>2.4689999999999941</v>
      </c>
    </row>
    <row r="67" spans="2:15" ht="15.75">
      <c r="B67" s="13" t="s">
        <v>510</v>
      </c>
      <c r="C67" s="76">
        <v>43497</v>
      </c>
      <c r="D67" s="13" t="s">
        <v>175</v>
      </c>
      <c r="E67" s="13" t="s">
        <v>134</v>
      </c>
      <c r="F67" s="13" t="s">
        <v>420</v>
      </c>
      <c r="G67" s="13" t="s">
        <v>494</v>
      </c>
      <c r="H67" s="13" t="s">
        <v>455</v>
      </c>
      <c r="I67" s="13" t="str">
        <f t="shared" si="0"/>
        <v>Sports</v>
      </c>
      <c r="J67" s="13">
        <v>42.47</v>
      </c>
      <c r="K67" s="13">
        <v>44.593499999999999</v>
      </c>
      <c r="L67" s="13">
        <v>1</v>
      </c>
      <c r="M67" s="13" t="s">
        <v>422</v>
      </c>
      <c r="N67" s="13">
        <v>5.7</v>
      </c>
      <c r="O67" s="13">
        <f>(CATEGORIZATION!$K67-CATEGORIZATION!$J67)</f>
        <v>2.1234999999999999</v>
      </c>
    </row>
    <row r="68" spans="2:15" ht="15.75">
      <c r="B68" s="13" t="s">
        <v>511</v>
      </c>
      <c r="C68" s="76">
        <v>43523</v>
      </c>
      <c r="D68" s="13" t="s">
        <v>266</v>
      </c>
      <c r="E68" s="13" t="s">
        <v>135</v>
      </c>
      <c r="F68" s="13" t="s">
        <v>420</v>
      </c>
      <c r="G68" s="13" t="s">
        <v>415</v>
      </c>
      <c r="H68" s="13" t="s">
        <v>459</v>
      </c>
      <c r="I68" s="13" t="str">
        <f t="shared" ref="I68:I131" si="1">VLOOKUP(H68,$R$5:$S$32,2,FALSE)</f>
        <v>Health and beauty</v>
      </c>
      <c r="J68" s="13">
        <v>76.989999999999995</v>
      </c>
      <c r="K68" s="13">
        <v>80.839500000000001</v>
      </c>
      <c r="L68" s="13">
        <v>6</v>
      </c>
      <c r="M68" s="13" t="s">
        <v>422</v>
      </c>
      <c r="N68" s="13">
        <v>6.1</v>
      </c>
      <c r="O68" s="13">
        <f>(CATEGORIZATION!$K68-CATEGORIZATION!$J68)</f>
        <v>3.8495000000000061</v>
      </c>
    </row>
    <row r="69" spans="2:15" ht="15.75">
      <c r="B69" s="13" t="s">
        <v>512</v>
      </c>
      <c r="C69" s="76">
        <v>43491</v>
      </c>
      <c r="D69" s="13" t="s">
        <v>419</v>
      </c>
      <c r="E69" s="13" t="s">
        <v>131</v>
      </c>
      <c r="F69" s="13" t="s">
        <v>420</v>
      </c>
      <c r="G69" s="13" t="s">
        <v>415</v>
      </c>
      <c r="H69" s="13" t="s">
        <v>469</v>
      </c>
      <c r="I69" s="13" t="str">
        <f t="shared" si="1"/>
        <v>Sports</v>
      </c>
      <c r="J69" s="13">
        <v>44.86</v>
      </c>
      <c r="K69" s="13">
        <v>47.102999999999994</v>
      </c>
      <c r="L69" s="13">
        <v>10</v>
      </c>
      <c r="M69" s="13" t="s">
        <v>417</v>
      </c>
      <c r="N69" s="13">
        <v>8.1999999999999993</v>
      </c>
      <c r="O69" s="13">
        <f>(CATEGORIZATION!$K69-CATEGORIZATION!$J69)</f>
        <v>2.242999999999995</v>
      </c>
    </row>
    <row r="70" spans="2:15" ht="15.75">
      <c r="B70" s="13" t="s">
        <v>513</v>
      </c>
      <c r="C70" s="76">
        <v>43739</v>
      </c>
      <c r="D70" s="13" t="s">
        <v>175</v>
      </c>
      <c r="E70" s="13" t="s">
        <v>134</v>
      </c>
      <c r="F70" s="13" t="s">
        <v>414</v>
      </c>
      <c r="G70" s="13" t="s">
        <v>415</v>
      </c>
      <c r="H70" s="13" t="s">
        <v>444</v>
      </c>
      <c r="I70" s="13" t="str">
        <f t="shared" si="1"/>
        <v>Sports</v>
      </c>
      <c r="J70" s="13">
        <v>21.98</v>
      </c>
      <c r="K70" s="13">
        <v>23.079000000000001</v>
      </c>
      <c r="L70" s="13">
        <v>7</v>
      </c>
      <c r="M70" s="13" t="s">
        <v>417</v>
      </c>
      <c r="N70" s="13">
        <v>5.0999999999999996</v>
      </c>
      <c r="O70" s="13">
        <f>(CATEGORIZATION!$K70-CATEGORIZATION!$J70)</f>
        <v>1.0990000000000002</v>
      </c>
    </row>
    <row r="71" spans="2:15" ht="15.75">
      <c r="B71" s="13" t="s">
        <v>514</v>
      </c>
      <c r="C71" s="76">
        <v>43802</v>
      </c>
      <c r="D71" s="13" t="s">
        <v>266</v>
      </c>
      <c r="E71" s="13" t="s">
        <v>135</v>
      </c>
      <c r="F71" s="13" t="s">
        <v>414</v>
      </c>
      <c r="G71" s="13" t="s">
        <v>494</v>
      </c>
      <c r="H71" s="13" t="s">
        <v>442</v>
      </c>
      <c r="I71" s="13" t="str">
        <f t="shared" si="1"/>
        <v>Health and beauty</v>
      </c>
      <c r="J71" s="13">
        <v>64.36</v>
      </c>
      <c r="K71" s="13">
        <v>67.578000000000003</v>
      </c>
      <c r="L71" s="13">
        <v>9</v>
      </c>
      <c r="M71" s="13" t="s">
        <v>433</v>
      </c>
      <c r="N71" s="13">
        <v>8.6</v>
      </c>
      <c r="O71" s="13">
        <f>(CATEGORIZATION!$K71-CATEGORIZATION!$J71)</f>
        <v>3.2180000000000035</v>
      </c>
    </row>
    <row r="72" spans="2:15" ht="15.75">
      <c r="B72" s="13" t="s">
        <v>515</v>
      </c>
      <c r="C72" s="76">
        <v>43618</v>
      </c>
      <c r="D72" s="13" t="s">
        <v>419</v>
      </c>
      <c r="E72" s="13" t="s">
        <v>131</v>
      </c>
      <c r="F72" s="13" t="s">
        <v>420</v>
      </c>
      <c r="G72" s="13" t="s">
        <v>494</v>
      </c>
      <c r="H72" s="13" t="s">
        <v>459</v>
      </c>
      <c r="I72" s="13" t="str">
        <f t="shared" si="1"/>
        <v>Health and beauty</v>
      </c>
      <c r="J72" s="13">
        <v>89.75</v>
      </c>
      <c r="K72" s="13">
        <v>94.237499999999997</v>
      </c>
      <c r="L72" s="13">
        <v>1</v>
      </c>
      <c r="M72" s="13" t="s">
        <v>433</v>
      </c>
      <c r="N72" s="13">
        <v>6.6</v>
      </c>
      <c r="O72" s="13">
        <f>(CATEGORIZATION!$K72-CATEGORIZATION!$J72)</f>
        <v>4.4874999999999972</v>
      </c>
    </row>
    <row r="73" spans="2:15" ht="15.75">
      <c r="B73" s="13" t="s">
        <v>516</v>
      </c>
      <c r="C73" s="76">
        <v>43680</v>
      </c>
      <c r="D73" s="13" t="s">
        <v>175</v>
      </c>
      <c r="E73" s="13" t="s">
        <v>134</v>
      </c>
      <c r="F73" s="13" t="s">
        <v>420</v>
      </c>
      <c r="G73" s="13" t="s">
        <v>494</v>
      </c>
      <c r="H73" s="13" t="s">
        <v>421</v>
      </c>
      <c r="I73" s="13" t="str">
        <f t="shared" si="1"/>
        <v>Electronic accessories</v>
      </c>
      <c r="J73" s="13">
        <v>97.16</v>
      </c>
      <c r="K73" s="13">
        <v>102.018</v>
      </c>
      <c r="L73" s="13">
        <v>1</v>
      </c>
      <c r="M73" s="13" t="s">
        <v>417</v>
      </c>
      <c r="N73" s="13">
        <v>7.2</v>
      </c>
      <c r="O73" s="13">
        <f>(CATEGORIZATION!$K73-CATEGORIZATION!$J73)</f>
        <v>4.8580000000000041</v>
      </c>
    </row>
    <row r="74" spans="2:15" ht="15.75">
      <c r="B74" s="13" t="s">
        <v>517</v>
      </c>
      <c r="C74" s="76">
        <v>43553</v>
      </c>
      <c r="D74" s="13" t="s">
        <v>266</v>
      </c>
      <c r="E74" s="13" t="s">
        <v>135</v>
      </c>
      <c r="F74" s="13" t="s">
        <v>420</v>
      </c>
      <c r="G74" s="13" t="s">
        <v>494</v>
      </c>
      <c r="H74" s="13" t="s">
        <v>459</v>
      </c>
      <c r="I74" s="13" t="str">
        <f t="shared" si="1"/>
        <v>Health and beauty</v>
      </c>
      <c r="J74" s="13">
        <v>87.87</v>
      </c>
      <c r="K74" s="13">
        <v>92.263499999999993</v>
      </c>
      <c r="L74" s="13">
        <v>10</v>
      </c>
      <c r="M74" s="13" t="s">
        <v>417</v>
      </c>
      <c r="N74" s="13">
        <v>5.0999999999999996</v>
      </c>
      <c r="O74" s="13">
        <f>(CATEGORIZATION!$K74-CATEGORIZATION!$J74)</f>
        <v>4.3934999999999889</v>
      </c>
    </row>
    <row r="75" spans="2:15" ht="15.75">
      <c r="B75" s="13" t="s">
        <v>518</v>
      </c>
      <c r="C75" s="76">
        <v>43710</v>
      </c>
      <c r="D75" s="13" t="s">
        <v>419</v>
      </c>
      <c r="E75" s="13" t="s">
        <v>131</v>
      </c>
      <c r="F75" s="13" t="s">
        <v>420</v>
      </c>
      <c r="G75" s="13" t="s">
        <v>415</v>
      </c>
      <c r="H75" s="13" t="s">
        <v>421</v>
      </c>
      <c r="I75" s="13" t="str">
        <f t="shared" si="1"/>
        <v>Electronic accessories</v>
      </c>
      <c r="J75" s="13">
        <v>12.45</v>
      </c>
      <c r="K75" s="13">
        <v>13.0725</v>
      </c>
      <c r="L75" s="13">
        <v>6</v>
      </c>
      <c r="M75" s="13" t="s">
        <v>422</v>
      </c>
      <c r="N75" s="13">
        <v>4.0999999999999996</v>
      </c>
      <c r="O75" s="13">
        <f>(CATEGORIZATION!$K75-CATEGORIZATION!$J75)</f>
        <v>0.6225000000000005</v>
      </c>
    </row>
    <row r="76" spans="2:15" ht="15.75">
      <c r="B76" s="13" t="s">
        <v>519</v>
      </c>
      <c r="C76" s="76">
        <v>43547</v>
      </c>
      <c r="D76" s="13" t="s">
        <v>175</v>
      </c>
      <c r="E76" s="13" t="s">
        <v>134</v>
      </c>
      <c r="F76" s="13" t="s">
        <v>420</v>
      </c>
      <c r="G76" s="13" t="s">
        <v>494</v>
      </c>
      <c r="H76" s="13" t="s">
        <v>467</v>
      </c>
      <c r="I76" s="13" t="str">
        <f t="shared" si="1"/>
        <v>Food and beverages</v>
      </c>
      <c r="J76" s="13">
        <v>52.75</v>
      </c>
      <c r="K76" s="13">
        <v>55.387499999999996</v>
      </c>
      <c r="L76" s="13">
        <v>3</v>
      </c>
      <c r="M76" s="13" t="s">
        <v>417</v>
      </c>
      <c r="N76" s="13">
        <v>9.3000000000000007</v>
      </c>
      <c r="O76" s="13">
        <f>(CATEGORIZATION!$K76-CATEGORIZATION!$J76)</f>
        <v>2.6374999999999957</v>
      </c>
    </row>
    <row r="77" spans="2:15" ht="15.75">
      <c r="B77" s="13" t="s">
        <v>520</v>
      </c>
      <c r="C77" s="76">
        <v>43467</v>
      </c>
      <c r="D77" s="13" t="s">
        <v>419</v>
      </c>
      <c r="E77" s="13" t="s">
        <v>131</v>
      </c>
      <c r="F77" s="13" t="s">
        <v>420</v>
      </c>
      <c r="G77" s="13" t="s">
        <v>415</v>
      </c>
      <c r="H77" s="13" t="s">
        <v>421</v>
      </c>
      <c r="I77" s="13" t="str">
        <f t="shared" si="1"/>
        <v>Electronic accessories</v>
      </c>
      <c r="J77" s="13">
        <v>23.07</v>
      </c>
      <c r="K77" s="13">
        <v>24.223500000000001</v>
      </c>
      <c r="L77" s="13">
        <v>9</v>
      </c>
      <c r="M77" s="13" t="s">
        <v>422</v>
      </c>
      <c r="N77" s="13">
        <v>4.9000000000000004</v>
      </c>
      <c r="O77" s="13">
        <f>(CATEGORIZATION!$K77-CATEGORIZATION!$J77)</f>
        <v>1.1535000000000011</v>
      </c>
    </row>
    <row r="78" spans="2:15" ht="15.75">
      <c r="B78" s="13" t="s">
        <v>521</v>
      </c>
      <c r="C78" s="76">
        <v>43552</v>
      </c>
      <c r="D78" s="13" t="s">
        <v>175</v>
      </c>
      <c r="E78" s="13" t="s">
        <v>134</v>
      </c>
      <c r="F78" s="13" t="s">
        <v>420</v>
      </c>
      <c r="G78" s="13" t="s">
        <v>494</v>
      </c>
      <c r="H78" s="13" t="s">
        <v>467</v>
      </c>
      <c r="I78" s="13" t="str">
        <f t="shared" si="1"/>
        <v>Food and beverages</v>
      </c>
      <c r="J78" s="13">
        <v>58.26</v>
      </c>
      <c r="K78" s="13">
        <v>61.173000000000002</v>
      </c>
      <c r="L78" s="13">
        <v>6</v>
      </c>
      <c r="M78" s="13" t="s">
        <v>422</v>
      </c>
      <c r="N78" s="13">
        <v>9.9</v>
      </c>
      <c r="O78" s="13">
        <f>(CATEGORIZATION!$K78-CATEGORIZATION!$J78)</f>
        <v>2.9130000000000038</v>
      </c>
    </row>
    <row r="79" spans="2:15" ht="15.75">
      <c r="B79" s="13" t="s">
        <v>522</v>
      </c>
      <c r="C79" s="76">
        <v>43543</v>
      </c>
      <c r="D79" s="13" t="s">
        <v>266</v>
      </c>
      <c r="E79" s="13" t="s">
        <v>135</v>
      </c>
      <c r="F79" s="13" t="s">
        <v>420</v>
      </c>
      <c r="G79" s="13" t="s">
        <v>494</v>
      </c>
      <c r="H79" s="13" t="s">
        <v>416</v>
      </c>
      <c r="I79" s="13" t="str">
        <f t="shared" si="1"/>
        <v>Health and beauty</v>
      </c>
      <c r="J79" s="13">
        <v>30.35</v>
      </c>
      <c r="K79" s="13">
        <v>31.8675</v>
      </c>
      <c r="L79" s="13">
        <v>7</v>
      </c>
      <c r="M79" s="13" t="s">
        <v>422</v>
      </c>
      <c r="N79" s="13">
        <v>8</v>
      </c>
      <c r="O79" s="13">
        <f>(CATEGORIZATION!$K79-CATEGORIZATION!$J79)</f>
        <v>1.5174999999999983</v>
      </c>
    </row>
    <row r="80" spans="2:15" ht="15.75">
      <c r="B80" s="13" t="s">
        <v>523</v>
      </c>
      <c r="C80" s="76">
        <v>43800</v>
      </c>
      <c r="D80" s="13" t="s">
        <v>175</v>
      </c>
      <c r="E80" s="13" t="s">
        <v>134</v>
      </c>
      <c r="F80" s="13" t="s">
        <v>414</v>
      </c>
      <c r="G80" s="13" t="s">
        <v>494</v>
      </c>
      <c r="H80" s="13" t="s">
        <v>428</v>
      </c>
      <c r="I80" s="13" t="str">
        <f t="shared" si="1"/>
        <v>Electronic accessories</v>
      </c>
      <c r="J80" s="13">
        <v>88.67</v>
      </c>
      <c r="K80" s="13">
        <v>93.103499999999997</v>
      </c>
      <c r="L80" s="13">
        <v>10</v>
      </c>
      <c r="M80" s="13" t="s">
        <v>417</v>
      </c>
      <c r="N80" s="13">
        <v>7.3</v>
      </c>
      <c r="O80" s="13">
        <f>(CATEGORIZATION!$K80-CATEGORIZATION!$J80)</f>
        <v>4.4334999999999951</v>
      </c>
    </row>
    <row r="81" spans="2:15" ht="15.75">
      <c r="B81" s="13" t="s">
        <v>524</v>
      </c>
      <c r="C81" s="76">
        <v>43546</v>
      </c>
      <c r="D81" s="13" t="s">
        <v>175</v>
      </c>
      <c r="E81" s="13" t="s">
        <v>134</v>
      </c>
      <c r="F81" s="13" t="s">
        <v>420</v>
      </c>
      <c r="G81" s="13" t="s">
        <v>494</v>
      </c>
      <c r="H81" s="13" t="s">
        <v>469</v>
      </c>
      <c r="I81" s="13" t="str">
        <f t="shared" si="1"/>
        <v>Sports</v>
      </c>
      <c r="J81" s="13">
        <v>62.13</v>
      </c>
      <c r="K81" s="13">
        <v>65.236499999999992</v>
      </c>
      <c r="L81" s="13">
        <v>6</v>
      </c>
      <c r="M81" s="13" t="s">
        <v>422</v>
      </c>
      <c r="N81" s="13">
        <v>7.4</v>
      </c>
      <c r="O81" s="13">
        <f>(CATEGORIZATION!$K81-CATEGORIZATION!$J81)</f>
        <v>3.1064999999999898</v>
      </c>
    </row>
    <row r="82" spans="2:15" ht="15.75">
      <c r="B82" s="13" t="s">
        <v>525</v>
      </c>
      <c r="C82" s="76">
        <v>43548</v>
      </c>
      <c r="D82" s="13" t="s">
        <v>419</v>
      </c>
      <c r="E82" s="13" t="s">
        <v>131</v>
      </c>
      <c r="F82" s="13" t="s">
        <v>420</v>
      </c>
      <c r="G82" s="13" t="s">
        <v>415</v>
      </c>
      <c r="H82" s="13" t="s">
        <v>435</v>
      </c>
      <c r="I82" s="13" t="str">
        <f t="shared" si="1"/>
        <v>Food and beverages</v>
      </c>
      <c r="J82" s="13">
        <v>33.979999999999997</v>
      </c>
      <c r="K82" s="13">
        <v>35.679000000000002</v>
      </c>
      <c r="L82" s="13">
        <v>9</v>
      </c>
      <c r="M82" s="13" t="s">
        <v>422</v>
      </c>
      <c r="N82" s="13">
        <v>4.2</v>
      </c>
      <c r="O82" s="13">
        <f>(CATEGORIZATION!$K82-CATEGORIZATION!$J82)</f>
        <v>1.6990000000000052</v>
      </c>
    </row>
    <row r="83" spans="2:15" ht="15.75">
      <c r="B83" s="13" t="s">
        <v>526</v>
      </c>
      <c r="C83" s="76">
        <v>43527</v>
      </c>
      <c r="D83" s="13" t="s">
        <v>419</v>
      </c>
      <c r="E83" s="13" t="s">
        <v>131</v>
      </c>
      <c r="F83" s="13" t="s">
        <v>414</v>
      </c>
      <c r="G83" s="13" t="s">
        <v>494</v>
      </c>
      <c r="H83" s="13" t="s">
        <v>421</v>
      </c>
      <c r="I83" s="13" t="str">
        <f t="shared" si="1"/>
        <v>Electronic accessories</v>
      </c>
      <c r="J83" s="13">
        <v>81.97</v>
      </c>
      <c r="K83" s="13">
        <v>86.0685</v>
      </c>
      <c r="L83" s="13">
        <v>10</v>
      </c>
      <c r="M83" s="13" t="s">
        <v>422</v>
      </c>
      <c r="N83" s="13">
        <v>9.1999999999999993</v>
      </c>
      <c r="O83" s="13">
        <f>(CATEGORIZATION!$K83-CATEGORIZATION!$J83)</f>
        <v>4.0985000000000014</v>
      </c>
    </row>
    <row r="84" spans="2:15" ht="15.75">
      <c r="B84" s="13" t="s">
        <v>527</v>
      </c>
      <c r="C84" s="76">
        <v>43587</v>
      </c>
      <c r="D84" s="13" t="s">
        <v>266</v>
      </c>
      <c r="E84" s="13" t="s">
        <v>135</v>
      </c>
      <c r="F84" s="13" t="s">
        <v>414</v>
      </c>
      <c r="G84" s="13" t="s">
        <v>415</v>
      </c>
      <c r="H84" s="13" t="s">
        <v>469</v>
      </c>
      <c r="I84" s="13" t="str">
        <f t="shared" si="1"/>
        <v>Sports</v>
      </c>
      <c r="J84" s="13">
        <v>16.489999999999998</v>
      </c>
      <c r="K84" s="13">
        <v>17.314499999999999</v>
      </c>
      <c r="L84" s="13">
        <v>2</v>
      </c>
      <c r="M84" s="13" t="s">
        <v>417</v>
      </c>
      <c r="N84" s="13">
        <v>4.5999999999999996</v>
      </c>
      <c r="O84" s="13">
        <f>(CATEGORIZATION!$K84-CATEGORIZATION!$J84)</f>
        <v>0.82450000000000045</v>
      </c>
    </row>
    <row r="85" spans="2:15" ht="15.75">
      <c r="B85" s="13" t="s">
        <v>528</v>
      </c>
      <c r="C85" s="76">
        <v>43587</v>
      </c>
      <c r="D85" s="13" t="s">
        <v>419</v>
      </c>
      <c r="E85" s="13" t="s">
        <v>131</v>
      </c>
      <c r="F85" s="13" t="s">
        <v>414</v>
      </c>
      <c r="G85" s="13" t="s">
        <v>415</v>
      </c>
      <c r="H85" s="13" t="s">
        <v>442</v>
      </c>
      <c r="I85" s="13" t="str">
        <f t="shared" si="1"/>
        <v>Health and beauty</v>
      </c>
      <c r="J85" s="13">
        <v>98.21</v>
      </c>
      <c r="K85" s="13">
        <v>103.12049999999999</v>
      </c>
      <c r="L85" s="13">
        <v>3</v>
      </c>
      <c r="M85" s="13" t="s">
        <v>433</v>
      </c>
      <c r="N85" s="13">
        <v>7.8</v>
      </c>
      <c r="O85" s="13">
        <f>(CATEGORIZATION!$K85-CATEGORIZATION!$J85)</f>
        <v>4.910499999999999</v>
      </c>
    </row>
    <row r="86" spans="2:15" ht="15.75">
      <c r="B86" s="13" t="s">
        <v>529</v>
      </c>
      <c r="C86" s="76">
        <v>43498</v>
      </c>
      <c r="D86" s="13" t="s">
        <v>175</v>
      </c>
      <c r="E86" s="13" t="s">
        <v>134</v>
      </c>
      <c r="F86" s="13" t="s">
        <v>420</v>
      </c>
      <c r="G86" s="13" t="s">
        <v>415</v>
      </c>
      <c r="H86" s="13" t="s">
        <v>435</v>
      </c>
      <c r="I86" s="13" t="str">
        <f t="shared" si="1"/>
        <v>Food and beverages</v>
      </c>
      <c r="J86" s="13">
        <v>10.96</v>
      </c>
      <c r="K86" s="13">
        <v>11.507999999999999</v>
      </c>
      <c r="L86" s="13">
        <v>10</v>
      </c>
      <c r="M86" s="13" t="s">
        <v>417</v>
      </c>
      <c r="N86" s="13">
        <v>6</v>
      </c>
      <c r="O86" s="13">
        <f>(CATEGORIZATION!$K86-CATEGORIZATION!$J86)</f>
        <v>0.54799999999999827</v>
      </c>
    </row>
    <row r="87" spans="2:15" ht="15.75">
      <c r="B87" s="13" t="s">
        <v>530</v>
      </c>
      <c r="C87" s="76">
        <v>43510</v>
      </c>
      <c r="D87" s="13" t="s">
        <v>175</v>
      </c>
      <c r="E87" s="13" t="s">
        <v>134</v>
      </c>
      <c r="F87" s="13" t="s">
        <v>420</v>
      </c>
      <c r="G87" s="13" t="s">
        <v>415</v>
      </c>
      <c r="H87" s="13" t="s">
        <v>421</v>
      </c>
      <c r="I87" s="13" t="str">
        <f t="shared" si="1"/>
        <v>Electronic accessories</v>
      </c>
      <c r="J87" s="13">
        <v>99.56</v>
      </c>
      <c r="K87" s="13">
        <v>104.538</v>
      </c>
      <c r="L87" s="13">
        <v>8</v>
      </c>
      <c r="M87" s="13" t="s">
        <v>433</v>
      </c>
      <c r="N87" s="13">
        <v>5.2</v>
      </c>
      <c r="O87" s="13">
        <f>(CATEGORIZATION!$K87-CATEGORIZATION!$J87)</f>
        <v>4.9779999999999944</v>
      </c>
    </row>
    <row r="88" spans="2:15" ht="15.75">
      <c r="B88" s="13" t="s">
        <v>531</v>
      </c>
      <c r="C88" s="76">
        <v>43800</v>
      </c>
      <c r="D88" s="13" t="s">
        <v>419</v>
      </c>
      <c r="E88" s="13" t="s">
        <v>131</v>
      </c>
      <c r="F88" s="13" t="s">
        <v>414</v>
      </c>
      <c r="G88" s="13" t="s">
        <v>494</v>
      </c>
      <c r="H88" s="13" t="s">
        <v>469</v>
      </c>
      <c r="I88" s="13" t="str">
        <f t="shared" si="1"/>
        <v>Sports</v>
      </c>
      <c r="J88" s="13">
        <v>57.12</v>
      </c>
      <c r="K88" s="13">
        <v>59.975999999999999</v>
      </c>
      <c r="L88" s="13">
        <v>7</v>
      </c>
      <c r="M88" s="13" t="s">
        <v>433</v>
      </c>
      <c r="N88" s="13">
        <v>6.5</v>
      </c>
      <c r="O88" s="13">
        <f>(CATEGORIZATION!$K88-CATEGORIZATION!$J88)</f>
        <v>2.8560000000000016</v>
      </c>
    </row>
    <row r="89" spans="2:15" ht="15.75">
      <c r="B89" s="13" t="s">
        <v>532</v>
      </c>
      <c r="C89" s="76">
        <v>43711</v>
      </c>
      <c r="D89" s="13" t="s">
        <v>266</v>
      </c>
      <c r="E89" s="13" t="s">
        <v>135</v>
      </c>
      <c r="F89" s="13" t="s">
        <v>414</v>
      </c>
      <c r="G89" s="13" t="s">
        <v>494</v>
      </c>
      <c r="H89" s="13" t="s">
        <v>469</v>
      </c>
      <c r="I89" s="13" t="str">
        <f t="shared" si="1"/>
        <v>Sports</v>
      </c>
      <c r="J89" s="13">
        <v>99.96</v>
      </c>
      <c r="K89" s="13">
        <v>104.958</v>
      </c>
      <c r="L89" s="13">
        <v>9</v>
      </c>
      <c r="M89" s="13" t="s">
        <v>433</v>
      </c>
      <c r="N89" s="13">
        <v>4.2</v>
      </c>
      <c r="O89" s="13">
        <f>(CATEGORIZATION!$K89-CATEGORIZATION!$J89)</f>
        <v>4.9980000000000047</v>
      </c>
    </row>
    <row r="90" spans="2:15" ht="15.75">
      <c r="B90" s="13" t="s">
        <v>533</v>
      </c>
      <c r="C90" s="76">
        <v>43492</v>
      </c>
      <c r="D90" s="13" t="s">
        <v>175</v>
      </c>
      <c r="E90" s="13" t="s">
        <v>134</v>
      </c>
      <c r="F90" s="13" t="s">
        <v>420</v>
      </c>
      <c r="G90" s="13" t="s">
        <v>415</v>
      </c>
      <c r="H90" s="13" t="s">
        <v>469</v>
      </c>
      <c r="I90" s="13" t="str">
        <f t="shared" si="1"/>
        <v>Sports</v>
      </c>
      <c r="J90" s="13">
        <v>32.25</v>
      </c>
      <c r="K90" s="13">
        <v>33.862499999999997</v>
      </c>
      <c r="L90" s="13">
        <v>5</v>
      </c>
      <c r="M90" s="13" t="s">
        <v>422</v>
      </c>
      <c r="N90" s="13">
        <v>9</v>
      </c>
      <c r="O90" s="13">
        <f>(CATEGORIZATION!$K90-CATEGORIZATION!$J90)</f>
        <v>1.6124999999999972</v>
      </c>
    </row>
    <row r="91" spans="2:15" ht="15.75">
      <c r="B91" s="13" t="s">
        <v>534</v>
      </c>
      <c r="C91" s="76">
        <v>43678</v>
      </c>
      <c r="D91" s="13" t="s">
        <v>419</v>
      </c>
      <c r="E91" s="13" t="s">
        <v>131</v>
      </c>
      <c r="F91" s="13" t="s">
        <v>414</v>
      </c>
      <c r="G91" s="13" t="s">
        <v>415</v>
      </c>
      <c r="H91" s="13" t="s">
        <v>435</v>
      </c>
      <c r="I91" s="13" t="str">
        <f t="shared" si="1"/>
        <v>Food and beverages</v>
      </c>
      <c r="J91" s="13">
        <v>68.540000000000006</v>
      </c>
      <c r="K91" s="13">
        <v>71.966999999999999</v>
      </c>
      <c r="L91" s="13">
        <v>8</v>
      </c>
      <c r="M91" s="13" t="s">
        <v>417</v>
      </c>
      <c r="N91" s="13">
        <v>8.5</v>
      </c>
      <c r="O91" s="13">
        <f>(CATEGORIZATION!$K91-CATEGORIZATION!$J91)</f>
        <v>3.4269999999999925</v>
      </c>
    </row>
    <row r="92" spans="2:15" ht="15.75">
      <c r="B92" s="13" t="s">
        <v>535</v>
      </c>
      <c r="C92" s="76">
        <v>43679</v>
      </c>
      <c r="D92" s="13" t="s">
        <v>266</v>
      </c>
      <c r="E92" s="13" t="s">
        <v>135</v>
      </c>
      <c r="F92" s="13" t="s">
        <v>420</v>
      </c>
      <c r="G92" s="13" t="s">
        <v>415</v>
      </c>
      <c r="H92" s="13" t="s">
        <v>455</v>
      </c>
      <c r="I92" s="13" t="str">
        <f t="shared" si="1"/>
        <v>Sports</v>
      </c>
      <c r="J92" s="13">
        <v>90.28</v>
      </c>
      <c r="K92" s="13">
        <v>94.793999999999997</v>
      </c>
      <c r="L92" s="13">
        <v>9</v>
      </c>
      <c r="M92" s="13" t="s">
        <v>417</v>
      </c>
      <c r="N92" s="13">
        <v>7.2</v>
      </c>
      <c r="O92" s="13">
        <f>(CATEGORIZATION!$K92-CATEGORIZATION!$J92)</f>
        <v>4.5139999999999958</v>
      </c>
    </row>
    <row r="93" spans="2:15" ht="15.75">
      <c r="B93" s="13" t="s">
        <v>536</v>
      </c>
      <c r="C93" s="76">
        <v>43619</v>
      </c>
      <c r="D93" s="13" t="s">
        <v>175</v>
      </c>
      <c r="E93" s="13" t="s">
        <v>134</v>
      </c>
      <c r="F93" s="13" t="s">
        <v>414</v>
      </c>
      <c r="G93" s="13" t="s">
        <v>415</v>
      </c>
      <c r="H93" s="13" t="s">
        <v>444</v>
      </c>
      <c r="I93" s="13" t="str">
        <f t="shared" si="1"/>
        <v>Sports</v>
      </c>
      <c r="J93" s="13">
        <v>92.13</v>
      </c>
      <c r="K93" s="13">
        <v>96.736499999999992</v>
      </c>
      <c r="L93" s="13">
        <v>6</v>
      </c>
      <c r="M93" s="13" t="s">
        <v>422</v>
      </c>
      <c r="N93" s="13">
        <v>8.3000000000000007</v>
      </c>
      <c r="O93" s="13">
        <f>(CATEGORIZATION!$K93-CATEGORIZATION!$J93)</f>
        <v>4.6064999999999969</v>
      </c>
    </row>
    <row r="94" spans="2:15" ht="15.75">
      <c r="B94" s="13" t="s">
        <v>537</v>
      </c>
      <c r="C94" s="76">
        <v>43740</v>
      </c>
      <c r="D94" s="13" t="s">
        <v>266</v>
      </c>
      <c r="E94" s="13" t="s">
        <v>135</v>
      </c>
      <c r="F94" s="13" t="s">
        <v>420</v>
      </c>
      <c r="G94" s="13" t="s">
        <v>415</v>
      </c>
      <c r="H94" s="13" t="s">
        <v>426</v>
      </c>
      <c r="I94" s="13" t="str">
        <f t="shared" si="1"/>
        <v>Sports</v>
      </c>
      <c r="J94" s="13">
        <v>34.840000000000003</v>
      </c>
      <c r="K94" s="13">
        <v>36.582000000000001</v>
      </c>
      <c r="L94" s="13">
        <v>4</v>
      </c>
      <c r="M94" s="13" t="s">
        <v>422</v>
      </c>
      <c r="N94" s="13">
        <v>7.4</v>
      </c>
      <c r="O94" s="13">
        <f>(CATEGORIZATION!$K94-CATEGORIZATION!$J94)</f>
        <v>1.7419999999999973</v>
      </c>
    </row>
    <row r="95" spans="2:15" ht="15.75">
      <c r="B95" s="13" t="s">
        <v>538</v>
      </c>
      <c r="C95" s="76">
        <v>43513</v>
      </c>
      <c r="D95" s="13" t="s">
        <v>266</v>
      </c>
      <c r="E95" s="13" t="s">
        <v>135</v>
      </c>
      <c r="F95" s="13" t="s">
        <v>414</v>
      </c>
      <c r="G95" s="13" t="s">
        <v>494</v>
      </c>
      <c r="H95" s="13" t="s">
        <v>421</v>
      </c>
      <c r="I95" s="13" t="str">
        <f t="shared" si="1"/>
        <v>Electronic accessories</v>
      </c>
      <c r="J95" s="13">
        <v>87.45</v>
      </c>
      <c r="K95" s="13">
        <v>91.822499999999991</v>
      </c>
      <c r="L95" s="13">
        <v>6</v>
      </c>
      <c r="M95" s="13" t="s">
        <v>433</v>
      </c>
      <c r="N95" s="13">
        <v>8.8000000000000007</v>
      </c>
      <c r="O95" s="13">
        <f>(CATEGORIZATION!$K95-CATEGORIZATION!$J95)</f>
        <v>4.3724999999999881</v>
      </c>
    </row>
    <row r="96" spans="2:15" ht="15.75">
      <c r="B96" s="13" t="s">
        <v>539</v>
      </c>
      <c r="C96" s="76">
        <v>43680</v>
      </c>
      <c r="D96" s="13" t="s">
        <v>419</v>
      </c>
      <c r="E96" s="13" t="s">
        <v>131</v>
      </c>
      <c r="F96" s="13" t="s">
        <v>420</v>
      </c>
      <c r="G96" s="13" t="s">
        <v>415</v>
      </c>
      <c r="H96" s="13" t="s">
        <v>442</v>
      </c>
      <c r="I96" s="13" t="str">
        <f t="shared" si="1"/>
        <v>Health and beauty</v>
      </c>
      <c r="J96" s="13">
        <v>81.3</v>
      </c>
      <c r="K96" s="13">
        <v>85.365000000000009</v>
      </c>
      <c r="L96" s="13">
        <v>6</v>
      </c>
      <c r="M96" s="13" t="s">
        <v>417</v>
      </c>
      <c r="N96" s="13">
        <v>5.3</v>
      </c>
      <c r="O96" s="13">
        <f>(CATEGORIZATION!$K96-CATEGORIZATION!$J96)</f>
        <v>4.0650000000000119</v>
      </c>
    </row>
    <row r="97" spans="2:15" ht="15.75">
      <c r="B97" s="13" t="s">
        <v>540</v>
      </c>
      <c r="C97" s="76">
        <v>43483</v>
      </c>
      <c r="D97" s="13" t="s">
        <v>175</v>
      </c>
      <c r="E97" s="13" t="s">
        <v>134</v>
      </c>
      <c r="F97" s="13" t="s">
        <v>420</v>
      </c>
      <c r="G97" s="13" t="s">
        <v>415</v>
      </c>
      <c r="H97" s="13" t="s">
        <v>430</v>
      </c>
      <c r="I97" s="13" t="str">
        <f t="shared" si="1"/>
        <v>Electronic accessories</v>
      </c>
      <c r="J97" s="13">
        <v>26.31</v>
      </c>
      <c r="K97" s="13">
        <v>27.625499999999999</v>
      </c>
      <c r="L97" s="13">
        <v>5</v>
      </c>
      <c r="M97" s="13" t="s">
        <v>433</v>
      </c>
      <c r="N97" s="13">
        <v>8.8000000000000007</v>
      </c>
      <c r="O97" s="13">
        <f>(CATEGORIZATION!$K97-CATEGORIZATION!$J97)</f>
        <v>1.3155000000000001</v>
      </c>
    </row>
    <row r="98" spans="2:15" ht="15.75">
      <c r="B98" s="13" t="s">
        <v>541</v>
      </c>
      <c r="C98" s="76">
        <v>43512</v>
      </c>
      <c r="D98" s="13" t="s">
        <v>266</v>
      </c>
      <c r="E98" s="13" t="s">
        <v>135</v>
      </c>
      <c r="F98" s="13" t="s">
        <v>420</v>
      </c>
      <c r="G98" s="13" t="s">
        <v>494</v>
      </c>
      <c r="H98" s="13" t="s">
        <v>461</v>
      </c>
      <c r="I98" s="13" t="str">
        <f t="shared" si="1"/>
        <v>Sports</v>
      </c>
      <c r="J98" s="13">
        <v>51.91</v>
      </c>
      <c r="K98" s="13">
        <v>54.505499999999998</v>
      </c>
      <c r="L98" s="13">
        <v>10</v>
      </c>
      <c r="M98" s="13" t="s">
        <v>422</v>
      </c>
      <c r="N98" s="13">
        <v>8.1999999999999993</v>
      </c>
      <c r="O98" s="13">
        <f>(CATEGORIZATION!$K98-CATEGORIZATION!$J98)</f>
        <v>2.5955000000000013</v>
      </c>
    </row>
    <row r="99" spans="2:15" ht="15.75">
      <c r="B99" s="13" t="s">
        <v>542</v>
      </c>
      <c r="C99" s="76">
        <v>43540</v>
      </c>
      <c r="D99" s="13" t="s">
        <v>175</v>
      </c>
      <c r="E99" s="13" t="s">
        <v>134</v>
      </c>
      <c r="F99" s="13" t="s">
        <v>420</v>
      </c>
      <c r="G99" s="13" t="s">
        <v>494</v>
      </c>
      <c r="H99" s="13" t="s">
        <v>461</v>
      </c>
      <c r="I99" s="13" t="str">
        <f t="shared" si="1"/>
        <v>Sports</v>
      </c>
      <c r="J99" s="13">
        <v>72.5</v>
      </c>
      <c r="K99" s="13">
        <v>76.125</v>
      </c>
      <c r="L99" s="13">
        <v>8</v>
      </c>
      <c r="M99" s="13" t="s">
        <v>417</v>
      </c>
      <c r="N99" s="13">
        <v>9.1999999999999993</v>
      </c>
      <c r="O99" s="13">
        <f>(CATEGORIZATION!$K99-CATEGORIZATION!$J99)</f>
        <v>3.625</v>
      </c>
    </row>
    <row r="100" spans="2:15" ht="15.75">
      <c r="B100" s="13" t="s">
        <v>543</v>
      </c>
      <c r="C100" s="76">
        <v>43488</v>
      </c>
      <c r="D100" s="13" t="s">
        <v>419</v>
      </c>
      <c r="E100" s="13" t="s">
        <v>131</v>
      </c>
      <c r="F100" s="13" t="s">
        <v>414</v>
      </c>
      <c r="G100" s="13" t="s">
        <v>415</v>
      </c>
      <c r="H100" s="13" t="s">
        <v>461</v>
      </c>
      <c r="I100" s="13" t="str">
        <f t="shared" si="1"/>
        <v>Sports</v>
      </c>
      <c r="J100" s="13">
        <v>89.8</v>
      </c>
      <c r="K100" s="13">
        <v>94.289999999999992</v>
      </c>
      <c r="L100" s="13">
        <v>10</v>
      </c>
      <c r="M100" s="13" t="s">
        <v>433</v>
      </c>
      <c r="N100" s="13">
        <v>5.4</v>
      </c>
      <c r="O100" s="13">
        <f>(CATEGORIZATION!$K100-CATEGORIZATION!$J100)</f>
        <v>4.4899999999999949</v>
      </c>
    </row>
    <row r="101" spans="2:15" ht="15.75">
      <c r="B101" s="13" t="s">
        <v>544</v>
      </c>
      <c r="C101" s="76">
        <v>43490</v>
      </c>
      <c r="D101" s="13" t="s">
        <v>419</v>
      </c>
      <c r="E101" s="13" t="s">
        <v>131</v>
      </c>
      <c r="F101" s="13" t="s">
        <v>414</v>
      </c>
      <c r="G101" s="13" t="s">
        <v>494</v>
      </c>
      <c r="H101" s="13" t="s">
        <v>416</v>
      </c>
      <c r="I101" s="13" t="str">
        <f t="shared" si="1"/>
        <v>Health and beauty</v>
      </c>
      <c r="J101" s="13">
        <v>90.5</v>
      </c>
      <c r="K101" s="13">
        <v>95.025000000000006</v>
      </c>
      <c r="L101" s="13">
        <v>10</v>
      </c>
      <c r="M101" s="13" t="s">
        <v>422</v>
      </c>
      <c r="N101" s="13">
        <v>8.1</v>
      </c>
      <c r="O101" s="13">
        <f>(CATEGORIZATION!$K101-CATEGORIZATION!$J101)</f>
        <v>4.5250000000000057</v>
      </c>
    </row>
    <row r="102" spans="2:15" ht="15.75">
      <c r="B102" s="13" t="s">
        <v>545</v>
      </c>
      <c r="C102" s="76">
        <v>43587</v>
      </c>
      <c r="D102" s="13" t="s">
        <v>419</v>
      </c>
      <c r="E102" s="13" t="s">
        <v>131</v>
      </c>
      <c r="F102" s="13" t="s">
        <v>414</v>
      </c>
      <c r="G102" s="13" t="s">
        <v>415</v>
      </c>
      <c r="H102" s="13" t="s">
        <v>416</v>
      </c>
      <c r="I102" s="13" t="str">
        <f t="shared" si="1"/>
        <v>Health and beauty</v>
      </c>
      <c r="J102" s="13">
        <v>68.599999999999994</v>
      </c>
      <c r="K102" s="13">
        <v>72.03</v>
      </c>
      <c r="L102" s="13">
        <v>10</v>
      </c>
      <c r="M102" s="13" t="s">
        <v>422</v>
      </c>
      <c r="N102" s="13">
        <v>9.1</v>
      </c>
      <c r="O102" s="13">
        <f>(CATEGORIZATION!$K102-CATEGORIZATION!$J102)</f>
        <v>3.4300000000000068</v>
      </c>
    </row>
    <row r="103" spans="2:15" ht="15.75">
      <c r="B103" s="13" t="s">
        <v>546</v>
      </c>
      <c r="C103" s="76">
        <v>43518</v>
      </c>
      <c r="D103" s="13" t="s">
        <v>419</v>
      </c>
      <c r="E103" s="13" t="s">
        <v>131</v>
      </c>
      <c r="F103" s="13" t="s">
        <v>414</v>
      </c>
      <c r="G103" s="13" t="s">
        <v>415</v>
      </c>
      <c r="H103" s="13" t="s">
        <v>435</v>
      </c>
      <c r="I103" s="13" t="str">
        <f t="shared" si="1"/>
        <v>Food and beverages</v>
      </c>
      <c r="J103" s="13">
        <v>30.41</v>
      </c>
      <c r="K103" s="13">
        <v>31.930499999999999</v>
      </c>
      <c r="L103" s="13">
        <v>1</v>
      </c>
      <c r="M103" s="13" t="s">
        <v>433</v>
      </c>
      <c r="N103" s="13">
        <v>8.4</v>
      </c>
      <c r="O103" s="13">
        <f>(CATEGORIZATION!$K103-CATEGORIZATION!$J103)</f>
        <v>1.5204999999999984</v>
      </c>
    </row>
    <row r="104" spans="2:15" ht="15.75">
      <c r="B104" s="13" t="s">
        <v>547</v>
      </c>
      <c r="C104" s="76">
        <v>43680</v>
      </c>
      <c r="D104" s="13" t="s">
        <v>419</v>
      </c>
      <c r="E104" s="13" t="s">
        <v>131</v>
      </c>
      <c r="F104" s="13" t="s">
        <v>420</v>
      </c>
      <c r="G104" s="13" t="s">
        <v>415</v>
      </c>
      <c r="H104" s="13" t="s">
        <v>459</v>
      </c>
      <c r="I104" s="13" t="str">
        <f t="shared" si="1"/>
        <v>Health and beauty</v>
      </c>
      <c r="J104" s="13">
        <v>46.26</v>
      </c>
      <c r="K104" s="13">
        <v>48.573</v>
      </c>
      <c r="L104" s="13">
        <v>6</v>
      </c>
      <c r="M104" s="13" t="s">
        <v>433</v>
      </c>
      <c r="N104" s="13">
        <v>9.5</v>
      </c>
      <c r="O104" s="13">
        <f>(CATEGORIZATION!$K104-CATEGORIZATION!$J104)</f>
        <v>2.3130000000000024</v>
      </c>
    </row>
    <row r="105" spans="2:15" ht="15.75">
      <c r="B105" s="13" t="s">
        <v>548</v>
      </c>
      <c r="C105" s="76">
        <v>43543</v>
      </c>
      <c r="D105" s="13" t="s">
        <v>419</v>
      </c>
      <c r="E105" s="13" t="s">
        <v>131</v>
      </c>
      <c r="F105" s="13" t="s">
        <v>420</v>
      </c>
      <c r="G105" s="13" t="s">
        <v>494</v>
      </c>
      <c r="H105" s="13" t="s">
        <v>416</v>
      </c>
      <c r="I105" s="13" t="str">
        <f t="shared" si="1"/>
        <v>Health and beauty</v>
      </c>
      <c r="J105" s="13">
        <v>66.14</v>
      </c>
      <c r="K105" s="13">
        <v>69.447000000000003</v>
      </c>
      <c r="L105" s="13">
        <v>4</v>
      </c>
      <c r="M105" s="13" t="s">
        <v>433</v>
      </c>
      <c r="N105" s="13">
        <v>5.6</v>
      </c>
      <c r="O105" s="13">
        <f>(CATEGORIZATION!$K105-CATEGORIZATION!$J105)</f>
        <v>3.3070000000000022</v>
      </c>
    </row>
    <row r="106" spans="2:15" ht="15.75">
      <c r="B106" s="13" t="s">
        <v>549</v>
      </c>
      <c r="C106" s="76">
        <v>43551</v>
      </c>
      <c r="D106" s="13" t="s">
        <v>175</v>
      </c>
      <c r="E106" s="13" t="s">
        <v>134</v>
      </c>
      <c r="F106" s="13" t="s">
        <v>420</v>
      </c>
      <c r="G106" s="13" t="s">
        <v>494</v>
      </c>
      <c r="H106" s="13" t="s">
        <v>459</v>
      </c>
      <c r="I106" s="13" t="str">
        <f t="shared" si="1"/>
        <v>Health and beauty</v>
      </c>
      <c r="J106" s="13">
        <v>32.46</v>
      </c>
      <c r="K106" s="13">
        <v>34.082999999999998</v>
      </c>
      <c r="L106" s="13">
        <v>8</v>
      </c>
      <c r="M106" s="13" t="s">
        <v>433</v>
      </c>
      <c r="N106" s="13">
        <v>4.9000000000000004</v>
      </c>
      <c r="O106" s="13">
        <f>(CATEGORIZATION!$K106-CATEGORIZATION!$J106)</f>
        <v>1.6229999999999976</v>
      </c>
    </row>
    <row r="107" spans="2:15" ht="15.75">
      <c r="B107" s="13" t="s">
        <v>550</v>
      </c>
      <c r="C107" s="76">
        <v>43772</v>
      </c>
      <c r="D107" s="13" t="s">
        <v>419</v>
      </c>
      <c r="E107" s="13" t="s">
        <v>131</v>
      </c>
      <c r="F107" s="13" t="s">
        <v>414</v>
      </c>
      <c r="G107" s="13" t="s">
        <v>494</v>
      </c>
      <c r="H107" s="13" t="s">
        <v>461</v>
      </c>
      <c r="I107" s="13" t="str">
        <f t="shared" si="1"/>
        <v>Sports</v>
      </c>
      <c r="J107" s="13">
        <v>34.56</v>
      </c>
      <c r="K107" s="13">
        <v>36.287999999999997</v>
      </c>
      <c r="L107" s="13">
        <v>7</v>
      </c>
      <c r="M107" s="13" t="s">
        <v>433</v>
      </c>
      <c r="N107" s="13">
        <v>7.3</v>
      </c>
      <c r="O107" s="13">
        <f>(CATEGORIZATION!$K107-CATEGORIZATION!$J107)</f>
        <v>1.7279999999999944</v>
      </c>
    </row>
    <row r="108" spans="2:15" ht="15.75">
      <c r="B108" s="13" t="s">
        <v>551</v>
      </c>
      <c r="C108" s="76">
        <v>43648</v>
      </c>
      <c r="D108" s="13" t="s">
        <v>419</v>
      </c>
      <c r="E108" s="13" t="s">
        <v>131</v>
      </c>
      <c r="F108" s="13" t="s">
        <v>420</v>
      </c>
      <c r="G108" s="13" t="s">
        <v>415</v>
      </c>
      <c r="H108" s="13" t="s">
        <v>435</v>
      </c>
      <c r="I108" s="13" t="str">
        <f t="shared" si="1"/>
        <v>Food and beverages</v>
      </c>
      <c r="J108" s="13">
        <v>16.48</v>
      </c>
      <c r="K108" s="13">
        <v>17.303999999999998</v>
      </c>
      <c r="L108" s="13">
        <v>6</v>
      </c>
      <c r="M108" s="13" t="s">
        <v>417</v>
      </c>
      <c r="N108" s="13">
        <v>9.9</v>
      </c>
      <c r="O108" s="13">
        <f>(CATEGORIZATION!$K108-CATEGORIZATION!$J108)</f>
        <v>0.82399999999999807</v>
      </c>
    </row>
    <row r="109" spans="2:15" ht="15.75">
      <c r="B109" s="13" t="s">
        <v>552</v>
      </c>
      <c r="C109" s="76">
        <v>43493</v>
      </c>
      <c r="D109" s="13" t="s">
        <v>419</v>
      </c>
      <c r="E109" s="13" t="s">
        <v>131</v>
      </c>
      <c r="F109" s="13" t="s">
        <v>420</v>
      </c>
      <c r="G109" s="13" t="s">
        <v>415</v>
      </c>
      <c r="H109" s="13" t="s">
        <v>461</v>
      </c>
      <c r="I109" s="13" t="str">
        <f t="shared" si="1"/>
        <v>Sports</v>
      </c>
      <c r="J109" s="13">
        <v>80.97</v>
      </c>
      <c r="K109" s="13">
        <v>85.018500000000003</v>
      </c>
      <c r="L109" s="13">
        <v>8</v>
      </c>
      <c r="M109" s="13" t="s">
        <v>422</v>
      </c>
      <c r="N109" s="13">
        <v>9.3000000000000007</v>
      </c>
      <c r="O109" s="13">
        <f>(CATEGORIZATION!$K109-CATEGORIZATION!$J109)</f>
        <v>4.0485000000000042</v>
      </c>
    </row>
    <row r="110" spans="2:15" ht="15.75">
      <c r="B110" s="13" t="s">
        <v>553</v>
      </c>
      <c r="C110" s="76">
        <v>43516</v>
      </c>
      <c r="D110" s="13" t="s">
        <v>175</v>
      </c>
      <c r="E110" s="13" t="s">
        <v>134</v>
      </c>
      <c r="F110" s="13" t="s">
        <v>414</v>
      </c>
      <c r="G110" s="13" t="s">
        <v>494</v>
      </c>
      <c r="H110" s="13" t="s">
        <v>435</v>
      </c>
      <c r="I110" s="13" t="str">
        <f t="shared" si="1"/>
        <v>Food and beverages</v>
      </c>
      <c r="J110" s="13">
        <v>92.29</v>
      </c>
      <c r="K110" s="13">
        <v>96.904499999999999</v>
      </c>
      <c r="L110" s="13">
        <v>5</v>
      </c>
      <c r="M110" s="13" t="s">
        <v>433</v>
      </c>
      <c r="N110" s="13">
        <v>9</v>
      </c>
      <c r="O110" s="13">
        <f>(CATEGORIZATION!$K110-CATEGORIZATION!$J110)</f>
        <v>4.6144999999999925</v>
      </c>
    </row>
    <row r="111" spans="2:15" ht="15.75">
      <c r="B111" s="13" t="s">
        <v>554</v>
      </c>
      <c r="C111" s="76">
        <v>43556</v>
      </c>
      <c r="D111" s="13" t="s">
        <v>266</v>
      </c>
      <c r="E111" s="13" t="s">
        <v>135</v>
      </c>
      <c r="F111" s="13" t="s">
        <v>414</v>
      </c>
      <c r="G111" s="13" t="s">
        <v>494</v>
      </c>
      <c r="H111" s="13" t="s">
        <v>421</v>
      </c>
      <c r="I111" s="13" t="str">
        <f t="shared" si="1"/>
        <v>Electronic accessories</v>
      </c>
      <c r="J111" s="13">
        <v>72.17</v>
      </c>
      <c r="K111" s="13">
        <v>75.778499999999994</v>
      </c>
      <c r="L111" s="13">
        <v>1</v>
      </c>
      <c r="M111" s="13" t="s">
        <v>422</v>
      </c>
      <c r="N111" s="13">
        <v>6.1</v>
      </c>
      <c r="O111" s="13">
        <f>(CATEGORIZATION!$K111-CATEGORIZATION!$J111)</f>
        <v>3.6084999999999923</v>
      </c>
    </row>
    <row r="112" spans="2:15" ht="15.75">
      <c r="B112" s="13" t="s">
        <v>555</v>
      </c>
      <c r="C112" s="76">
        <v>43554</v>
      </c>
      <c r="D112" s="13" t="s">
        <v>266</v>
      </c>
      <c r="E112" s="13" t="s">
        <v>135</v>
      </c>
      <c r="F112" s="13" t="s">
        <v>414</v>
      </c>
      <c r="G112" s="13" t="s">
        <v>494</v>
      </c>
      <c r="H112" s="13" t="s">
        <v>459</v>
      </c>
      <c r="I112" s="13" t="str">
        <f t="shared" si="1"/>
        <v>Health and beauty</v>
      </c>
      <c r="J112" s="13">
        <v>97.22</v>
      </c>
      <c r="K112" s="13">
        <v>102.081</v>
      </c>
      <c r="L112" s="13">
        <v>9</v>
      </c>
      <c r="M112" s="13" t="s">
        <v>417</v>
      </c>
      <c r="N112" s="13">
        <v>6</v>
      </c>
      <c r="O112" s="13">
        <f>(CATEGORIZATION!$K112-CATEGORIZATION!$J112)</f>
        <v>4.8610000000000042</v>
      </c>
    </row>
    <row r="113" spans="2:15" ht="15.75">
      <c r="B113" s="13" t="s">
        <v>556</v>
      </c>
      <c r="C113" s="76">
        <v>43551</v>
      </c>
      <c r="D113" s="13" t="s">
        <v>266</v>
      </c>
      <c r="E113" s="13" t="s">
        <v>135</v>
      </c>
      <c r="F113" s="13" t="s">
        <v>420</v>
      </c>
      <c r="G113" s="13" t="s">
        <v>494</v>
      </c>
      <c r="H113" s="13" t="s">
        <v>461</v>
      </c>
      <c r="I113" s="13" t="str">
        <f t="shared" si="1"/>
        <v>Sports</v>
      </c>
      <c r="J113" s="13">
        <v>93.39</v>
      </c>
      <c r="K113" s="13">
        <v>98.0595</v>
      </c>
      <c r="L113" s="13">
        <v>6</v>
      </c>
      <c r="M113" s="13" t="s">
        <v>417</v>
      </c>
      <c r="N113" s="13">
        <v>10</v>
      </c>
      <c r="O113" s="13">
        <f>(CATEGORIZATION!$K113-CATEGORIZATION!$J113)</f>
        <v>4.6694999999999993</v>
      </c>
    </row>
    <row r="114" spans="2:15" ht="15.75">
      <c r="B114" s="13" t="s">
        <v>557</v>
      </c>
      <c r="C114" s="76">
        <v>43484</v>
      </c>
      <c r="D114" s="13" t="s">
        <v>419</v>
      </c>
      <c r="E114" s="13" t="s">
        <v>131</v>
      </c>
      <c r="F114" s="13" t="s">
        <v>420</v>
      </c>
      <c r="G114" s="13" t="s">
        <v>415</v>
      </c>
      <c r="H114" s="13" t="s">
        <v>440</v>
      </c>
      <c r="I114" s="13" t="str">
        <f t="shared" si="1"/>
        <v>Food and beverages</v>
      </c>
      <c r="J114" s="13">
        <v>43.18</v>
      </c>
      <c r="K114" s="13">
        <v>45.338999999999999</v>
      </c>
      <c r="L114" s="13">
        <v>8</v>
      </c>
      <c r="M114" s="13" t="s">
        <v>433</v>
      </c>
      <c r="N114" s="13">
        <v>8.3000000000000007</v>
      </c>
      <c r="O114" s="13">
        <f>(CATEGORIZATION!$K114-CATEGORIZATION!$J114)</f>
        <v>2.1589999999999989</v>
      </c>
    </row>
    <row r="115" spans="2:15" ht="15.75">
      <c r="B115" s="13" t="s">
        <v>558</v>
      </c>
      <c r="C115" s="76">
        <v>43521</v>
      </c>
      <c r="D115" s="13" t="s">
        <v>175</v>
      </c>
      <c r="E115" s="13" t="s">
        <v>134</v>
      </c>
      <c r="F115" s="13" t="s">
        <v>420</v>
      </c>
      <c r="G115" s="13" t="s">
        <v>494</v>
      </c>
      <c r="H115" s="13" t="s">
        <v>461</v>
      </c>
      <c r="I115" s="13" t="str">
        <f t="shared" si="1"/>
        <v>Sports</v>
      </c>
      <c r="J115" s="13">
        <v>63.69</v>
      </c>
      <c r="K115" s="13">
        <v>66.874499999999998</v>
      </c>
      <c r="L115" s="13">
        <v>1</v>
      </c>
      <c r="M115" s="13" t="s">
        <v>422</v>
      </c>
      <c r="N115" s="13">
        <v>6</v>
      </c>
      <c r="O115" s="13">
        <f>(CATEGORIZATION!$K115-CATEGORIZATION!$J115)</f>
        <v>3.1844999999999999</v>
      </c>
    </row>
    <row r="116" spans="2:15" ht="15.75">
      <c r="B116" s="13" t="s">
        <v>559</v>
      </c>
      <c r="C116" s="76">
        <v>43537</v>
      </c>
      <c r="D116" s="13" t="s">
        <v>175</v>
      </c>
      <c r="E116" s="13" t="s">
        <v>134</v>
      </c>
      <c r="F116" s="13" t="s">
        <v>420</v>
      </c>
      <c r="G116" s="13" t="s">
        <v>494</v>
      </c>
      <c r="H116" s="13" t="s">
        <v>435</v>
      </c>
      <c r="I116" s="13" t="str">
        <f t="shared" si="1"/>
        <v>Food and beverages</v>
      </c>
      <c r="J116" s="13">
        <v>45.79</v>
      </c>
      <c r="K116" s="13">
        <v>48.079500000000003</v>
      </c>
      <c r="L116" s="13">
        <v>7</v>
      </c>
      <c r="M116" s="13" t="s">
        <v>433</v>
      </c>
      <c r="N116" s="13">
        <v>7</v>
      </c>
      <c r="O116" s="13">
        <f>(CATEGORIZATION!$K116-CATEGORIZATION!$J116)</f>
        <v>2.2895000000000039</v>
      </c>
    </row>
    <row r="117" spans="2:15" ht="15.75">
      <c r="B117" s="13" t="s">
        <v>560</v>
      </c>
      <c r="C117" s="76">
        <v>43495</v>
      </c>
      <c r="D117" s="13" t="s">
        <v>419</v>
      </c>
      <c r="E117" s="13" t="s">
        <v>131</v>
      </c>
      <c r="F117" s="13" t="s">
        <v>420</v>
      </c>
      <c r="G117" s="13" t="s">
        <v>494</v>
      </c>
      <c r="H117" s="13" t="s">
        <v>444</v>
      </c>
      <c r="I117" s="13" t="str">
        <f t="shared" si="1"/>
        <v>Sports</v>
      </c>
      <c r="J117" s="13">
        <v>76.400000000000006</v>
      </c>
      <c r="K117" s="13">
        <v>80.22</v>
      </c>
      <c r="L117" s="13">
        <v>2</v>
      </c>
      <c r="M117" s="13" t="s">
        <v>417</v>
      </c>
      <c r="N117" s="13">
        <v>6.5</v>
      </c>
      <c r="O117" s="13">
        <f>(CATEGORIZATION!$K117-CATEGORIZATION!$J117)</f>
        <v>3.8199999999999932</v>
      </c>
    </row>
    <row r="118" spans="2:15" ht="15.75">
      <c r="B118" s="13" t="s">
        <v>561</v>
      </c>
      <c r="C118" s="76">
        <v>43516</v>
      </c>
      <c r="D118" s="13" t="s">
        <v>266</v>
      </c>
      <c r="E118" s="13" t="s">
        <v>135</v>
      </c>
      <c r="F118" s="13" t="s">
        <v>420</v>
      </c>
      <c r="G118" s="13" t="s">
        <v>494</v>
      </c>
      <c r="H118" s="13" t="s">
        <v>435</v>
      </c>
      <c r="I118" s="13" t="str">
        <f t="shared" si="1"/>
        <v>Food and beverages</v>
      </c>
      <c r="J118" s="13">
        <v>39.9</v>
      </c>
      <c r="K118" s="13">
        <v>41.894999999999996</v>
      </c>
      <c r="L118" s="13">
        <v>10</v>
      </c>
      <c r="M118" s="13" t="s">
        <v>433</v>
      </c>
      <c r="N118" s="13">
        <v>5.9</v>
      </c>
      <c r="O118" s="13">
        <f>(CATEGORIZATION!$K118-CATEGORIZATION!$J118)</f>
        <v>1.9949999999999974</v>
      </c>
    </row>
    <row r="119" spans="2:15" ht="15.75">
      <c r="B119" s="13" t="s">
        <v>562</v>
      </c>
      <c r="C119" s="76">
        <v>43521</v>
      </c>
      <c r="D119" s="13" t="s">
        <v>266</v>
      </c>
      <c r="E119" s="13" t="s">
        <v>135</v>
      </c>
      <c r="F119" s="13" t="s">
        <v>414</v>
      </c>
      <c r="G119" s="13" t="s">
        <v>494</v>
      </c>
      <c r="H119" s="13" t="s">
        <v>442</v>
      </c>
      <c r="I119" s="13" t="str">
        <f t="shared" si="1"/>
        <v>Health and beauty</v>
      </c>
      <c r="J119" s="13">
        <v>42.57</v>
      </c>
      <c r="K119" s="13">
        <v>44.698500000000003</v>
      </c>
      <c r="L119" s="13">
        <v>8</v>
      </c>
      <c r="M119" s="13" t="s">
        <v>417</v>
      </c>
      <c r="N119" s="13">
        <v>5.6</v>
      </c>
      <c r="O119" s="13">
        <f>(CATEGORIZATION!$K119-CATEGORIZATION!$J119)</f>
        <v>2.1285000000000025</v>
      </c>
    </row>
    <row r="120" spans="2:15" ht="15.75">
      <c r="B120" s="13" t="s">
        <v>563</v>
      </c>
      <c r="C120" s="76">
        <v>43484</v>
      </c>
      <c r="D120" s="13" t="s">
        <v>175</v>
      </c>
      <c r="E120" s="13" t="s">
        <v>134</v>
      </c>
      <c r="F120" s="13" t="s">
        <v>420</v>
      </c>
      <c r="G120" s="13" t="s">
        <v>494</v>
      </c>
      <c r="H120" s="13" t="s">
        <v>435</v>
      </c>
      <c r="I120" s="13" t="str">
        <f t="shared" si="1"/>
        <v>Food and beverages</v>
      </c>
      <c r="J120" s="13">
        <v>51.28</v>
      </c>
      <c r="K120" s="13">
        <v>53.844000000000001</v>
      </c>
      <c r="L120" s="13">
        <v>6</v>
      </c>
      <c r="M120" s="13" t="s">
        <v>422</v>
      </c>
      <c r="N120" s="13">
        <v>6.5</v>
      </c>
      <c r="O120" s="13">
        <f>(CATEGORIZATION!$K120-CATEGORIZATION!$J120)</f>
        <v>2.5640000000000001</v>
      </c>
    </row>
    <row r="121" spans="2:15" ht="15.75">
      <c r="B121" s="13" t="s">
        <v>564</v>
      </c>
      <c r="C121" s="76">
        <v>43467</v>
      </c>
      <c r="D121" s="13" t="s">
        <v>175</v>
      </c>
      <c r="E121" s="13" t="s">
        <v>134</v>
      </c>
      <c r="F121" s="13" t="s">
        <v>414</v>
      </c>
      <c r="G121" s="13" t="s">
        <v>494</v>
      </c>
      <c r="H121" s="13" t="s">
        <v>426</v>
      </c>
      <c r="I121" s="13" t="str">
        <f t="shared" si="1"/>
        <v>Sports</v>
      </c>
      <c r="J121" s="13">
        <v>69.52</v>
      </c>
      <c r="K121" s="13">
        <v>72.995999999999995</v>
      </c>
      <c r="L121" s="13">
        <v>7</v>
      </c>
      <c r="M121" s="13" t="s">
        <v>433</v>
      </c>
      <c r="N121" s="13">
        <v>8.5</v>
      </c>
      <c r="O121" s="13">
        <f>(CATEGORIZATION!$K121-CATEGORIZATION!$J121)</f>
        <v>3.4759999999999991</v>
      </c>
    </row>
    <row r="122" spans="2:15" ht="15.75">
      <c r="B122" s="13" t="s">
        <v>565</v>
      </c>
      <c r="C122" s="76">
        <v>43525</v>
      </c>
      <c r="D122" s="13" t="s">
        <v>175</v>
      </c>
      <c r="E122" s="13" t="s">
        <v>134</v>
      </c>
      <c r="F122" s="13" t="s">
        <v>420</v>
      </c>
      <c r="G122" s="13" t="s">
        <v>494</v>
      </c>
      <c r="H122" s="13" t="s">
        <v>416</v>
      </c>
      <c r="I122" s="13" t="str">
        <f t="shared" si="1"/>
        <v>Health and beauty</v>
      </c>
      <c r="J122" s="13">
        <v>70.010000000000005</v>
      </c>
      <c r="K122" s="13">
        <v>73.510500000000008</v>
      </c>
      <c r="L122" s="13">
        <v>5</v>
      </c>
      <c r="M122" s="13" t="s">
        <v>417</v>
      </c>
      <c r="N122" s="13">
        <v>5.5</v>
      </c>
      <c r="O122" s="13">
        <f>(CATEGORIZATION!$K122-CATEGORIZATION!$J122)</f>
        <v>3.5005000000000024</v>
      </c>
    </row>
    <row r="123" spans="2:15" ht="15.75">
      <c r="B123" s="13" t="s">
        <v>566</v>
      </c>
      <c r="C123" s="76">
        <v>43491</v>
      </c>
      <c r="D123" s="13" t="s">
        <v>266</v>
      </c>
      <c r="E123" s="13" t="s">
        <v>135</v>
      </c>
      <c r="F123" s="13" t="s">
        <v>414</v>
      </c>
      <c r="G123" s="13" t="s">
        <v>494</v>
      </c>
      <c r="H123" s="13" t="s">
        <v>435</v>
      </c>
      <c r="I123" s="13" t="str">
        <f t="shared" si="1"/>
        <v>Food and beverages</v>
      </c>
      <c r="J123" s="13">
        <v>80.05</v>
      </c>
      <c r="K123" s="13">
        <v>84.052499999999995</v>
      </c>
      <c r="L123" s="13">
        <v>5</v>
      </c>
      <c r="M123" s="13" t="s">
        <v>433</v>
      </c>
      <c r="N123" s="13">
        <v>9.4</v>
      </c>
      <c r="O123" s="13">
        <f>(CATEGORIZATION!$K123-CATEGORIZATION!$J123)</f>
        <v>4.0024999999999977</v>
      </c>
    </row>
    <row r="124" spans="2:15" ht="15.75">
      <c r="B124" s="13" t="s">
        <v>567</v>
      </c>
      <c r="C124" s="76">
        <v>43527</v>
      </c>
      <c r="D124" s="13" t="s">
        <v>419</v>
      </c>
      <c r="E124" s="13" t="s">
        <v>131</v>
      </c>
      <c r="F124" s="13" t="s">
        <v>420</v>
      </c>
      <c r="G124" s="13" t="s">
        <v>494</v>
      </c>
      <c r="H124" s="13" t="s">
        <v>421</v>
      </c>
      <c r="I124" s="13" t="str">
        <f t="shared" si="1"/>
        <v>Electronic accessories</v>
      </c>
      <c r="J124" s="13">
        <v>20.85</v>
      </c>
      <c r="K124" s="13">
        <v>21.892499999999998</v>
      </c>
      <c r="L124" s="13">
        <v>8</v>
      </c>
      <c r="M124" s="13" t="s">
        <v>422</v>
      </c>
      <c r="N124" s="13">
        <v>6.3</v>
      </c>
      <c r="O124" s="13">
        <f>(CATEGORIZATION!$K124-CATEGORIZATION!$J124)</f>
        <v>1.0424999999999969</v>
      </c>
    </row>
    <row r="125" spans="2:15" ht="15.75">
      <c r="B125" s="13" t="s">
        <v>568</v>
      </c>
      <c r="C125" s="76">
        <v>43484</v>
      </c>
      <c r="D125" s="13" t="s">
        <v>266</v>
      </c>
      <c r="E125" s="13" t="s">
        <v>135</v>
      </c>
      <c r="F125" s="13" t="s">
        <v>414</v>
      </c>
      <c r="G125" s="13" t="s">
        <v>494</v>
      </c>
      <c r="H125" s="13" t="s">
        <v>499</v>
      </c>
      <c r="I125" s="13" t="str">
        <f t="shared" si="1"/>
        <v>Electronic accessories</v>
      </c>
      <c r="J125" s="13">
        <v>52.89</v>
      </c>
      <c r="K125" s="13">
        <v>55.534500000000001</v>
      </c>
      <c r="L125" s="13">
        <v>6</v>
      </c>
      <c r="M125" s="13" t="s">
        <v>433</v>
      </c>
      <c r="N125" s="13">
        <v>9.8000000000000007</v>
      </c>
      <c r="O125" s="13">
        <f>(CATEGORIZATION!$K125-CATEGORIZATION!$J125)</f>
        <v>2.6445000000000007</v>
      </c>
    </row>
    <row r="126" spans="2:15" ht="15.75">
      <c r="B126" s="13" t="s">
        <v>569</v>
      </c>
      <c r="C126" s="76">
        <v>43483</v>
      </c>
      <c r="D126" s="13" t="s">
        <v>266</v>
      </c>
      <c r="E126" s="13" t="s">
        <v>135</v>
      </c>
      <c r="F126" s="13" t="s">
        <v>420</v>
      </c>
      <c r="G126" s="13" t="s">
        <v>494</v>
      </c>
      <c r="H126" s="13" t="s">
        <v>435</v>
      </c>
      <c r="I126" s="13" t="str">
        <f t="shared" si="1"/>
        <v>Food and beverages</v>
      </c>
      <c r="J126" s="13">
        <v>19.79</v>
      </c>
      <c r="K126" s="13">
        <v>20.779499999999999</v>
      </c>
      <c r="L126" s="13">
        <v>8</v>
      </c>
      <c r="M126" s="13" t="s">
        <v>417</v>
      </c>
      <c r="N126" s="13">
        <v>8.6999999999999993</v>
      </c>
      <c r="O126" s="13">
        <f>(CATEGORIZATION!$K126-CATEGORIZATION!$J126)</f>
        <v>0.9894999999999996</v>
      </c>
    </row>
    <row r="127" spans="2:15" ht="15.75">
      <c r="B127" s="13" t="s">
        <v>570</v>
      </c>
      <c r="C127" s="76">
        <v>43527</v>
      </c>
      <c r="D127" s="13" t="s">
        <v>175</v>
      </c>
      <c r="E127" s="13" t="s">
        <v>134</v>
      </c>
      <c r="F127" s="13" t="s">
        <v>414</v>
      </c>
      <c r="G127" s="13" t="s">
        <v>494</v>
      </c>
      <c r="H127" s="13" t="s">
        <v>435</v>
      </c>
      <c r="I127" s="13" t="str">
        <f t="shared" si="1"/>
        <v>Food and beverages</v>
      </c>
      <c r="J127" s="13">
        <v>22.17</v>
      </c>
      <c r="K127" s="13">
        <v>23.278500000000001</v>
      </c>
      <c r="L127" s="13">
        <v>8</v>
      </c>
      <c r="M127" s="13" t="s">
        <v>433</v>
      </c>
      <c r="N127" s="13">
        <v>9.6</v>
      </c>
      <c r="O127" s="13">
        <f>(CATEGORIZATION!$K127-CATEGORIZATION!$J127)</f>
        <v>1.1084999999999994</v>
      </c>
    </row>
    <row r="128" spans="2:15" ht="15.75">
      <c r="B128" s="13" t="s">
        <v>571</v>
      </c>
      <c r="C128" s="76">
        <v>43547</v>
      </c>
      <c r="D128" s="13" t="s">
        <v>175</v>
      </c>
      <c r="E128" s="13" t="s">
        <v>134</v>
      </c>
      <c r="F128" s="13" t="s">
        <v>420</v>
      </c>
      <c r="G128" s="13" t="s">
        <v>494</v>
      </c>
      <c r="H128" s="13" t="s">
        <v>440</v>
      </c>
      <c r="I128" s="13" t="str">
        <f t="shared" si="1"/>
        <v>Food and beverages</v>
      </c>
      <c r="J128" s="13">
        <v>73.88</v>
      </c>
      <c r="K128" s="13">
        <v>77.573999999999998</v>
      </c>
      <c r="L128" s="13">
        <v>6</v>
      </c>
      <c r="M128" s="13" t="s">
        <v>417</v>
      </c>
      <c r="N128" s="13">
        <v>4.4000000000000004</v>
      </c>
      <c r="O128" s="13">
        <f>(CATEGORIZATION!$K128-CATEGORIZATION!$J128)</f>
        <v>3.6940000000000026</v>
      </c>
    </row>
    <row r="129" spans="2:15" ht="15.75">
      <c r="B129" s="13" t="s">
        <v>572</v>
      </c>
      <c r="C129" s="76">
        <v>43493</v>
      </c>
      <c r="D129" s="13" t="s">
        <v>419</v>
      </c>
      <c r="E129" s="13" t="s">
        <v>131</v>
      </c>
      <c r="F129" s="13" t="s">
        <v>414</v>
      </c>
      <c r="G129" s="13" t="s">
        <v>494</v>
      </c>
      <c r="H129" s="13" t="s">
        <v>459</v>
      </c>
      <c r="I129" s="13" t="str">
        <f t="shared" si="1"/>
        <v>Health and beauty</v>
      </c>
      <c r="J129" s="13">
        <v>86.8</v>
      </c>
      <c r="K129" s="13">
        <v>91.14</v>
      </c>
      <c r="L129" s="13">
        <v>3</v>
      </c>
      <c r="M129" s="13" t="s">
        <v>417</v>
      </c>
      <c r="N129" s="13">
        <v>9.9</v>
      </c>
      <c r="O129" s="13">
        <f>(CATEGORIZATION!$K129-CATEGORIZATION!$J129)</f>
        <v>4.3400000000000034</v>
      </c>
    </row>
    <row r="130" spans="2:15" ht="15.75">
      <c r="B130" s="13" t="s">
        <v>573</v>
      </c>
      <c r="C130" s="76">
        <v>43488</v>
      </c>
      <c r="D130" s="13" t="s">
        <v>419</v>
      </c>
      <c r="E130" s="13" t="s">
        <v>131</v>
      </c>
      <c r="F130" s="13" t="s">
        <v>414</v>
      </c>
      <c r="G130" s="13" t="s">
        <v>494</v>
      </c>
      <c r="H130" s="13" t="s">
        <v>435</v>
      </c>
      <c r="I130" s="13" t="str">
        <f t="shared" si="1"/>
        <v>Food and beverages</v>
      </c>
      <c r="J130" s="13">
        <v>38.47</v>
      </c>
      <c r="K130" s="13">
        <v>40.393500000000003</v>
      </c>
      <c r="L130" s="13">
        <v>8</v>
      </c>
      <c r="M130" s="13" t="s">
        <v>422</v>
      </c>
      <c r="N130" s="13">
        <v>7.7</v>
      </c>
      <c r="O130" s="13">
        <f>(CATEGORIZATION!$K130-CATEGORIZATION!$J130)</f>
        <v>1.9235000000000042</v>
      </c>
    </row>
    <row r="131" spans="2:15" ht="15.75">
      <c r="B131" s="13" t="s">
        <v>574</v>
      </c>
      <c r="C131" s="76">
        <v>43547</v>
      </c>
      <c r="D131" s="13" t="s">
        <v>175</v>
      </c>
      <c r="E131" s="13" t="s">
        <v>134</v>
      </c>
      <c r="F131" s="13" t="s">
        <v>414</v>
      </c>
      <c r="G131" s="13" t="s">
        <v>494</v>
      </c>
      <c r="H131" s="13" t="s">
        <v>448</v>
      </c>
      <c r="I131" s="13" t="str">
        <f t="shared" si="1"/>
        <v>Sports</v>
      </c>
      <c r="J131" s="13">
        <v>15.5</v>
      </c>
      <c r="K131" s="13">
        <v>16.274999999999999</v>
      </c>
      <c r="L131" s="13">
        <v>10</v>
      </c>
      <c r="M131" s="13" t="s">
        <v>417</v>
      </c>
      <c r="N131" s="13">
        <v>8</v>
      </c>
      <c r="O131" s="13">
        <f>(CATEGORIZATION!$K131-CATEGORIZATION!$J131)</f>
        <v>0.77499999999999858</v>
      </c>
    </row>
    <row r="132" spans="2:15" ht="15.75">
      <c r="B132" s="13" t="s">
        <v>575</v>
      </c>
      <c r="C132" s="76">
        <v>43490</v>
      </c>
      <c r="D132" s="13" t="s">
        <v>419</v>
      </c>
      <c r="E132" s="13" t="s">
        <v>131</v>
      </c>
      <c r="F132" s="13" t="s">
        <v>420</v>
      </c>
      <c r="G132" s="13" t="s">
        <v>494</v>
      </c>
      <c r="H132" s="13" t="s">
        <v>416</v>
      </c>
      <c r="I132" s="13" t="str">
        <f t="shared" ref="I132:I195" si="2">VLOOKUP(H132,$R$5:$S$32,2,FALSE)</f>
        <v>Health and beauty</v>
      </c>
      <c r="J132" s="13">
        <v>34.31</v>
      </c>
      <c r="K132" s="13">
        <v>36.025500000000001</v>
      </c>
      <c r="L132" s="13">
        <v>8</v>
      </c>
      <c r="M132" s="13" t="s">
        <v>417</v>
      </c>
      <c r="N132" s="13">
        <v>5.7</v>
      </c>
      <c r="O132" s="13">
        <f>(CATEGORIZATION!$K132-CATEGORIZATION!$J132)</f>
        <v>1.7154999999999987</v>
      </c>
    </row>
    <row r="133" spans="2:15" ht="15.75">
      <c r="B133" s="13" t="s">
        <v>576</v>
      </c>
      <c r="C133" s="76">
        <v>43558</v>
      </c>
      <c r="D133" s="13" t="s">
        <v>175</v>
      </c>
      <c r="E133" s="13" t="s">
        <v>134</v>
      </c>
      <c r="F133" s="13" t="s">
        <v>420</v>
      </c>
      <c r="G133" s="13" t="s">
        <v>415</v>
      </c>
      <c r="H133" s="13" t="s">
        <v>448</v>
      </c>
      <c r="I133" s="13" t="str">
        <f t="shared" si="2"/>
        <v>Sports</v>
      </c>
      <c r="J133" s="13">
        <v>12.34</v>
      </c>
      <c r="K133" s="13">
        <v>12.956999999999999</v>
      </c>
      <c r="L133" s="13">
        <v>7</v>
      </c>
      <c r="M133" s="13" t="s">
        <v>433</v>
      </c>
      <c r="N133" s="13">
        <v>6.7</v>
      </c>
      <c r="O133" s="13">
        <f>(CATEGORIZATION!$K133-CATEGORIZATION!$J133)</f>
        <v>0.6169999999999991</v>
      </c>
    </row>
    <row r="134" spans="2:15" ht="15.75">
      <c r="B134" s="13" t="s">
        <v>577</v>
      </c>
      <c r="C134" s="76">
        <v>43588</v>
      </c>
      <c r="D134" s="13" t="s">
        <v>266</v>
      </c>
      <c r="E134" s="13" t="s">
        <v>135</v>
      </c>
      <c r="F134" s="13" t="s">
        <v>414</v>
      </c>
      <c r="G134" s="13" t="s">
        <v>494</v>
      </c>
      <c r="H134" s="13" t="s">
        <v>435</v>
      </c>
      <c r="I134" s="13" t="str">
        <f t="shared" si="2"/>
        <v>Food and beverages</v>
      </c>
      <c r="J134" s="13">
        <v>18.079999999999998</v>
      </c>
      <c r="K134" s="13">
        <v>18.983999999999998</v>
      </c>
      <c r="L134" s="13">
        <v>3</v>
      </c>
      <c r="M134" s="13" t="s">
        <v>417</v>
      </c>
      <c r="N134" s="13">
        <v>8</v>
      </c>
      <c r="O134" s="13">
        <f>(CATEGORIZATION!$K134-CATEGORIZATION!$J134)</f>
        <v>0.90399999999999991</v>
      </c>
    </row>
    <row r="135" spans="2:15" ht="15.75">
      <c r="B135" s="13" t="s">
        <v>578</v>
      </c>
      <c r="C135" s="76">
        <v>43540</v>
      </c>
      <c r="D135" s="13" t="s">
        <v>419</v>
      </c>
      <c r="E135" s="13" t="s">
        <v>131</v>
      </c>
      <c r="F135" s="13" t="s">
        <v>420</v>
      </c>
      <c r="G135" s="13" t="s">
        <v>415</v>
      </c>
      <c r="H135" s="13" t="s">
        <v>435</v>
      </c>
      <c r="I135" s="13" t="str">
        <f t="shared" si="2"/>
        <v>Food and beverages</v>
      </c>
      <c r="J135" s="13">
        <v>87.8</v>
      </c>
      <c r="K135" s="13">
        <v>92.19</v>
      </c>
      <c r="L135" s="13">
        <v>9</v>
      </c>
      <c r="M135" s="13" t="s">
        <v>422</v>
      </c>
      <c r="N135" s="13">
        <v>9.1999999999999993</v>
      </c>
      <c r="O135" s="13">
        <f>(CATEGORIZATION!$K135-CATEGORIZATION!$J135)</f>
        <v>4.3900000000000006</v>
      </c>
    </row>
    <row r="136" spans="2:15" ht="15.75">
      <c r="B136" s="13" t="s">
        <v>579</v>
      </c>
      <c r="C136" s="76">
        <v>43543</v>
      </c>
      <c r="D136" s="13" t="s">
        <v>175</v>
      </c>
      <c r="E136" s="13" t="s">
        <v>134</v>
      </c>
      <c r="F136" s="13" t="s">
        <v>420</v>
      </c>
      <c r="G136" s="13" t="s">
        <v>494</v>
      </c>
      <c r="H136" s="13" t="s">
        <v>421</v>
      </c>
      <c r="I136" s="13" t="str">
        <f t="shared" si="2"/>
        <v>Electronic accessories</v>
      </c>
      <c r="J136" s="13">
        <v>32.71</v>
      </c>
      <c r="K136" s="13">
        <v>34.345500000000001</v>
      </c>
      <c r="L136" s="13">
        <v>5</v>
      </c>
      <c r="M136" s="13" t="s">
        <v>433</v>
      </c>
      <c r="N136" s="13">
        <v>9.9</v>
      </c>
      <c r="O136" s="13">
        <f>(CATEGORIZATION!$K136-CATEGORIZATION!$J136)</f>
        <v>1.6355000000000004</v>
      </c>
    </row>
    <row r="137" spans="2:15" ht="15.75">
      <c r="B137" s="13" t="s">
        <v>580</v>
      </c>
      <c r="C137" s="76">
        <v>43550</v>
      </c>
      <c r="D137" s="13" t="s">
        <v>419</v>
      </c>
      <c r="E137" s="13" t="s">
        <v>131</v>
      </c>
      <c r="F137" s="13" t="s">
        <v>414</v>
      </c>
      <c r="G137" s="13" t="s">
        <v>494</v>
      </c>
      <c r="H137" s="13" t="s">
        <v>416</v>
      </c>
      <c r="I137" s="13" t="str">
        <f t="shared" si="2"/>
        <v>Health and beauty</v>
      </c>
      <c r="J137" s="13">
        <v>43.7</v>
      </c>
      <c r="K137" s="13">
        <v>45.884999999999998</v>
      </c>
      <c r="L137" s="13">
        <v>2</v>
      </c>
      <c r="M137" s="13" t="s">
        <v>422</v>
      </c>
      <c r="N137" s="13">
        <v>4.9000000000000004</v>
      </c>
      <c r="O137" s="13">
        <f>(CATEGORIZATION!$K137-CATEGORIZATION!$J137)</f>
        <v>2.1849999999999952</v>
      </c>
    </row>
    <row r="138" spans="2:15" ht="15.75">
      <c r="B138" s="13" t="s">
        <v>581</v>
      </c>
      <c r="C138" s="76">
        <v>43802</v>
      </c>
      <c r="D138" s="13" t="s">
        <v>419</v>
      </c>
      <c r="E138" s="13" t="s">
        <v>131</v>
      </c>
      <c r="F138" s="13" t="s">
        <v>420</v>
      </c>
      <c r="G138" s="13" t="s">
        <v>494</v>
      </c>
      <c r="H138" s="13" t="s">
        <v>416</v>
      </c>
      <c r="I138" s="13" t="str">
        <f t="shared" si="2"/>
        <v>Health and beauty</v>
      </c>
      <c r="J138" s="13">
        <v>41.5</v>
      </c>
      <c r="K138" s="13">
        <v>43.575000000000003</v>
      </c>
      <c r="L138" s="13">
        <v>4</v>
      </c>
      <c r="M138" s="13" t="s">
        <v>433</v>
      </c>
      <c r="N138" s="13">
        <v>8.1999999999999993</v>
      </c>
      <c r="O138" s="13">
        <f>(CATEGORIZATION!$K138-CATEGORIZATION!$J138)</f>
        <v>2.0750000000000028</v>
      </c>
    </row>
    <row r="139" spans="2:15" ht="15.75">
      <c r="B139" s="13" t="s">
        <v>582</v>
      </c>
      <c r="C139" s="76">
        <v>43513</v>
      </c>
      <c r="D139" s="13" t="s">
        <v>419</v>
      </c>
      <c r="E139" s="13" t="s">
        <v>131</v>
      </c>
      <c r="F139" s="13" t="s">
        <v>414</v>
      </c>
      <c r="G139" s="13" t="s">
        <v>415</v>
      </c>
      <c r="H139" s="13" t="s">
        <v>435</v>
      </c>
      <c r="I139" s="13" t="str">
        <f t="shared" si="2"/>
        <v>Food and beverages</v>
      </c>
      <c r="J139" s="13">
        <v>71.39</v>
      </c>
      <c r="K139" s="13">
        <v>74.959500000000006</v>
      </c>
      <c r="L139" s="13">
        <v>5</v>
      </c>
      <c r="M139" s="13" t="s">
        <v>433</v>
      </c>
      <c r="N139" s="13">
        <v>5.5</v>
      </c>
      <c r="O139" s="13">
        <f>(CATEGORIZATION!$K139-CATEGORIZATION!$J139)</f>
        <v>3.569500000000005</v>
      </c>
    </row>
    <row r="140" spans="2:15" ht="15.75">
      <c r="B140" s="13" t="s">
        <v>583</v>
      </c>
      <c r="C140" s="76">
        <v>43494</v>
      </c>
      <c r="D140" s="13" t="s">
        <v>419</v>
      </c>
      <c r="E140" s="13" t="s">
        <v>131</v>
      </c>
      <c r="F140" s="13" t="s">
        <v>414</v>
      </c>
      <c r="G140" s="13" t="s">
        <v>415</v>
      </c>
      <c r="H140" s="13" t="s">
        <v>448</v>
      </c>
      <c r="I140" s="13" t="str">
        <f t="shared" si="2"/>
        <v>Sports</v>
      </c>
      <c r="J140" s="13">
        <v>19.149999999999999</v>
      </c>
      <c r="K140" s="13">
        <v>20.107499999999998</v>
      </c>
      <c r="L140" s="13">
        <v>6</v>
      </c>
      <c r="M140" s="13" t="s">
        <v>433</v>
      </c>
      <c r="N140" s="13">
        <v>6.8</v>
      </c>
      <c r="O140" s="13">
        <f>(CATEGORIZATION!$K140-CATEGORIZATION!$J140)</f>
        <v>0.95749999999999957</v>
      </c>
    </row>
    <row r="141" spans="2:15" ht="15.75">
      <c r="B141" s="13" t="s">
        <v>584</v>
      </c>
      <c r="C141" s="76">
        <v>43539</v>
      </c>
      <c r="D141" s="13" t="s">
        <v>266</v>
      </c>
      <c r="E141" s="13" t="s">
        <v>135</v>
      </c>
      <c r="F141" s="13" t="s">
        <v>414</v>
      </c>
      <c r="G141" s="13" t="s">
        <v>415</v>
      </c>
      <c r="H141" s="13" t="s">
        <v>421</v>
      </c>
      <c r="I141" s="13" t="str">
        <f t="shared" si="2"/>
        <v>Electronic accessories</v>
      </c>
      <c r="J141" s="13">
        <v>57.49</v>
      </c>
      <c r="K141" s="13">
        <v>60.3645</v>
      </c>
      <c r="L141" s="13">
        <v>4</v>
      </c>
      <c r="M141" s="13" t="s">
        <v>422</v>
      </c>
      <c r="N141" s="13">
        <v>6.6</v>
      </c>
      <c r="O141" s="13">
        <f>(CATEGORIZATION!$K141-CATEGORIZATION!$J141)</f>
        <v>2.8744999999999976</v>
      </c>
    </row>
    <row r="142" spans="2:15" ht="15.75">
      <c r="B142" s="13" t="s">
        <v>585</v>
      </c>
      <c r="C142" s="76">
        <v>43479</v>
      </c>
      <c r="D142" s="13" t="s">
        <v>419</v>
      </c>
      <c r="E142" s="13" t="s">
        <v>131</v>
      </c>
      <c r="F142" s="13" t="s">
        <v>420</v>
      </c>
      <c r="G142" s="13" t="s">
        <v>494</v>
      </c>
      <c r="H142" s="13" t="s">
        <v>428</v>
      </c>
      <c r="I142" s="13" t="str">
        <f t="shared" si="2"/>
        <v>Electronic accessories</v>
      </c>
      <c r="J142" s="13">
        <v>61.41</v>
      </c>
      <c r="K142" s="13">
        <v>64.480499999999992</v>
      </c>
      <c r="L142" s="13">
        <v>7</v>
      </c>
      <c r="M142" s="13" t="s">
        <v>422</v>
      </c>
      <c r="N142" s="13">
        <v>9.8000000000000007</v>
      </c>
      <c r="O142" s="13">
        <f>(CATEGORIZATION!$K142-CATEGORIZATION!$J142)</f>
        <v>3.0704999999999956</v>
      </c>
    </row>
    <row r="143" spans="2:15" ht="15.75">
      <c r="B143" s="13" t="s">
        <v>586</v>
      </c>
      <c r="C143" s="76">
        <v>43618</v>
      </c>
      <c r="D143" s="13" t="s">
        <v>266</v>
      </c>
      <c r="E143" s="13" t="s">
        <v>135</v>
      </c>
      <c r="F143" s="13" t="s">
        <v>414</v>
      </c>
      <c r="G143" s="13" t="s">
        <v>494</v>
      </c>
      <c r="H143" s="13" t="s">
        <v>459</v>
      </c>
      <c r="I143" s="13" t="str">
        <f t="shared" si="2"/>
        <v>Health and beauty</v>
      </c>
      <c r="J143" s="13">
        <v>25.9</v>
      </c>
      <c r="K143" s="13">
        <v>27.195</v>
      </c>
      <c r="L143" s="13">
        <v>10</v>
      </c>
      <c r="M143" s="13" t="s">
        <v>417</v>
      </c>
      <c r="N143" s="13">
        <v>8.6999999999999993</v>
      </c>
      <c r="O143" s="13">
        <f>(CATEGORIZATION!$K143-CATEGORIZATION!$J143)</f>
        <v>1.2950000000000017</v>
      </c>
    </row>
    <row r="144" spans="2:15" ht="15.75">
      <c r="B144" s="13" t="s">
        <v>587</v>
      </c>
      <c r="C144" s="76">
        <v>43525</v>
      </c>
      <c r="D144" s="13" t="s">
        <v>175</v>
      </c>
      <c r="E144" s="13" t="s">
        <v>134</v>
      </c>
      <c r="F144" s="13" t="s">
        <v>420</v>
      </c>
      <c r="G144" s="13" t="s">
        <v>415</v>
      </c>
      <c r="H144" s="13" t="s">
        <v>416</v>
      </c>
      <c r="I144" s="13" t="str">
        <f t="shared" si="2"/>
        <v>Health and beauty</v>
      </c>
      <c r="J144" s="13">
        <v>23.03</v>
      </c>
      <c r="K144" s="13">
        <v>24.1815</v>
      </c>
      <c r="L144" s="13">
        <v>9</v>
      </c>
      <c r="M144" s="13" t="s">
        <v>417</v>
      </c>
      <c r="N144" s="13">
        <v>7.9</v>
      </c>
      <c r="O144" s="13">
        <f>(CATEGORIZATION!$K144-CATEGORIZATION!$J144)</f>
        <v>1.1514999999999986</v>
      </c>
    </row>
    <row r="145" spans="2:15" ht="15.75">
      <c r="B145" s="13" t="s">
        <v>588</v>
      </c>
      <c r="C145" s="76">
        <v>43556</v>
      </c>
      <c r="D145" s="13" t="s">
        <v>419</v>
      </c>
      <c r="E145" s="13" t="s">
        <v>131</v>
      </c>
      <c r="F145" s="13" t="s">
        <v>414</v>
      </c>
      <c r="G145" s="13" t="s">
        <v>415</v>
      </c>
      <c r="H145" s="13" t="s">
        <v>428</v>
      </c>
      <c r="I145" s="13" t="str">
        <f t="shared" si="2"/>
        <v>Electronic accessories</v>
      </c>
      <c r="J145" s="13">
        <v>66.650000000000006</v>
      </c>
      <c r="K145" s="13">
        <v>69.982500000000002</v>
      </c>
      <c r="L145" s="13">
        <v>9</v>
      </c>
      <c r="M145" s="13" t="s">
        <v>433</v>
      </c>
      <c r="N145" s="13">
        <v>9.6999999999999993</v>
      </c>
      <c r="O145" s="13">
        <f>(CATEGORIZATION!$K145-CATEGORIZATION!$J145)</f>
        <v>3.332499999999996</v>
      </c>
    </row>
    <row r="146" spans="2:15" ht="15.75">
      <c r="B146" s="13" t="s">
        <v>589</v>
      </c>
      <c r="C146" s="76">
        <v>43499</v>
      </c>
      <c r="D146" s="13" t="s">
        <v>266</v>
      </c>
      <c r="E146" s="13" t="s">
        <v>135</v>
      </c>
      <c r="F146" s="13" t="s">
        <v>420</v>
      </c>
      <c r="G146" s="13" t="s">
        <v>415</v>
      </c>
      <c r="H146" s="13" t="s">
        <v>428</v>
      </c>
      <c r="I146" s="13" t="str">
        <f t="shared" si="2"/>
        <v>Electronic accessories</v>
      </c>
      <c r="J146" s="13">
        <v>99.73</v>
      </c>
      <c r="K146" s="13">
        <v>104.7165</v>
      </c>
      <c r="L146" s="13">
        <v>9</v>
      </c>
      <c r="M146" s="13" t="s">
        <v>433</v>
      </c>
      <c r="N146" s="13">
        <v>6.5</v>
      </c>
      <c r="O146" s="13">
        <f>(CATEGORIZATION!$K146-CATEGORIZATION!$J146)</f>
        <v>4.9864999999999924</v>
      </c>
    </row>
    <row r="147" spans="2:15" ht="15.75">
      <c r="B147" s="13" t="s">
        <v>590</v>
      </c>
      <c r="C147" s="76">
        <v>43490</v>
      </c>
      <c r="D147" s="13" t="s">
        <v>175</v>
      </c>
      <c r="E147" s="13" t="s">
        <v>134</v>
      </c>
      <c r="F147" s="13" t="s">
        <v>420</v>
      </c>
      <c r="G147" s="13" t="s">
        <v>494</v>
      </c>
      <c r="H147" s="13" t="s">
        <v>428</v>
      </c>
      <c r="I147" s="13" t="str">
        <f t="shared" si="2"/>
        <v>Electronic accessories</v>
      </c>
      <c r="J147" s="13">
        <v>26.23</v>
      </c>
      <c r="K147" s="13">
        <v>27.541499999999999</v>
      </c>
      <c r="L147" s="13">
        <v>9</v>
      </c>
      <c r="M147" s="13" t="s">
        <v>417</v>
      </c>
      <c r="N147" s="13">
        <v>5.9</v>
      </c>
      <c r="O147" s="13">
        <f>(CATEGORIZATION!$K147-CATEGORIZATION!$J147)</f>
        <v>1.3114999999999988</v>
      </c>
    </row>
    <row r="148" spans="2:15" ht="15.75">
      <c r="B148" s="13" t="s">
        <v>591</v>
      </c>
      <c r="C148" s="76">
        <v>43481</v>
      </c>
      <c r="D148" s="13" t="s">
        <v>419</v>
      </c>
      <c r="E148" s="13" t="s">
        <v>131</v>
      </c>
      <c r="F148" s="13" t="s">
        <v>420</v>
      </c>
      <c r="G148" s="13" t="s">
        <v>415</v>
      </c>
      <c r="H148" s="13" t="s">
        <v>435</v>
      </c>
      <c r="I148" s="13" t="str">
        <f t="shared" si="2"/>
        <v>Food and beverages</v>
      </c>
      <c r="J148" s="13">
        <v>93.26</v>
      </c>
      <c r="K148" s="13">
        <v>97.923000000000002</v>
      </c>
      <c r="L148" s="13">
        <v>9</v>
      </c>
      <c r="M148" s="13" t="s">
        <v>422</v>
      </c>
      <c r="N148" s="13">
        <v>8.8000000000000007</v>
      </c>
      <c r="O148" s="13">
        <f>(CATEGORIZATION!$K148-CATEGORIZATION!$J148)</f>
        <v>4.6629999999999967</v>
      </c>
    </row>
    <row r="149" spans="2:15" ht="15.75">
      <c r="B149" s="13" t="s">
        <v>592</v>
      </c>
      <c r="C149" s="76">
        <v>43556</v>
      </c>
      <c r="D149" s="13" t="s">
        <v>266</v>
      </c>
      <c r="E149" s="13" t="s">
        <v>135</v>
      </c>
      <c r="F149" s="13" t="s">
        <v>420</v>
      </c>
      <c r="G149" s="13" t="s">
        <v>494</v>
      </c>
      <c r="H149" s="13" t="s">
        <v>448</v>
      </c>
      <c r="I149" s="13" t="str">
        <f t="shared" si="2"/>
        <v>Sports</v>
      </c>
      <c r="J149" s="13">
        <v>46.42</v>
      </c>
      <c r="K149" s="13">
        <v>48.741000000000007</v>
      </c>
      <c r="L149" s="13">
        <v>3</v>
      </c>
      <c r="M149" s="13" t="s">
        <v>433</v>
      </c>
      <c r="N149" s="13">
        <v>4.4000000000000004</v>
      </c>
      <c r="O149" s="13">
        <f>(CATEGORIZATION!$K149-CATEGORIZATION!$J149)</f>
        <v>2.3210000000000051</v>
      </c>
    </row>
    <row r="150" spans="2:15" ht="15.75">
      <c r="B150" s="13" t="s">
        <v>593</v>
      </c>
      <c r="C150" s="76">
        <v>43772</v>
      </c>
      <c r="D150" s="13" t="s">
        <v>266</v>
      </c>
      <c r="E150" s="13" t="s">
        <v>135</v>
      </c>
      <c r="F150" s="13" t="s">
        <v>414</v>
      </c>
      <c r="G150" s="13" t="s">
        <v>415</v>
      </c>
      <c r="H150" s="13" t="s">
        <v>448</v>
      </c>
      <c r="I150" s="13" t="str">
        <f t="shared" si="2"/>
        <v>Sports</v>
      </c>
      <c r="J150" s="13">
        <v>29.61</v>
      </c>
      <c r="K150" s="13">
        <v>31.090499999999999</v>
      </c>
      <c r="L150" s="13">
        <v>7</v>
      </c>
      <c r="M150" s="13" t="s">
        <v>422</v>
      </c>
      <c r="N150" s="13">
        <v>6.5</v>
      </c>
      <c r="O150" s="13">
        <f>(CATEGORIZATION!$K150-CATEGORIZATION!$J150)</f>
        <v>1.4804999999999993</v>
      </c>
    </row>
    <row r="151" spans="2:15" ht="15.75">
      <c r="B151" s="13" t="s">
        <v>594</v>
      </c>
      <c r="C151" s="76">
        <v>43548</v>
      </c>
      <c r="D151" s="13" t="s">
        <v>266</v>
      </c>
      <c r="E151" s="13" t="s">
        <v>135</v>
      </c>
      <c r="F151" s="13" t="s">
        <v>420</v>
      </c>
      <c r="G151" s="13" t="s">
        <v>415</v>
      </c>
      <c r="H151" s="13" t="s">
        <v>461</v>
      </c>
      <c r="I151" s="13" t="str">
        <f t="shared" si="2"/>
        <v>Sports</v>
      </c>
      <c r="J151" s="13">
        <v>24.77</v>
      </c>
      <c r="K151" s="13">
        <v>26.008499999999998</v>
      </c>
      <c r="L151" s="13">
        <v>5</v>
      </c>
      <c r="M151" s="13" t="s">
        <v>422</v>
      </c>
      <c r="N151" s="13">
        <v>8.5</v>
      </c>
      <c r="O151" s="13">
        <f>(CATEGORIZATION!$K151-CATEGORIZATION!$J151)</f>
        <v>1.2384999999999984</v>
      </c>
    </row>
    <row r="152" spans="2:15" ht="15.75">
      <c r="B152" s="13" t="s">
        <v>595</v>
      </c>
      <c r="C152" s="76">
        <v>43517</v>
      </c>
      <c r="D152" s="13" t="s">
        <v>175</v>
      </c>
      <c r="E152" s="13" t="s">
        <v>134</v>
      </c>
      <c r="F152" s="13" t="s">
        <v>414</v>
      </c>
      <c r="G152" s="13" t="s">
        <v>415</v>
      </c>
      <c r="H152" s="13" t="s">
        <v>428</v>
      </c>
      <c r="I152" s="13" t="str">
        <f t="shared" si="2"/>
        <v>Electronic accessories</v>
      </c>
      <c r="J152" s="13">
        <v>94.64</v>
      </c>
      <c r="K152" s="13">
        <v>99.372</v>
      </c>
      <c r="L152" s="13">
        <v>3</v>
      </c>
      <c r="M152" s="13" t="s">
        <v>422</v>
      </c>
      <c r="N152" s="13">
        <v>5.5</v>
      </c>
      <c r="O152" s="13">
        <f>(CATEGORIZATION!$K152-CATEGORIZATION!$J152)</f>
        <v>4.7319999999999993</v>
      </c>
    </row>
    <row r="153" spans="2:15" ht="15.75">
      <c r="B153" s="13" t="s">
        <v>596</v>
      </c>
      <c r="C153" s="76">
        <v>43741</v>
      </c>
      <c r="D153" s="13" t="s">
        <v>266</v>
      </c>
      <c r="E153" s="13" t="s">
        <v>135</v>
      </c>
      <c r="F153" s="13" t="s">
        <v>420</v>
      </c>
      <c r="G153" s="13" t="s">
        <v>415</v>
      </c>
      <c r="H153" s="13" t="s">
        <v>435</v>
      </c>
      <c r="I153" s="13" t="str">
        <f t="shared" si="2"/>
        <v>Food and beverages</v>
      </c>
      <c r="J153" s="13">
        <v>57.34</v>
      </c>
      <c r="K153" s="13">
        <v>60.207000000000001</v>
      </c>
      <c r="L153" s="13">
        <v>3</v>
      </c>
      <c r="M153" s="13" t="s">
        <v>433</v>
      </c>
      <c r="N153" s="13">
        <v>7.9</v>
      </c>
      <c r="O153" s="13">
        <f>(CATEGORIZATION!$K153-CATEGORIZATION!$J153)</f>
        <v>2.8669999999999973</v>
      </c>
    </row>
    <row r="154" spans="2:15" ht="15.75">
      <c r="B154" s="13" t="s">
        <v>597</v>
      </c>
      <c r="C154" s="76">
        <v>43496</v>
      </c>
      <c r="D154" s="13" t="s">
        <v>266</v>
      </c>
      <c r="E154" s="13" t="s">
        <v>135</v>
      </c>
      <c r="F154" s="13" t="s">
        <v>420</v>
      </c>
      <c r="G154" s="13" t="s">
        <v>494</v>
      </c>
      <c r="H154" s="13" t="s">
        <v>430</v>
      </c>
      <c r="I154" s="13" t="str">
        <f t="shared" si="2"/>
        <v>Electronic accessories</v>
      </c>
      <c r="J154" s="13">
        <v>45.35</v>
      </c>
      <c r="K154" s="13">
        <v>47.6175</v>
      </c>
      <c r="L154" s="13">
        <v>6</v>
      </c>
      <c r="M154" s="13" t="s">
        <v>417</v>
      </c>
      <c r="N154" s="13">
        <v>6.1</v>
      </c>
      <c r="O154" s="13">
        <f>(CATEGORIZATION!$K154-CATEGORIZATION!$J154)</f>
        <v>2.2674999999999983</v>
      </c>
    </row>
    <row r="155" spans="2:15" ht="15.75">
      <c r="B155" s="13" t="s">
        <v>598</v>
      </c>
      <c r="C155" s="76">
        <v>43619</v>
      </c>
      <c r="D155" s="13" t="s">
        <v>266</v>
      </c>
      <c r="E155" s="13" t="s">
        <v>135</v>
      </c>
      <c r="F155" s="13" t="s">
        <v>420</v>
      </c>
      <c r="G155" s="13" t="s">
        <v>494</v>
      </c>
      <c r="H155" s="13" t="s">
        <v>476</v>
      </c>
      <c r="I155" s="13" t="str">
        <f t="shared" si="2"/>
        <v>Food and beverages</v>
      </c>
      <c r="J155" s="13">
        <v>62.08</v>
      </c>
      <c r="K155" s="13">
        <v>65.183999999999997</v>
      </c>
      <c r="L155" s="13">
        <v>7</v>
      </c>
      <c r="M155" s="13" t="s">
        <v>417</v>
      </c>
      <c r="N155" s="13">
        <v>5.4</v>
      </c>
      <c r="O155" s="13">
        <f>(CATEGORIZATION!$K155-CATEGORIZATION!$J155)</f>
        <v>3.1039999999999992</v>
      </c>
    </row>
    <row r="156" spans="2:15" ht="15.75">
      <c r="B156" s="13" t="s">
        <v>599</v>
      </c>
      <c r="C156" s="76">
        <v>43513</v>
      </c>
      <c r="D156" s="13" t="s">
        <v>419</v>
      </c>
      <c r="E156" s="13" t="s">
        <v>131</v>
      </c>
      <c r="F156" s="13" t="s">
        <v>420</v>
      </c>
      <c r="G156" s="13" t="s">
        <v>494</v>
      </c>
      <c r="H156" s="13" t="s">
        <v>428</v>
      </c>
      <c r="I156" s="13" t="str">
        <f t="shared" si="2"/>
        <v>Electronic accessories</v>
      </c>
      <c r="J156" s="13">
        <v>11.81</v>
      </c>
      <c r="K156" s="13">
        <v>12.400499999999999</v>
      </c>
      <c r="L156" s="13">
        <v>5</v>
      </c>
      <c r="M156" s="13" t="s">
        <v>422</v>
      </c>
      <c r="N156" s="13">
        <v>9.4</v>
      </c>
      <c r="O156" s="13">
        <f>(CATEGORIZATION!$K156-CATEGORIZATION!$J156)</f>
        <v>0.59049999999999869</v>
      </c>
    </row>
    <row r="157" spans="2:15" ht="15.75">
      <c r="B157" s="13" t="s">
        <v>600</v>
      </c>
      <c r="C157" s="76">
        <v>43544</v>
      </c>
      <c r="D157" s="13" t="s">
        <v>175</v>
      </c>
      <c r="E157" s="13" t="s">
        <v>134</v>
      </c>
      <c r="F157" s="13" t="s">
        <v>420</v>
      </c>
      <c r="G157" s="13" t="s">
        <v>494</v>
      </c>
      <c r="H157" s="13" t="s">
        <v>476</v>
      </c>
      <c r="I157" s="13" t="str">
        <f t="shared" si="2"/>
        <v>Food and beverages</v>
      </c>
      <c r="J157" s="13">
        <v>43.25</v>
      </c>
      <c r="K157" s="13">
        <v>45.412500000000001</v>
      </c>
      <c r="L157" s="13">
        <v>2</v>
      </c>
      <c r="M157" s="13" t="s">
        <v>422</v>
      </c>
      <c r="N157" s="13">
        <v>6.2</v>
      </c>
      <c r="O157" s="13">
        <f>(CATEGORIZATION!$K157-CATEGORIZATION!$J157)</f>
        <v>2.1625000000000014</v>
      </c>
    </row>
    <row r="158" spans="2:15" ht="15.75">
      <c r="B158" s="13" t="s">
        <v>601</v>
      </c>
      <c r="C158" s="76">
        <v>43770</v>
      </c>
      <c r="D158" s="13" t="s">
        <v>419</v>
      </c>
      <c r="E158" s="13" t="s">
        <v>131</v>
      </c>
      <c r="F158" s="13" t="s">
        <v>414</v>
      </c>
      <c r="G158" s="13" t="s">
        <v>415</v>
      </c>
      <c r="H158" s="13" t="s">
        <v>426</v>
      </c>
      <c r="I158" s="13" t="str">
        <f t="shared" si="2"/>
        <v>Sports</v>
      </c>
      <c r="J158" s="13">
        <v>87.16</v>
      </c>
      <c r="K158" s="13">
        <v>91.518000000000001</v>
      </c>
      <c r="L158" s="13">
        <v>2</v>
      </c>
      <c r="M158" s="13" t="s">
        <v>433</v>
      </c>
      <c r="N158" s="13">
        <v>9.6999999999999993</v>
      </c>
      <c r="O158" s="13">
        <f>(CATEGORIZATION!$K158-CATEGORIZATION!$J158)</f>
        <v>4.3580000000000041</v>
      </c>
    </row>
    <row r="159" spans="2:15" ht="15.75">
      <c r="B159" s="13" t="s">
        <v>602</v>
      </c>
      <c r="C159" s="76">
        <v>43491</v>
      </c>
      <c r="D159" s="13" t="s">
        <v>266</v>
      </c>
      <c r="E159" s="13" t="s">
        <v>135</v>
      </c>
      <c r="F159" s="13" t="s">
        <v>414</v>
      </c>
      <c r="G159" s="13" t="s">
        <v>494</v>
      </c>
      <c r="H159" s="13" t="s">
        <v>459</v>
      </c>
      <c r="I159" s="13" t="str">
        <f t="shared" si="2"/>
        <v>Health and beauty</v>
      </c>
      <c r="J159" s="13">
        <v>69.37</v>
      </c>
      <c r="K159" s="13">
        <v>72.83850000000001</v>
      </c>
      <c r="L159" s="13">
        <v>9</v>
      </c>
      <c r="M159" s="13" t="s">
        <v>417</v>
      </c>
      <c r="N159" s="13">
        <v>4</v>
      </c>
      <c r="O159" s="13">
        <f>(CATEGORIZATION!$K159-CATEGORIZATION!$J159)</f>
        <v>3.4685000000000059</v>
      </c>
    </row>
    <row r="160" spans="2:15" ht="15.75">
      <c r="B160" s="13" t="s">
        <v>603</v>
      </c>
      <c r="C160" s="76">
        <v>43496</v>
      </c>
      <c r="D160" s="13" t="s">
        <v>419</v>
      </c>
      <c r="E160" s="13" t="s">
        <v>131</v>
      </c>
      <c r="F160" s="13" t="s">
        <v>414</v>
      </c>
      <c r="G160" s="13" t="s">
        <v>494</v>
      </c>
      <c r="H160" s="13" t="s">
        <v>428</v>
      </c>
      <c r="I160" s="13" t="str">
        <f t="shared" si="2"/>
        <v>Electronic accessories</v>
      </c>
      <c r="J160" s="13">
        <v>37.06</v>
      </c>
      <c r="K160" s="13">
        <v>38.912999999999997</v>
      </c>
      <c r="L160" s="13">
        <v>4</v>
      </c>
      <c r="M160" s="13" t="s">
        <v>417</v>
      </c>
      <c r="N160" s="13">
        <v>9.6999999999999993</v>
      </c>
      <c r="O160" s="13">
        <f>(CATEGORIZATION!$K160-CATEGORIZATION!$J160)</f>
        <v>1.8529999999999944</v>
      </c>
    </row>
    <row r="161" spans="2:15" ht="15.75">
      <c r="B161" s="13" t="s">
        <v>604</v>
      </c>
      <c r="C161" s="76">
        <v>43522</v>
      </c>
      <c r="D161" s="13" t="s">
        <v>266</v>
      </c>
      <c r="E161" s="13" t="s">
        <v>135</v>
      </c>
      <c r="F161" s="13" t="s">
        <v>414</v>
      </c>
      <c r="G161" s="13" t="s">
        <v>415</v>
      </c>
      <c r="H161" s="13" t="s">
        <v>428</v>
      </c>
      <c r="I161" s="13" t="str">
        <f t="shared" si="2"/>
        <v>Electronic accessories</v>
      </c>
      <c r="J161" s="13">
        <v>90.7</v>
      </c>
      <c r="K161" s="13">
        <v>95.234999999999999</v>
      </c>
      <c r="L161" s="13">
        <v>6</v>
      </c>
      <c r="M161" s="13" t="s">
        <v>422</v>
      </c>
      <c r="N161" s="13">
        <v>5.3</v>
      </c>
      <c r="O161" s="13">
        <f>(CATEGORIZATION!$K161-CATEGORIZATION!$J161)</f>
        <v>4.5349999999999966</v>
      </c>
    </row>
    <row r="162" spans="2:15" ht="15.75">
      <c r="B162" s="13" t="s">
        <v>605</v>
      </c>
      <c r="C162" s="76">
        <v>43802</v>
      </c>
      <c r="D162" s="13" t="s">
        <v>266</v>
      </c>
      <c r="E162" s="13" t="s">
        <v>135</v>
      </c>
      <c r="F162" s="13" t="s">
        <v>414</v>
      </c>
      <c r="G162" s="13" t="s">
        <v>415</v>
      </c>
      <c r="H162" s="13" t="s">
        <v>428</v>
      </c>
      <c r="I162" s="13" t="str">
        <f t="shared" si="2"/>
        <v>Electronic accessories</v>
      </c>
      <c r="J162" s="13">
        <v>10.59</v>
      </c>
      <c r="K162" s="13">
        <v>11.1195</v>
      </c>
      <c r="L162" s="13">
        <v>3</v>
      </c>
      <c r="M162" s="13" t="s">
        <v>433</v>
      </c>
      <c r="N162" s="13">
        <v>8.6999999999999993</v>
      </c>
      <c r="O162" s="13">
        <f>(CATEGORIZATION!$K162-CATEGORIZATION!$J162)</f>
        <v>0.52950000000000053</v>
      </c>
    </row>
    <row r="163" spans="2:15" ht="15.75">
      <c r="B163" s="13" t="s">
        <v>606</v>
      </c>
      <c r="C163" s="76">
        <v>43771</v>
      </c>
      <c r="D163" s="13" t="s">
        <v>266</v>
      </c>
      <c r="E163" s="13" t="s">
        <v>135</v>
      </c>
      <c r="F163" s="13" t="s">
        <v>420</v>
      </c>
      <c r="G163" s="13" t="s">
        <v>415</v>
      </c>
      <c r="H163" s="13" t="s">
        <v>416</v>
      </c>
      <c r="I163" s="13" t="str">
        <f t="shared" si="2"/>
        <v>Health and beauty</v>
      </c>
      <c r="J163" s="13">
        <v>84.09</v>
      </c>
      <c r="K163" s="13">
        <v>88.294499999999999</v>
      </c>
      <c r="L163" s="13">
        <v>9</v>
      </c>
      <c r="M163" s="13" t="s">
        <v>422</v>
      </c>
      <c r="N163" s="13">
        <v>8</v>
      </c>
      <c r="O163" s="13">
        <f>(CATEGORIZATION!$K163-CATEGORIZATION!$J163)</f>
        <v>4.2044999999999959</v>
      </c>
    </row>
    <row r="164" spans="2:15" ht="15.75">
      <c r="B164" s="13" t="s">
        <v>607</v>
      </c>
      <c r="C164" s="76">
        <v>43711</v>
      </c>
      <c r="D164" s="13" t="s">
        <v>175</v>
      </c>
      <c r="E164" s="13" t="s">
        <v>134</v>
      </c>
      <c r="F164" s="13" t="s">
        <v>414</v>
      </c>
      <c r="G164" s="13" t="s">
        <v>494</v>
      </c>
      <c r="H164" s="13" t="s">
        <v>459</v>
      </c>
      <c r="I164" s="13" t="str">
        <f t="shared" si="2"/>
        <v>Health and beauty</v>
      </c>
      <c r="J164" s="13">
        <v>51.94</v>
      </c>
      <c r="K164" s="13">
        <v>54.536999999999999</v>
      </c>
      <c r="L164" s="13">
        <v>10</v>
      </c>
      <c r="M164" s="13" t="s">
        <v>417</v>
      </c>
      <c r="N164" s="13">
        <v>6.5</v>
      </c>
      <c r="O164" s="13">
        <f>(CATEGORIZATION!$K164-CATEGORIZATION!$J164)</f>
        <v>2.5970000000000013</v>
      </c>
    </row>
    <row r="165" spans="2:15" ht="15.75">
      <c r="B165" s="13" t="s">
        <v>608</v>
      </c>
      <c r="C165" s="76">
        <v>43485</v>
      </c>
      <c r="D165" s="13" t="s">
        <v>175</v>
      </c>
      <c r="E165" s="13" t="s">
        <v>134</v>
      </c>
      <c r="F165" s="13" t="s">
        <v>420</v>
      </c>
      <c r="G165" s="13" t="s">
        <v>415</v>
      </c>
      <c r="H165" s="13" t="s">
        <v>444</v>
      </c>
      <c r="I165" s="13" t="str">
        <f t="shared" si="2"/>
        <v>Sports</v>
      </c>
      <c r="J165" s="13">
        <v>93.14</v>
      </c>
      <c r="K165" s="13">
        <v>97.796999999999997</v>
      </c>
      <c r="L165" s="13">
        <v>2</v>
      </c>
      <c r="M165" s="13" t="s">
        <v>417</v>
      </c>
      <c r="N165" s="13">
        <v>4.0999999999999996</v>
      </c>
      <c r="O165" s="13">
        <f>(CATEGORIZATION!$K165-CATEGORIZATION!$J165)</f>
        <v>4.6569999999999965</v>
      </c>
    </row>
    <row r="166" spans="2:15" ht="15.75">
      <c r="B166" s="13" t="s">
        <v>609</v>
      </c>
      <c r="C166" s="76">
        <v>43493</v>
      </c>
      <c r="D166" s="13" t="s">
        <v>419</v>
      </c>
      <c r="E166" s="13" t="s">
        <v>131</v>
      </c>
      <c r="F166" s="13" t="s">
        <v>420</v>
      </c>
      <c r="G166" s="13" t="s">
        <v>494</v>
      </c>
      <c r="H166" s="13" t="s">
        <v>416</v>
      </c>
      <c r="I166" s="13" t="str">
        <f t="shared" si="2"/>
        <v>Health and beauty</v>
      </c>
      <c r="J166" s="13">
        <v>17.41</v>
      </c>
      <c r="K166" s="13">
        <v>18.2805</v>
      </c>
      <c r="L166" s="13">
        <v>5</v>
      </c>
      <c r="M166" s="13" t="s">
        <v>433</v>
      </c>
      <c r="N166" s="13">
        <v>4.9000000000000004</v>
      </c>
      <c r="O166" s="13">
        <f>(CATEGORIZATION!$K166-CATEGORIZATION!$J166)</f>
        <v>0.87049999999999983</v>
      </c>
    </row>
    <row r="167" spans="2:15" ht="15.75">
      <c r="B167" s="13" t="s">
        <v>610</v>
      </c>
      <c r="C167" s="76">
        <v>43499</v>
      </c>
      <c r="D167" s="13" t="s">
        <v>266</v>
      </c>
      <c r="E167" s="13" t="s">
        <v>135</v>
      </c>
      <c r="F167" s="13" t="s">
        <v>414</v>
      </c>
      <c r="G167" s="13" t="s">
        <v>415</v>
      </c>
      <c r="H167" s="13" t="s">
        <v>428</v>
      </c>
      <c r="I167" s="13" t="str">
        <f t="shared" si="2"/>
        <v>Electronic accessories</v>
      </c>
      <c r="J167" s="13">
        <v>13.22</v>
      </c>
      <c r="K167" s="13">
        <v>13.881</v>
      </c>
      <c r="L167" s="13">
        <v>5</v>
      </c>
      <c r="M167" s="13" t="s">
        <v>422</v>
      </c>
      <c r="N167" s="13">
        <v>4.3</v>
      </c>
      <c r="O167" s="13">
        <f>(CATEGORIZATION!$K167-CATEGORIZATION!$J167)</f>
        <v>0.66099999999999959</v>
      </c>
    </row>
    <row r="168" spans="2:15" ht="15.75">
      <c r="B168" s="13" t="s">
        <v>611</v>
      </c>
      <c r="C168" s="76">
        <v>43770</v>
      </c>
      <c r="D168" s="13" t="s">
        <v>175</v>
      </c>
      <c r="E168" s="13" t="s">
        <v>134</v>
      </c>
      <c r="F168" s="13" t="s">
        <v>420</v>
      </c>
      <c r="G168" s="13" t="s">
        <v>494</v>
      </c>
      <c r="H168" s="13" t="s">
        <v>440</v>
      </c>
      <c r="I168" s="13" t="str">
        <f t="shared" si="2"/>
        <v>Food and beverages</v>
      </c>
      <c r="J168" s="13">
        <v>24.94</v>
      </c>
      <c r="K168" s="13">
        <v>26.186999999999998</v>
      </c>
      <c r="L168" s="13">
        <v>9</v>
      </c>
      <c r="M168" s="13" t="s">
        <v>433</v>
      </c>
      <c r="N168" s="13">
        <v>5.6</v>
      </c>
      <c r="O168" s="13">
        <f>(CATEGORIZATION!$K168-CATEGORIZATION!$J168)</f>
        <v>1.2469999999999963</v>
      </c>
    </row>
    <row r="169" spans="2:15" ht="15.75">
      <c r="B169" s="13" t="s">
        <v>612</v>
      </c>
      <c r="C169" s="76">
        <v>43772</v>
      </c>
      <c r="D169" s="13" t="s">
        <v>175</v>
      </c>
      <c r="E169" s="13" t="s">
        <v>134</v>
      </c>
      <c r="F169" s="13" t="s">
        <v>420</v>
      </c>
      <c r="G169" s="13" t="s">
        <v>494</v>
      </c>
      <c r="H169" s="13" t="s">
        <v>459</v>
      </c>
      <c r="I169" s="13" t="str">
        <f t="shared" si="2"/>
        <v>Health and beauty</v>
      </c>
      <c r="J169" s="13">
        <v>59.77</v>
      </c>
      <c r="K169" s="13">
        <v>62.758499999999998</v>
      </c>
      <c r="L169" s="13">
        <v>2</v>
      </c>
      <c r="M169" s="13" t="s">
        <v>433</v>
      </c>
      <c r="N169" s="13">
        <v>5.8</v>
      </c>
      <c r="O169" s="13">
        <f>(CATEGORIZATION!$K169-CATEGORIZATION!$J169)</f>
        <v>2.9884999999999948</v>
      </c>
    </row>
    <row r="170" spans="2:15" ht="15.75">
      <c r="B170" s="13" t="s">
        <v>613</v>
      </c>
      <c r="C170" s="76">
        <v>43710</v>
      </c>
      <c r="D170" s="13" t="s">
        <v>266</v>
      </c>
      <c r="E170" s="13" t="s">
        <v>135</v>
      </c>
      <c r="F170" s="13" t="s">
        <v>414</v>
      </c>
      <c r="G170" s="13" t="s">
        <v>415</v>
      </c>
      <c r="H170" s="13" t="s">
        <v>428</v>
      </c>
      <c r="I170" s="13" t="str">
        <f t="shared" si="2"/>
        <v>Electronic accessories</v>
      </c>
      <c r="J170" s="13">
        <v>81.400000000000006</v>
      </c>
      <c r="K170" s="13">
        <v>85.470000000000013</v>
      </c>
      <c r="L170" s="13">
        <v>3</v>
      </c>
      <c r="M170" s="13" t="s">
        <v>422</v>
      </c>
      <c r="N170" s="13">
        <v>4.8</v>
      </c>
      <c r="O170" s="13">
        <f>(CATEGORIZATION!$K170-CATEGORIZATION!$J170)</f>
        <v>4.0700000000000074</v>
      </c>
    </row>
    <row r="171" spans="2:15" ht="15.75">
      <c r="B171" s="13" t="s">
        <v>614</v>
      </c>
      <c r="C171" s="76">
        <v>43647</v>
      </c>
      <c r="D171" s="13" t="s">
        <v>175</v>
      </c>
      <c r="E171" s="13" t="s">
        <v>134</v>
      </c>
      <c r="F171" s="13" t="s">
        <v>414</v>
      </c>
      <c r="G171" s="13" t="s">
        <v>494</v>
      </c>
      <c r="H171" s="13" t="s">
        <v>428</v>
      </c>
      <c r="I171" s="13" t="str">
        <f t="shared" si="2"/>
        <v>Electronic accessories</v>
      </c>
      <c r="J171" s="13">
        <v>77.72</v>
      </c>
      <c r="K171" s="13">
        <v>81.605999999999995</v>
      </c>
      <c r="L171" s="13">
        <v>4</v>
      </c>
      <c r="M171" s="13" t="s">
        <v>433</v>
      </c>
      <c r="N171" s="13">
        <v>8.8000000000000007</v>
      </c>
      <c r="O171" s="13">
        <f>(CATEGORIZATION!$K171-CATEGORIZATION!$J171)</f>
        <v>3.8859999999999957</v>
      </c>
    </row>
    <row r="172" spans="2:15" ht="15.75">
      <c r="B172" s="13" t="s">
        <v>615</v>
      </c>
      <c r="C172" s="76">
        <v>43479</v>
      </c>
      <c r="D172" s="13" t="s">
        <v>266</v>
      </c>
      <c r="E172" s="13" t="s">
        <v>135</v>
      </c>
      <c r="F172" s="13" t="s">
        <v>420</v>
      </c>
      <c r="G172" s="13" t="s">
        <v>494</v>
      </c>
      <c r="H172" s="13" t="s">
        <v>476</v>
      </c>
      <c r="I172" s="13" t="str">
        <f t="shared" si="2"/>
        <v>Food and beverages</v>
      </c>
      <c r="J172" s="13">
        <v>73.06</v>
      </c>
      <c r="K172" s="13">
        <v>76.712999999999994</v>
      </c>
      <c r="L172" s="13">
        <v>7</v>
      </c>
      <c r="M172" s="13" t="s">
        <v>433</v>
      </c>
      <c r="N172" s="13">
        <v>4.2</v>
      </c>
      <c r="O172" s="13">
        <f>(CATEGORIZATION!$K172-CATEGORIZATION!$J172)</f>
        <v>3.6529999999999916</v>
      </c>
    </row>
    <row r="173" spans="2:15" ht="15.75">
      <c r="B173" s="13" t="s">
        <v>616</v>
      </c>
      <c r="C173" s="76">
        <v>43498</v>
      </c>
      <c r="D173" s="13" t="s">
        <v>266</v>
      </c>
      <c r="E173" s="13" t="s">
        <v>135</v>
      </c>
      <c r="F173" s="13" t="s">
        <v>414</v>
      </c>
      <c r="G173" s="13" t="s">
        <v>494</v>
      </c>
      <c r="H173" s="13" t="s">
        <v>476</v>
      </c>
      <c r="I173" s="13" t="str">
        <f t="shared" si="2"/>
        <v>Food and beverages</v>
      </c>
      <c r="J173" s="13">
        <v>46.55</v>
      </c>
      <c r="K173" s="13">
        <v>48.877499999999998</v>
      </c>
      <c r="L173" s="13">
        <v>9</v>
      </c>
      <c r="M173" s="13" t="s">
        <v>417</v>
      </c>
      <c r="N173" s="13">
        <v>6.4</v>
      </c>
      <c r="O173" s="13">
        <f>(CATEGORIZATION!$K173-CATEGORIZATION!$J173)</f>
        <v>2.3275000000000006</v>
      </c>
    </row>
    <row r="174" spans="2:15" ht="15.75">
      <c r="B174" s="13" t="s">
        <v>617</v>
      </c>
      <c r="C174" s="76">
        <v>43499</v>
      </c>
      <c r="D174" s="13" t="s">
        <v>419</v>
      </c>
      <c r="E174" s="13" t="s">
        <v>131</v>
      </c>
      <c r="F174" s="13" t="s">
        <v>420</v>
      </c>
      <c r="G174" s="13" t="s">
        <v>415</v>
      </c>
      <c r="H174" s="13" t="s">
        <v>461</v>
      </c>
      <c r="I174" s="13" t="str">
        <f t="shared" si="2"/>
        <v>Sports</v>
      </c>
      <c r="J174" s="13">
        <v>14.39</v>
      </c>
      <c r="K174" s="13">
        <v>15.109500000000001</v>
      </c>
      <c r="L174" s="13">
        <v>2</v>
      </c>
      <c r="M174" s="13" t="s">
        <v>433</v>
      </c>
      <c r="N174" s="13">
        <v>7.2</v>
      </c>
      <c r="O174" s="13">
        <f>(CATEGORIZATION!$K174-CATEGORIZATION!$J174)</f>
        <v>0.71950000000000003</v>
      </c>
    </row>
    <row r="175" spans="2:15" ht="15.75">
      <c r="B175" s="13" t="s">
        <v>618</v>
      </c>
      <c r="C175" s="76">
        <v>43496</v>
      </c>
      <c r="D175" s="13" t="s">
        <v>175</v>
      </c>
      <c r="E175" s="13" t="s">
        <v>134</v>
      </c>
      <c r="F175" s="13" t="s">
        <v>414</v>
      </c>
      <c r="G175" s="13" t="s">
        <v>494</v>
      </c>
      <c r="H175" s="13" t="s">
        <v>428</v>
      </c>
      <c r="I175" s="13" t="str">
        <f t="shared" si="2"/>
        <v>Electronic accessories</v>
      </c>
      <c r="J175" s="13">
        <v>66.349999999999994</v>
      </c>
      <c r="K175" s="13">
        <v>69.667500000000004</v>
      </c>
      <c r="L175" s="13">
        <v>1</v>
      </c>
      <c r="M175" s="13" t="s">
        <v>433</v>
      </c>
      <c r="N175" s="13">
        <v>9.6999999999999993</v>
      </c>
      <c r="O175" s="13">
        <f>(CATEGORIZATION!$K175-CATEGORIZATION!$J175)</f>
        <v>3.3175000000000097</v>
      </c>
    </row>
    <row r="176" spans="2:15" ht="15.75">
      <c r="B176" s="13" t="s">
        <v>619</v>
      </c>
      <c r="C176" s="76">
        <v>43509</v>
      </c>
      <c r="D176" s="13" t="s">
        <v>175</v>
      </c>
      <c r="E176" s="13" t="s">
        <v>134</v>
      </c>
      <c r="F176" s="13" t="s">
        <v>414</v>
      </c>
      <c r="G176" s="13" t="s">
        <v>494</v>
      </c>
      <c r="H176" s="13" t="s">
        <v>428</v>
      </c>
      <c r="I176" s="13" t="str">
        <f t="shared" si="2"/>
        <v>Electronic accessories</v>
      </c>
      <c r="J176" s="13">
        <v>32.25</v>
      </c>
      <c r="K176" s="13">
        <v>33.862499999999997</v>
      </c>
      <c r="L176" s="13">
        <v>4</v>
      </c>
      <c r="M176" s="13" t="s">
        <v>417</v>
      </c>
      <c r="N176" s="13">
        <v>6.5</v>
      </c>
      <c r="O176" s="13">
        <f>(CATEGORIZATION!$K176-CATEGORIZATION!$J176)</f>
        <v>1.6124999999999972</v>
      </c>
    </row>
    <row r="177" spans="2:15" ht="15.75">
      <c r="B177" s="13" t="s">
        <v>620</v>
      </c>
      <c r="C177" s="76">
        <v>43648</v>
      </c>
      <c r="D177" s="13" t="s">
        <v>419</v>
      </c>
      <c r="E177" s="13" t="s">
        <v>131</v>
      </c>
      <c r="F177" s="13" t="s">
        <v>414</v>
      </c>
      <c r="G177" s="13" t="s">
        <v>494</v>
      </c>
      <c r="H177" s="13" t="s">
        <v>428</v>
      </c>
      <c r="I177" s="13" t="str">
        <f t="shared" si="2"/>
        <v>Electronic accessories</v>
      </c>
      <c r="J177" s="13">
        <v>65.94</v>
      </c>
      <c r="K177" s="13">
        <v>69.236999999999995</v>
      </c>
      <c r="L177" s="13">
        <v>4</v>
      </c>
      <c r="M177" s="13" t="s">
        <v>433</v>
      </c>
      <c r="N177" s="13">
        <v>6.9</v>
      </c>
      <c r="O177" s="13">
        <f>(CATEGORIZATION!$K177-CATEGORIZATION!$J177)</f>
        <v>3.296999999999997</v>
      </c>
    </row>
    <row r="178" spans="2:15" ht="15.75">
      <c r="B178" s="13" t="s">
        <v>621</v>
      </c>
      <c r="C178" s="76">
        <v>43543</v>
      </c>
      <c r="D178" s="13" t="s">
        <v>175</v>
      </c>
      <c r="E178" s="13" t="s">
        <v>134</v>
      </c>
      <c r="F178" s="13" t="s">
        <v>420</v>
      </c>
      <c r="G178" s="13" t="s">
        <v>415</v>
      </c>
      <c r="H178" s="13" t="s">
        <v>430</v>
      </c>
      <c r="I178" s="13" t="str">
        <f t="shared" si="2"/>
        <v>Electronic accessories</v>
      </c>
      <c r="J178" s="13">
        <v>75.06</v>
      </c>
      <c r="K178" s="13">
        <v>78.813000000000002</v>
      </c>
      <c r="L178" s="13">
        <v>9</v>
      </c>
      <c r="M178" s="13" t="s">
        <v>417</v>
      </c>
      <c r="N178" s="13">
        <v>6.2</v>
      </c>
      <c r="O178" s="13">
        <f>(CATEGORIZATION!$K178-CATEGORIZATION!$J178)</f>
        <v>3.7530000000000001</v>
      </c>
    </row>
    <row r="179" spans="2:15" ht="15.75">
      <c r="B179" s="13" t="s">
        <v>622</v>
      </c>
      <c r="C179" s="76">
        <v>43710</v>
      </c>
      <c r="D179" s="13" t="s">
        <v>175</v>
      </c>
      <c r="E179" s="13" t="s">
        <v>134</v>
      </c>
      <c r="F179" s="13" t="s">
        <v>414</v>
      </c>
      <c r="G179" s="13" t="s">
        <v>415</v>
      </c>
      <c r="H179" s="13" t="s">
        <v>461</v>
      </c>
      <c r="I179" s="13" t="str">
        <f t="shared" si="2"/>
        <v>Sports</v>
      </c>
      <c r="J179" s="13">
        <v>22.24</v>
      </c>
      <c r="K179" s="13">
        <v>23.352</v>
      </c>
      <c r="L179" s="13">
        <v>10</v>
      </c>
      <c r="M179" s="13" t="s">
        <v>422</v>
      </c>
      <c r="N179" s="13">
        <v>4.2</v>
      </c>
      <c r="O179" s="13">
        <f>(CATEGORIZATION!$K179-CATEGORIZATION!$J179)</f>
        <v>1.1120000000000019</v>
      </c>
    </row>
    <row r="180" spans="2:15" ht="15.75">
      <c r="B180" s="13" t="s">
        <v>623</v>
      </c>
      <c r="C180" s="76">
        <v>43522</v>
      </c>
      <c r="D180" s="13" t="s">
        <v>266</v>
      </c>
      <c r="E180" s="13" t="s">
        <v>135</v>
      </c>
      <c r="F180" s="13" t="s">
        <v>420</v>
      </c>
      <c r="G180" s="13" t="s">
        <v>494</v>
      </c>
      <c r="H180" s="13" t="s">
        <v>455</v>
      </c>
      <c r="I180" s="13" t="str">
        <f t="shared" si="2"/>
        <v>Sports</v>
      </c>
      <c r="J180" s="13">
        <v>54.45</v>
      </c>
      <c r="K180" s="13">
        <v>57.172499999999999</v>
      </c>
      <c r="L180" s="13">
        <v>1</v>
      </c>
      <c r="M180" s="13" t="s">
        <v>417</v>
      </c>
      <c r="N180" s="13">
        <v>7.9</v>
      </c>
      <c r="O180" s="13">
        <f>(CATEGORIZATION!$K180-CATEGORIZATION!$J180)</f>
        <v>2.7224999999999966</v>
      </c>
    </row>
    <row r="181" spans="2:15" ht="15.75">
      <c r="B181" s="13" t="s">
        <v>624</v>
      </c>
      <c r="C181" s="76">
        <v>43802</v>
      </c>
      <c r="D181" s="13" t="s">
        <v>175</v>
      </c>
      <c r="E181" s="13" t="s">
        <v>134</v>
      </c>
      <c r="F181" s="13" t="s">
        <v>414</v>
      </c>
      <c r="G181" s="13" t="s">
        <v>415</v>
      </c>
      <c r="H181" s="13" t="s">
        <v>461</v>
      </c>
      <c r="I181" s="13" t="str">
        <f t="shared" si="2"/>
        <v>Sports</v>
      </c>
      <c r="J181" s="13">
        <v>98.4</v>
      </c>
      <c r="K181" s="13">
        <v>103.32000000000001</v>
      </c>
      <c r="L181" s="13">
        <v>7</v>
      </c>
      <c r="M181" s="13" t="s">
        <v>433</v>
      </c>
      <c r="N181" s="13">
        <v>8.6999999999999993</v>
      </c>
      <c r="O181" s="13">
        <f>(CATEGORIZATION!$K181-CATEGORIZATION!$J181)</f>
        <v>4.9200000000000017</v>
      </c>
    </row>
    <row r="182" spans="2:15" ht="15.75">
      <c r="B182" s="13" t="s">
        <v>625</v>
      </c>
      <c r="C182" s="76">
        <v>43678</v>
      </c>
      <c r="D182" s="13" t="s">
        <v>266</v>
      </c>
      <c r="E182" s="13" t="s">
        <v>135</v>
      </c>
      <c r="F182" s="13" t="s">
        <v>414</v>
      </c>
      <c r="G182" s="13" t="s">
        <v>415</v>
      </c>
      <c r="H182" s="13" t="s">
        <v>476</v>
      </c>
      <c r="I182" s="13" t="str">
        <f t="shared" si="2"/>
        <v>Food and beverages</v>
      </c>
      <c r="J182" s="13">
        <v>74.599999999999994</v>
      </c>
      <c r="K182" s="13">
        <v>78.33</v>
      </c>
      <c r="L182" s="13">
        <v>10</v>
      </c>
      <c r="M182" s="13" t="s">
        <v>422</v>
      </c>
      <c r="N182" s="13">
        <v>9.5</v>
      </c>
      <c r="O182" s="13">
        <f>(CATEGORIZATION!$K182-CATEGORIZATION!$J182)</f>
        <v>3.730000000000004</v>
      </c>
    </row>
    <row r="183" spans="2:15" ht="15.75">
      <c r="B183" s="13" t="s">
        <v>626</v>
      </c>
      <c r="C183" s="76">
        <v>43619</v>
      </c>
      <c r="D183" s="13" t="s">
        <v>266</v>
      </c>
      <c r="E183" s="13" t="s">
        <v>135</v>
      </c>
      <c r="F183" s="13" t="s">
        <v>420</v>
      </c>
      <c r="G183" s="13" t="s">
        <v>415</v>
      </c>
      <c r="H183" s="13" t="s">
        <v>461</v>
      </c>
      <c r="I183" s="13" t="str">
        <f t="shared" si="2"/>
        <v>Sports</v>
      </c>
      <c r="J183" s="13">
        <v>67.430000000000007</v>
      </c>
      <c r="K183" s="13">
        <v>70.801500000000004</v>
      </c>
      <c r="L183" s="13">
        <v>5</v>
      </c>
      <c r="M183" s="13" t="s">
        <v>417</v>
      </c>
      <c r="N183" s="13">
        <v>6.3</v>
      </c>
      <c r="O183" s="13">
        <f>(CATEGORIZATION!$K183-CATEGORIZATION!$J183)</f>
        <v>3.3714999999999975</v>
      </c>
    </row>
    <row r="184" spans="2:15" ht="15.75">
      <c r="B184" s="13" t="s">
        <v>627</v>
      </c>
      <c r="C184" s="76">
        <v>43525</v>
      </c>
      <c r="D184" s="13" t="s">
        <v>419</v>
      </c>
      <c r="E184" s="13" t="s">
        <v>131</v>
      </c>
      <c r="F184" s="13" t="s">
        <v>414</v>
      </c>
      <c r="G184" s="13" t="s">
        <v>415</v>
      </c>
      <c r="H184" s="13" t="s">
        <v>459</v>
      </c>
      <c r="I184" s="13" t="str">
        <f t="shared" si="2"/>
        <v>Health and beauty</v>
      </c>
      <c r="J184" s="13">
        <v>21.12</v>
      </c>
      <c r="K184" s="13">
        <v>22.175999999999998</v>
      </c>
      <c r="L184" s="13">
        <v>2</v>
      </c>
      <c r="M184" s="13" t="s">
        <v>422</v>
      </c>
      <c r="N184" s="13">
        <v>9.6999999999999993</v>
      </c>
      <c r="O184" s="13">
        <f>(CATEGORIZATION!$K184-CATEGORIZATION!$J184)</f>
        <v>1.0559999999999974</v>
      </c>
    </row>
    <row r="185" spans="2:15" ht="15.75">
      <c r="B185" s="13" t="s">
        <v>628</v>
      </c>
      <c r="C185" s="76">
        <v>43522</v>
      </c>
      <c r="D185" s="13" t="s">
        <v>266</v>
      </c>
      <c r="E185" s="13" t="s">
        <v>135</v>
      </c>
      <c r="F185" s="13" t="s">
        <v>420</v>
      </c>
      <c r="G185" s="13" t="s">
        <v>415</v>
      </c>
      <c r="H185" s="13" t="s">
        <v>416</v>
      </c>
      <c r="I185" s="13" t="str">
        <f t="shared" si="2"/>
        <v>Health and beauty</v>
      </c>
      <c r="J185" s="13">
        <v>99.71</v>
      </c>
      <c r="K185" s="13">
        <v>104.6955</v>
      </c>
      <c r="L185" s="13">
        <v>6</v>
      </c>
      <c r="M185" s="13" t="s">
        <v>417</v>
      </c>
      <c r="N185" s="13">
        <v>7.9</v>
      </c>
      <c r="O185" s="13">
        <f>(CATEGORIZATION!$K185-CATEGORIZATION!$J185)</f>
        <v>4.9855000000000018</v>
      </c>
    </row>
    <row r="186" spans="2:15" ht="15.75">
      <c r="B186" s="13" t="s">
        <v>629</v>
      </c>
      <c r="C186" s="76">
        <v>43544</v>
      </c>
      <c r="D186" s="13" t="s">
        <v>175</v>
      </c>
      <c r="E186" s="13" t="s">
        <v>134</v>
      </c>
      <c r="F186" s="13" t="s">
        <v>414</v>
      </c>
      <c r="G186" s="13" t="s">
        <v>494</v>
      </c>
      <c r="H186" s="13" t="s">
        <v>426</v>
      </c>
      <c r="I186" s="13" t="str">
        <f t="shared" si="2"/>
        <v>Sports</v>
      </c>
      <c r="J186" s="13">
        <v>44.02</v>
      </c>
      <c r="K186" s="13">
        <v>46.220999999999997</v>
      </c>
      <c r="L186" s="13">
        <v>10</v>
      </c>
      <c r="M186" s="13" t="s">
        <v>433</v>
      </c>
      <c r="N186" s="13">
        <v>9.6</v>
      </c>
      <c r="O186" s="13">
        <f>(CATEGORIZATION!$K186-CATEGORIZATION!$J186)</f>
        <v>2.2009999999999934</v>
      </c>
    </row>
    <row r="187" spans="2:15" ht="15.75">
      <c r="B187" s="13" t="s">
        <v>630</v>
      </c>
      <c r="C187" s="76">
        <v>43617</v>
      </c>
      <c r="D187" s="13" t="s">
        <v>175</v>
      </c>
      <c r="E187" s="13" t="s">
        <v>134</v>
      </c>
      <c r="F187" s="13" t="s">
        <v>420</v>
      </c>
      <c r="G187" s="13" t="s">
        <v>415</v>
      </c>
      <c r="H187" s="13" t="s">
        <v>461</v>
      </c>
      <c r="I187" s="13" t="str">
        <f t="shared" si="2"/>
        <v>Sports</v>
      </c>
      <c r="J187" s="13">
        <v>15.34</v>
      </c>
      <c r="K187" s="13">
        <v>16.106999999999999</v>
      </c>
      <c r="L187" s="13">
        <v>1</v>
      </c>
      <c r="M187" s="13" t="s">
        <v>422</v>
      </c>
      <c r="N187" s="13">
        <v>6.5</v>
      </c>
      <c r="O187" s="13">
        <f>(CATEGORIZATION!$K187-CATEGORIZATION!$J187)</f>
        <v>0.76699999999999946</v>
      </c>
    </row>
    <row r="188" spans="2:15" ht="15.75">
      <c r="B188" s="13" t="s">
        <v>631</v>
      </c>
      <c r="C188" s="76">
        <v>43558</v>
      </c>
      <c r="D188" s="13" t="s">
        <v>175</v>
      </c>
      <c r="E188" s="13" t="s">
        <v>134</v>
      </c>
      <c r="F188" s="13" t="s">
        <v>414</v>
      </c>
      <c r="G188" s="13" t="s">
        <v>494</v>
      </c>
      <c r="H188" s="13" t="s">
        <v>442</v>
      </c>
      <c r="I188" s="13" t="str">
        <f t="shared" si="2"/>
        <v>Health and beauty</v>
      </c>
      <c r="J188" s="13">
        <v>99.83</v>
      </c>
      <c r="K188" s="13">
        <v>104.8215</v>
      </c>
      <c r="L188" s="13">
        <v>6</v>
      </c>
      <c r="M188" s="13" t="s">
        <v>417</v>
      </c>
      <c r="N188" s="13">
        <v>8.5</v>
      </c>
      <c r="O188" s="13">
        <f>(CATEGORIZATION!$K188-CATEGORIZATION!$J188)</f>
        <v>4.991500000000002</v>
      </c>
    </row>
    <row r="189" spans="2:15" ht="15.75">
      <c r="B189" s="13" t="s">
        <v>632</v>
      </c>
      <c r="C189" s="76">
        <v>43802</v>
      </c>
      <c r="D189" s="13" t="s">
        <v>175</v>
      </c>
      <c r="E189" s="13" t="s">
        <v>134</v>
      </c>
      <c r="F189" s="13" t="s">
        <v>414</v>
      </c>
      <c r="G189" s="13" t="s">
        <v>415</v>
      </c>
      <c r="H189" s="13" t="s">
        <v>446</v>
      </c>
      <c r="I189" s="13" t="str">
        <f t="shared" si="2"/>
        <v>Health and beauty</v>
      </c>
      <c r="J189" s="13">
        <v>47.67</v>
      </c>
      <c r="K189" s="13">
        <v>50.0535</v>
      </c>
      <c r="L189" s="13">
        <v>4</v>
      </c>
      <c r="M189" s="13" t="s">
        <v>422</v>
      </c>
      <c r="N189" s="13">
        <v>9.1</v>
      </c>
      <c r="O189" s="13">
        <f>(CATEGORIZATION!$K189-CATEGORIZATION!$J189)</f>
        <v>2.383499999999998</v>
      </c>
    </row>
    <row r="190" spans="2:15" ht="15.75">
      <c r="B190" s="13" t="s">
        <v>633</v>
      </c>
      <c r="C190" s="76">
        <v>43516</v>
      </c>
      <c r="D190" s="13" t="s">
        <v>266</v>
      </c>
      <c r="E190" s="13" t="s">
        <v>135</v>
      </c>
      <c r="F190" s="13" t="s">
        <v>420</v>
      </c>
      <c r="G190" s="13" t="s">
        <v>494</v>
      </c>
      <c r="H190" s="13" t="s">
        <v>465</v>
      </c>
      <c r="I190" s="13" t="str">
        <f t="shared" si="2"/>
        <v>Health and beauty</v>
      </c>
      <c r="J190" s="13">
        <v>66.680000000000007</v>
      </c>
      <c r="K190" s="13">
        <v>70.013999999999996</v>
      </c>
      <c r="L190" s="13">
        <v>5</v>
      </c>
      <c r="M190" s="13" t="s">
        <v>422</v>
      </c>
      <c r="N190" s="13">
        <v>7.6</v>
      </c>
      <c r="O190" s="13">
        <f>(CATEGORIZATION!$K190-CATEGORIZATION!$J190)</f>
        <v>3.333999999999989</v>
      </c>
    </row>
    <row r="191" spans="2:15" ht="15.75">
      <c r="B191" s="13" t="s">
        <v>634</v>
      </c>
      <c r="C191" s="76">
        <v>43496</v>
      </c>
      <c r="D191" s="13" t="s">
        <v>419</v>
      </c>
      <c r="E191" s="13" t="s">
        <v>131</v>
      </c>
      <c r="F191" s="13" t="s">
        <v>420</v>
      </c>
      <c r="G191" s="13" t="s">
        <v>415</v>
      </c>
      <c r="H191" s="13" t="s">
        <v>448</v>
      </c>
      <c r="I191" s="13" t="str">
        <f t="shared" si="2"/>
        <v>Sports</v>
      </c>
      <c r="J191" s="13">
        <v>23.75</v>
      </c>
      <c r="K191" s="13">
        <v>24.9375</v>
      </c>
      <c r="L191" s="13">
        <v>9</v>
      </c>
      <c r="M191" s="13" t="s">
        <v>422</v>
      </c>
      <c r="N191" s="13">
        <v>9.5</v>
      </c>
      <c r="O191" s="13">
        <f>(CATEGORIZATION!$K191-CATEGORIZATION!$J191)</f>
        <v>1.1875</v>
      </c>
    </row>
    <row r="192" spans="2:15" ht="15.75">
      <c r="B192" s="13" t="s">
        <v>635</v>
      </c>
      <c r="C192" s="76">
        <v>43490</v>
      </c>
      <c r="D192" s="13" t="s">
        <v>266</v>
      </c>
      <c r="E192" s="13" t="s">
        <v>135</v>
      </c>
      <c r="F192" s="13" t="s">
        <v>420</v>
      </c>
      <c r="G192" s="13" t="s">
        <v>415</v>
      </c>
      <c r="H192" s="13" t="s">
        <v>476</v>
      </c>
      <c r="I192" s="13" t="str">
        <f t="shared" si="2"/>
        <v>Food and beverages</v>
      </c>
      <c r="J192" s="13">
        <v>48.51</v>
      </c>
      <c r="K192" s="13">
        <v>50.935499999999998</v>
      </c>
      <c r="L192" s="13">
        <v>7</v>
      </c>
      <c r="M192" s="13" t="s">
        <v>433</v>
      </c>
      <c r="N192" s="13">
        <v>5.2</v>
      </c>
      <c r="O192" s="13">
        <f>(CATEGORIZATION!$K192-CATEGORIZATION!$J192)</f>
        <v>2.4254999999999995</v>
      </c>
    </row>
    <row r="193" spans="2:15" ht="15.75">
      <c r="B193" s="13" t="s">
        <v>636</v>
      </c>
      <c r="C193" s="76">
        <v>43489</v>
      </c>
      <c r="D193" s="13" t="s">
        <v>266</v>
      </c>
      <c r="E193" s="13" t="s">
        <v>135</v>
      </c>
      <c r="F193" s="13" t="s">
        <v>414</v>
      </c>
      <c r="G193" s="13" t="s">
        <v>494</v>
      </c>
      <c r="H193" s="13" t="s">
        <v>428</v>
      </c>
      <c r="I193" s="13" t="str">
        <f t="shared" si="2"/>
        <v>Electronic accessories</v>
      </c>
      <c r="J193" s="13">
        <v>40.299999999999997</v>
      </c>
      <c r="K193" s="13">
        <v>42.314999999999998</v>
      </c>
      <c r="L193" s="13">
        <v>10</v>
      </c>
      <c r="M193" s="13" t="s">
        <v>433</v>
      </c>
      <c r="N193" s="13">
        <v>7</v>
      </c>
      <c r="O193" s="13">
        <f>(CATEGORIZATION!$K193-CATEGORIZATION!$J193)</f>
        <v>2.0150000000000006</v>
      </c>
    </row>
    <row r="194" spans="2:15" ht="15.75">
      <c r="B194" s="13" t="s">
        <v>637</v>
      </c>
      <c r="C194" s="76">
        <v>43538</v>
      </c>
      <c r="D194" s="13" t="s">
        <v>419</v>
      </c>
      <c r="E194" s="13" t="s">
        <v>131</v>
      </c>
      <c r="F194" s="13" t="s">
        <v>420</v>
      </c>
      <c r="G194" s="13" t="s">
        <v>494</v>
      </c>
      <c r="H194" s="13" t="s">
        <v>430</v>
      </c>
      <c r="I194" s="13" t="str">
        <f t="shared" si="2"/>
        <v>Electronic accessories</v>
      </c>
      <c r="J194" s="13">
        <v>27.85</v>
      </c>
      <c r="K194" s="13">
        <v>29.2425</v>
      </c>
      <c r="L194" s="13">
        <v>7</v>
      </c>
      <c r="M194" s="13" t="s">
        <v>417</v>
      </c>
      <c r="N194" s="13">
        <v>6</v>
      </c>
      <c r="O194" s="13">
        <f>(CATEGORIZATION!$K194-CATEGORIZATION!$J194)</f>
        <v>1.3924999999999983</v>
      </c>
    </row>
    <row r="195" spans="2:15" ht="15.75">
      <c r="B195" s="13" t="s">
        <v>638</v>
      </c>
      <c r="C195" s="76">
        <v>43514</v>
      </c>
      <c r="D195" s="13" t="s">
        <v>175</v>
      </c>
      <c r="E195" s="13" t="s">
        <v>134</v>
      </c>
      <c r="F195" s="13" t="s">
        <v>414</v>
      </c>
      <c r="G195" s="13" t="s">
        <v>415</v>
      </c>
      <c r="H195" s="13" t="s">
        <v>428</v>
      </c>
      <c r="I195" s="13" t="str">
        <f t="shared" si="2"/>
        <v>Electronic accessories</v>
      </c>
      <c r="J195" s="13">
        <v>62.48</v>
      </c>
      <c r="K195" s="13">
        <v>65.603999999999999</v>
      </c>
      <c r="L195" s="13">
        <v>1</v>
      </c>
      <c r="M195" s="13" t="s">
        <v>422</v>
      </c>
      <c r="N195" s="13">
        <v>4.7</v>
      </c>
      <c r="O195" s="13">
        <f>(CATEGORIZATION!$K195-CATEGORIZATION!$J195)</f>
        <v>3.1240000000000023</v>
      </c>
    </row>
    <row r="196" spans="2:15" ht="15.75">
      <c r="B196" s="13" t="s">
        <v>639</v>
      </c>
      <c r="C196" s="76">
        <v>43486</v>
      </c>
      <c r="D196" s="13" t="s">
        <v>175</v>
      </c>
      <c r="E196" s="13" t="s">
        <v>134</v>
      </c>
      <c r="F196" s="13" t="s">
        <v>414</v>
      </c>
      <c r="G196" s="13" t="s">
        <v>415</v>
      </c>
      <c r="H196" s="13" t="s">
        <v>476</v>
      </c>
      <c r="I196" s="13" t="str">
        <f t="shared" ref="I196:I259" si="3">VLOOKUP(H196,$R$5:$S$32,2,FALSE)</f>
        <v>Food and beverages</v>
      </c>
      <c r="J196" s="13">
        <v>36.36</v>
      </c>
      <c r="K196" s="13">
        <v>38.177999999999997</v>
      </c>
      <c r="L196" s="13">
        <v>2</v>
      </c>
      <c r="M196" s="13" t="s">
        <v>422</v>
      </c>
      <c r="N196" s="13">
        <v>7.1</v>
      </c>
      <c r="O196" s="13">
        <f>(CATEGORIZATION!$K196-CATEGORIZATION!$J196)</f>
        <v>1.8179999999999978</v>
      </c>
    </row>
    <row r="197" spans="2:15" ht="15.75">
      <c r="B197" s="13" t="s">
        <v>640</v>
      </c>
      <c r="C197" s="76">
        <v>43537</v>
      </c>
      <c r="D197" s="13" t="s">
        <v>266</v>
      </c>
      <c r="E197" s="13" t="s">
        <v>135</v>
      </c>
      <c r="F197" s="13" t="s">
        <v>420</v>
      </c>
      <c r="G197" s="13" t="s">
        <v>494</v>
      </c>
      <c r="H197" s="13" t="s">
        <v>465</v>
      </c>
      <c r="I197" s="13" t="str">
        <f t="shared" si="3"/>
        <v>Health and beauty</v>
      </c>
      <c r="J197" s="13">
        <v>18.11</v>
      </c>
      <c r="K197" s="13">
        <v>19.015499999999999</v>
      </c>
      <c r="L197" s="13">
        <v>10</v>
      </c>
      <c r="M197" s="13" t="s">
        <v>417</v>
      </c>
      <c r="N197" s="13">
        <v>5.9</v>
      </c>
      <c r="O197" s="13">
        <f>(CATEGORIZATION!$K197-CATEGORIZATION!$J197)</f>
        <v>0.90549999999999997</v>
      </c>
    </row>
    <row r="198" spans="2:15" ht="15.75">
      <c r="B198" s="13" t="s">
        <v>641</v>
      </c>
      <c r="C198" s="76">
        <v>43527</v>
      </c>
      <c r="D198" s="13" t="s">
        <v>419</v>
      </c>
      <c r="E198" s="13" t="s">
        <v>131</v>
      </c>
      <c r="F198" s="13" t="s">
        <v>414</v>
      </c>
      <c r="G198" s="13" t="s">
        <v>415</v>
      </c>
      <c r="H198" s="13" t="s">
        <v>428</v>
      </c>
      <c r="I198" s="13" t="str">
        <f t="shared" si="3"/>
        <v>Electronic accessories</v>
      </c>
      <c r="J198" s="13">
        <v>51.92</v>
      </c>
      <c r="K198" s="13">
        <v>54.515999999999998</v>
      </c>
      <c r="L198" s="13">
        <v>5</v>
      </c>
      <c r="M198" s="13" t="s">
        <v>422</v>
      </c>
      <c r="N198" s="13">
        <v>7.5</v>
      </c>
      <c r="O198" s="13">
        <f>(CATEGORIZATION!$K198-CATEGORIZATION!$J198)</f>
        <v>2.5959999999999965</v>
      </c>
    </row>
    <row r="199" spans="2:15" ht="15.75">
      <c r="B199" s="13" t="s">
        <v>642</v>
      </c>
      <c r="C199" s="76">
        <v>43553</v>
      </c>
      <c r="D199" s="13" t="s">
        <v>419</v>
      </c>
      <c r="E199" s="13" t="s">
        <v>131</v>
      </c>
      <c r="F199" s="13" t="s">
        <v>420</v>
      </c>
      <c r="G199" s="13" t="s">
        <v>494</v>
      </c>
      <c r="H199" s="13" t="s">
        <v>428</v>
      </c>
      <c r="I199" s="13" t="str">
        <f t="shared" si="3"/>
        <v>Electronic accessories</v>
      </c>
      <c r="J199" s="13">
        <v>28.84</v>
      </c>
      <c r="K199" s="13">
        <v>30.282</v>
      </c>
      <c r="L199" s="13">
        <v>4</v>
      </c>
      <c r="M199" s="13" t="s">
        <v>422</v>
      </c>
      <c r="N199" s="13">
        <v>6.4</v>
      </c>
      <c r="O199" s="13">
        <f>(CATEGORIZATION!$K199-CATEGORIZATION!$J199)</f>
        <v>1.4420000000000002</v>
      </c>
    </row>
    <row r="200" spans="2:15" ht="15.75">
      <c r="B200" s="13" t="s">
        <v>643</v>
      </c>
      <c r="C200" s="76">
        <v>43802</v>
      </c>
      <c r="D200" s="13" t="s">
        <v>266</v>
      </c>
      <c r="E200" s="13" t="s">
        <v>135</v>
      </c>
      <c r="F200" s="13" t="s">
        <v>414</v>
      </c>
      <c r="G200" s="13" t="s">
        <v>494</v>
      </c>
      <c r="H200" s="13" t="s">
        <v>442</v>
      </c>
      <c r="I200" s="13" t="str">
        <f t="shared" si="3"/>
        <v>Health and beauty</v>
      </c>
      <c r="J200" s="13">
        <v>39.01</v>
      </c>
      <c r="K200" s="13">
        <v>40.960500000000003</v>
      </c>
      <c r="L200" s="13">
        <v>1</v>
      </c>
      <c r="M200" s="13" t="s">
        <v>433</v>
      </c>
      <c r="N200" s="13">
        <v>4.7</v>
      </c>
      <c r="O200" s="13">
        <f>(CATEGORIZATION!$K200-CATEGORIZATION!$J200)</f>
        <v>1.9505000000000052</v>
      </c>
    </row>
    <row r="201" spans="2:15" ht="15.75">
      <c r="B201" s="13" t="s">
        <v>644</v>
      </c>
      <c r="C201" s="76">
        <v>43521</v>
      </c>
      <c r="D201" s="13" t="s">
        <v>419</v>
      </c>
      <c r="E201" s="13" t="s">
        <v>131</v>
      </c>
      <c r="F201" s="13" t="s">
        <v>420</v>
      </c>
      <c r="G201" s="13" t="s">
        <v>494</v>
      </c>
      <c r="H201" s="13" t="s">
        <v>476</v>
      </c>
      <c r="I201" s="13" t="str">
        <f t="shared" si="3"/>
        <v>Food and beverages</v>
      </c>
      <c r="J201" s="13">
        <v>48.61</v>
      </c>
      <c r="K201" s="13">
        <v>51.040500000000002</v>
      </c>
      <c r="L201" s="13">
        <v>1</v>
      </c>
      <c r="M201" s="13" t="s">
        <v>422</v>
      </c>
      <c r="N201" s="13">
        <v>4.4000000000000004</v>
      </c>
      <c r="O201" s="13">
        <f>(CATEGORIZATION!$K201-CATEGORIZATION!$J201)</f>
        <v>2.4305000000000021</v>
      </c>
    </row>
    <row r="202" spans="2:15" ht="15.75">
      <c r="B202" s="13" t="s">
        <v>645</v>
      </c>
      <c r="C202" s="76">
        <v>43542</v>
      </c>
      <c r="D202" s="13" t="s">
        <v>175</v>
      </c>
      <c r="E202" s="13" t="s">
        <v>134</v>
      </c>
      <c r="F202" s="13" t="s">
        <v>420</v>
      </c>
      <c r="G202" s="13" t="s">
        <v>415</v>
      </c>
      <c r="H202" s="13" t="s">
        <v>428</v>
      </c>
      <c r="I202" s="13" t="str">
        <f t="shared" si="3"/>
        <v>Electronic accessories</v>
      </c>
      <c r="J202" s="13">
        <v>51.19</v>
      </c>
      <c r="K202" s="13">
        <v>53.749499999999998</v>
      </c>
      <c r="L202" s="13">
        <v>4</v>
      </c>
      <c r="M202" s="13" t="s">
        <v>433</v>
      </c>
      <c r="N202" s="13">
        <v>4.7</v>
      </c>
      <c r="O202" s="13">
        <f>(CATEGORIZATION!$K202-CATEGORIZATION!$J202)</f>
        <v>2.5594999999999999</v>
      </c>
    </row>
    <row r="203" spans="2:15" ht="15.75">
      <c r="B203" s="13" t="s">
        <v>646</v>
      </c>
      <c r="C203" s="76">
        <v>43519</v>
      </c>
      <c r="D203" s="13" t="s">
        <v>266</v>
      </c>
      <c r="E203" s="13" t="s">
        <v>135</v>
      </c>
      <c r="F203" s="13" t="s">
        <v>420</v>
      </c>
      <c r="G203" s="13" t="s">
        <v>415</v>
      </c>
      <c r="H203" s="13" t="s">
        <v>428</v>
      </c>
      <c r="I203" s="13" t="str">
        <f t="shared" si="3"/>
        <v>Electronic accessories</v>
      </c>
      <c r="J203" s="13">
        <v>14.96</v>
      </c>
      <c r="K203" s="13">
        <v>15.708</v>
      </c>
      <c r="L203" s="13">
        <v>8</v>
      </c>
      <c r="M203" s="13" t="s">
        <v>422</v>
      </c>
      <c r="N203" s="13">
        <v>8.6</v>
      </c>
      <c r="O203" s="13">
        <f>(CATEGORIZATION!$K203-CATEGORIZATION!$J203)</f>
        <v>0.74799999999999933</v>
      </c>
    </row>
    <row r="204" spans="2:15" ht="15.75">
      <c r="B204" s="13" t="s">
        <v>647</v>
      </c>
      <c r="C204" s="76">
        <v>43550</v>
      </c>
      <c r="D204" s="13" t="s">
        <v>175</v>
      </c>
      <c r="E204" s="13" t="s">
        <v>134</v>
      </c>
      <c r="F204" s="13" t="s">
        <v>414</v>
      </c>
      <c r="G204" s="13" t="s">
        <v>494</v>
      </c>
      <c r="H204" s="13" t="s">
        <v>428</v>
      </c>
      <c r="I204" s="13" t="str">
        <f t="shared" si="3"/>
        <v>Electronic accessories</v>
      </c>
      <c r="J204" s="13">
        <v>72.2</v>
      </c>
      <c r="K204" s="13">
        <v>75.809999999999988</v>
      </c>
      <c r="L204" s="13">
        <v>7</v>
      </c>
      <c r="M204" s="13" t="s">
        <v>417</v>
      </c>
      <c r="N204" s="13">
        <v>4.3</v>
      </c>
      <c r="O204" s="13">
        <f>(CATEGORIZATION!$K204-CATEGORIZATION!$J204)</f>
        <v>3.6099999999999852</v>
      </c>
    </row>
    <row r="205" spans="2:15" ht="15.75">
      <c r="B205" s="13" t="s">
        <v>648</v>
      </c>
      <c r="C205" s="76">
        <v>43554</v>
      </c>
      <c r="D205" s="13" t="s">
        <v>175</v>
      </c>
      <c r="E205" s="13" t="s">
        <v>134</v>
      </c>
      <c r="F205" s="13" t="s">
        <v>420</v>
      </c>
      <c r="G205" s="13" t="s">
        <v>415</v>
      </c>
      <c r="H205" s="13" t="s">
        <v>448</v>
      </c>
      <c r="I205" s="13" t="str">
        <f t="shared" si="3"/>
        <v>Sports</v>
      </c>
      <c r="J205" s="13">
        <v>40.229999999999997</v>
      </c>
      <c r="K205" s="13">
        <v>42.241499999999995</v>
      </c>
      <c r="L205" s="13">
        <v>7</v>
      </c>
      <c r="M205" s="13" t="s">
        <v>422</v>
      </c>
      <c r="N205" s="13">
        <v>9.6</v>
      </c>
      <c r="O205" s="13">
        <f>(CATEGORIZATION!$K205-CATEGORIZATION!$J205)</f>
        <v>2.0114999999999981</v>
      </c>
    </row>
    <row r="206" spans="2:15" ht="15.75">
      <c r="B206" s="13" t="s">
        <v>649</v>
      </c>
      <c r="C206" s="76">
        <v>43545</v>
      </c>
      <c r="D206" s="13" t="s">
        <v>175</v>
      </c>
      <c r="E206" s="13" t="s">
        <v>134</v>
      </c>
      <c r="F206" s="13" t="s">
        <v>414</v>
      </c>
      <c r="G206" s="13" t="s">
        <v>415</v>
      </c>
      <c r="H206" s="13" t="s">
        <v>428</v>
      </c>
      <c r="I206" s="13" t="str">
        <f t="shared" si="3"/>
        <v>Electronic accessories</v>
      </c>
      <c r="J206" s="13">
        <v>26.48</v>
      </c>
      <c r="K206" s="13">
        <v>27.804000000000002</v>
      </c>
      <c r="L206" s="13">
        <v>3</v>
      </c>
      <c r="M206" s="13" t="s">
        <v>417</v>
      </c>
      <c r="N206" s="13">
        <v>4.7</v>
      </c>
      <c r="O206" s="13">
        <f>(CATEGORIZATION!$K206-CATEGORIZATION!$J206)</f>
        <v>1.3240000000000016</v>
      </c>
    </row>
    <row r="207" spans="2:15" ht="15.75">
      <c r="B207" s="13" t="s">
        <v>650</v>
      </c>
      <c r="C207" s="76">
        <v>43496</v>
      </c>
      <c r="D207" s="13" t="s">
        <v>266</v>
      </c>
      <c r="E207" s="13" t="s">
        <v>135</v>
      </c>
      <c r="F207" s="13" t="s">
        <v>414</v>
      </c>
      <c r="G207" s="13" t="s">
        <v>494</v>
      </c>
      <c r="H207" s="13" t="s">
        <v>448</v>
      </c>
      <c r="I207" s="13" t="str">
        <f t="shared" si="3"/>
        <v>Sports</v>
      </c>
      <c r="J207" s="13">
        <v>79.930000000000007</v>
      </c>
      <c r="K207" s="13">
        <v>83.926500000000004</v>
      </c>
      <c r="L207" s="13">
        <v>6</v>
      </c>
      <c r="M207" s="13" t="s">
        <v>422</v>
      </c>
      <c r="N207" s="13">
        <v>5.5</v>
      </c>
      <c r="O207" s="13">
        <f>(CATEGORIZATION!$K207-CATEGORIZATION!$J207)</f>
        <v>3.9964999999999975</v>
      </c>
    </row>
    <row r="208" spans="2:15" ht="15.75">
      <c r="B208" s="13" t="s">
        <v>651</v>
      </c>
      <c r="C208" s="76">
        <v>43467</v>
      </c>
      <c r="D208" s="13" t="s">
        <v>175</v>
      </c>
      <c r="E208" s="13" t="s">
        <v>134</v>
      </c>
      <c r="F208" s="13" t="s">
        <v>414</v>
      </c>
      <c r="G208" s="13" t="s">
        <v>415</v>
      </c>
      <c r="H208" s="13" t="s">
        <v>476</v>
      </c>
      <c r="I208" s="13" t="str">
        <f t="shared" si="3"/>
        <v>Food and beverages</v>
      </c>
      <c r="J208" s="13">
        <v>14.23</v>
      </c>
      <c r="K208" s="13">
        <v>14.9415</v>
      </c>
      <c r="L208" s="13">
        <v>5</v>
      </c>
      <c r="M208" s="13" t="s">
        <v>433</v>
      </c>
      <c r="N208" s="13">
        <v>4.4000000000000004</v>
      </c>
      <c r="O208" s="13">
        <f>(CATEGORIZATION!$K208-CATEGORIZATION!$J208)</f>
        <v>0.71149999999999913</v>
      </c>
    </row>
    <row r="209" spans="2:15" ht="15.75">
      <c r="B209" s="13" t="s">
        <v>652</v>
      </c>
      <c r="C209" s="76">
        <v>43649</v>
      </c>
      <c r="D209" s="13" t="s">
        <v>175</v>
      </c>
      <c r="E209" s="13" t="s">
        <v>134</v>
      </c>
      <c r="F209" s="13" t="s">
        <v>414</v>
      </c>
      <c r="G209" s="13" t="s">
        <v>415</v>
      </c>
      <c r="H209" s="13" t="s">
        <v>465</v>
      </c>
      <c r="I209" s="13" t="str">
        <f t="shared" si="3"/>
        <v>Health and beauty</v>
      </c>
      <c r="J209" s="13">
        <v>15.55</v>
      </c>
      <c r="K209" s="13">
        <v>16.327500000000001</v>
      </c>
      <c r="L209" s="13">
        <v>9</v>
      </c>
      <c r="M209" s="13" t="s">
        <v>422</v>
      </c>
      <c r="N209" s="13">
        <v>5</v>
      </c>
      <c r="O209" s="13">
        <f>(CATEGORIZATION!$K209-CATEGORIZATION!$J209)</f>
        <v>0.77749999999999986</v>
      </c>
    </row>
    <row r="210" spans="2:15" ht="15.75">
      <c r="B210" s="13" t="s">
        <v>653</v>
      </c>
      <c r="C210" s="76">
        <v>43740</v>
      </c>
      <c r="D210" s="13" t="s">
        <v>419</v>
      </c>
      <c r="E210" s="13" t="s">
        <v>131</v>
      </c>
      <c r="F210" s="13" t="s">
        <v>414</v>
      </c>
      <c r="G210" s="13" t="s">
        <v>415</v>
      </c>
      <c r="H210" s="13" t="s">
        <v>428</v>
      </c>
      <c r="I210" s="13" t="str">
        <f t="shared" si="3"/>
        <v>Electronic accessories</v>
      </c>
      <c r="J210" s="13">
        <v>78.13</v>
      </c>
      <c r="K210" s="13">
        <v>82.036500000000004</v>
      </c>
      <c r="L210" s="13">
        <v>10</v>
      </c>
      <c r="M210" s="13" t="s">
        <v>422</v>
      </c>
      <c r="N210" s="13">
        <v>4.4000000000000004</v>
      </c>
      <c r="O210" s="13">
        <f>(CATEGORIZATION!$K210-CATEGORIZATION!$J210)</f>
        <v>3.9065000000000083</v>
      </c>
    </row>
    <row r="211" spans="2:15" ht="15.75">
      <c r="B211" s="13" t="s">
        <v>654</v>
      </c>
      <c r="C211" s="76">
        <v>43510</v>
      </c>
      <c r="D211" s="13" t="s">
        <v>419</v>
      </c>
      <c r="E211" s="13" t="s">
        <v>131</v>
      </c>
      <c r="F211" s="13" t="s">
        <v>414</v>
      </c>
      <c r="G211" s="13" t="s">
        <v>494</v>
      </c>
      <c r="H211" s="13" t="s">
        <v>476</v>
      </c>
      <c r="I211" s="13" t="str">
        <f t="shared" si="3"/>
        <v>Food and beverages</v>
      </c>
      <c r="J211" s="13">
        <v>99.37</v>
      </c>
      <c r="K211" s="13">
        <v>104.3385</v>
      </c>
      <c r="L211" s="13">
        <v>2</v>
      </c>
      <c r="M211" s="13" t="s">
        <v>422</v>
      </c>
      <c r="N211" s="13">
        <v>5.2</v>
      </c>
      <c r="O211" s="13">
        <f>(CATEGORIZATION!$K211-CATEGORIZATION!$J211)</f>
        <v>4.9684999999999917</v>
      </c>
    </row>
    <row r="212" spans="2:15" ht="15.75">
      <c r="B212" s="13" t="s">
        <v>655</v>
      </c>
      <c r="C212" s="76">
        <v>43710</v>
      </c>
      <c r="D212" s="13" t="s">
        <v>419</v>
      </c>
      <c r="E212" s="13" t="s">
        <v>131</v>
      </c>
      <c r="F212" s="13" t="s">
        <v>414</v>
      </c>
      <c r="G212" s="13" t="s">
        <v>415</v>
      </c>
      <c r="H212" s="13" t="s">
        <v>440</v>
      </c>
      <c r="I212" s="13" t="str">
        <f t="shared" si="3"/>
        <v>Food and beverages</v>
      </c>
      <c r="J212" s="13">
        <v>21.08</v>
      </c>
      <c r="K212" s="13">
        <v>22.134</v>
      </c>
      <c r="L212" s="13">
        <v>3</v>
      </c>
      <c r="M212" s="13" t="s">
        <v>422</v>
      </c>
      <c r="N212" s="13">
        <v>7.3</v>
      </c>
      <c r="O212" s="13">
        <f>(CATEGORIZATION!$K212-CATEGORIZATION!$J212)</f>
        <v>1.054000000000002</v>
      </c>
    </row>
    <row r="213" spans="2:15" ht="15.75">
      <c r="B213" s="13" t="s">
        <v>656</v>
      </c>
      <c r="C213" s="76">
        <v>43739</v>
      </c>
      <c r="D213" s="13" t="s">
        <v>419</v>
      </c>
      <c r="E213" s="13" t="s">
        <v>131</v>
      </c>
      <c r="F213" s="13" t="s">
        <v>414</v>
      </c>
      <c r="G213" s="13" t="s">
        <v>494</v>
      </c>
      <c r="H213" s="13" t="s">
        <v>421</v>
      </c>
      <c r="I213" s="13" t="str">
        <f t="shared" si="3"/>
        <v>Electronic accessories</v>
      </c>
      <c r="J213" s="13">
        <v>74.790000000000006</v>
      </c>
      <c r="K213" s="13">
        <v>78.529499999999999</v>
      </c>
      <c r="L213" s="13">
        <v>5</v>
      </c>
      <c r="M213" s="13" t="s">
        <v>422</v>
      </c>
      <c r="N213" s="13">
        <v>4.9000000000000004</v>
      </c>
      <c r="O213" s="13">
        <f>(CATEGORIZATION!$K213-CATEGORIZATION!$J213)</f>
        <v>3.7394999999999925</v>
      </c>
    </row>
    <row r="214" spans="2:15" ht="15.75">
      <c r="B214" s="13" t="s">
        <v>657</v>
      </c>
      <c r="C214" s="76">
        <v>43772</v>
      </c>
      <c r="D214" s="13" t="s">
        <v>419</v>
      </c>
      <c r="E214" s="13" t="s">
        <v>131</v>
      </c>
      <c r="F214" s="13" t="s">
        <v>414</v>
      </c>
      <c r="G214" s="13" t="s">
        <v>415</v>
      </c>
      <c r="H214" s="13" t="s">
        <v>465</v>
      </c>
      <c r="I214" s="13" t="str">
        <f t="shared" si="3"/>
        <v>Health and beauty</v>
      </c>
      <c r="J214" s="13">
        <v>29.67</v>
      </c>
      <c r="K214" s="13">
        <v>31.153500000000001</v>
      </c>
      <c r="L214" s="13">
        <v>7</v>
      </c>
      <c r="M214" s="13" t="s">
        <v>433</v>
      </c>
      <c r="N214" s="13">
        <v>8.1</v>
      </c>
      <c r="O214" s="13">
        <f>(CATEGORIZATION!$K214-CATEGORIZATION!$J214)</f>
        <v>1.4834999999999994</v>
      </c>
    </row>
    <row r="215" spans="2:15" ht="15.75">
      <c r="B215" s="13" t="s">
        <v>658</v>
      </c>
      <c r="C215" s="76">
        <v>43514</v>
      </c>
      <c r="D215" s="13" t="s">
        <v>419</v>
      </c>
      <c r="E215" s="13" t="s">
        <v>131</v>
      </c>
      <c r="F215" s="13" t="s">
        <v>414</v>
      </c>
      <c r="G215" s="13" t="s">
        <v>494</v>
      </c>
      <c r="H215" s="13" t="s">
        <v>459</v>
      </c>
      <c r="I215" s="13" t="str">
        <f t="shared" si="3"/>
        <v>Health and beauty</v>
      </c>
      <c r="J215" s="13">
        <v>44.07</v>
      </c>
      <c r="K215" s="13">
        <v>46.273499999999999</v>
      </c>
      <c r="L215" s="13">
        <v>4</v>
      </c>
      <c r="M215" s="13" t="s">
        <v>417</v>
      </c>
      <c r="N215" s="13">
        <v>8.4</v>
      </c>
      <c r="O215" s="13">
        <f>(CATEGORIZATION!$K215-CATEGORIZATION!$J215)</f>
        <v>2.2034999999999982</v>
      </c>
    </row>
    <row r="216" spans="2:15" ht="15.75">
      <c r="B216" s="13" t="s">
        <v>659</v>
      </c>
      <c r="C216" s="76">
        <v>43522</v>
      </c>
      <c r="D216" s="13" t="s">
        <v>419</v>
      </c>
      <c r="E216" s="13" t="s">
        <v>131</v>
      </c>
      <c r="F216" s="13" t="s">
        <v>420</v>
      </c>
      <c r="G216" s="13" t="s">
        <v>415</v>
      </c>
      <c r="H216" s="13" t="s">
        <v>476</v>
      </c>
      <c r="I216" s="13" t="str">
        <f t="shared" si="3"/>
        <v>Food and beverages</v>
      </c>
      <c r="J216" s="13">
        <v>22.93</v>
      </c>
      <c r="K216" s="13">
        <v>24.076499999999999</v>
      </c>
      <c r="L216" s="13">
        <v>9</v>
      </c>
      <c r="M216" s="13" t="s">
        <v>422</v>
      </c>
      <c r="N216" s="13">
        <v>5.5</v>
      </c>
      <c r="O216" s="13">
        <f>(CATEGORIZATION!$K216-CATEGORIZATION!$J216)</f>
        <v>1.1464999999999996</v>
      </c>
    </row>
    <row r="217" spans="2:15" ht="15.75">
      <c r="B217" s="13" t="s">
        <v>660</v>
      </c>
      <c r="C217" s="76">
        <v>43483</v>
      </c>
      <c r="D217" s="13" t="s">
        <v>419</v>
      </c>
      <c r="E217" s="13" t="s">
        <v>131</v>
      </c>
      <c r="F217" s="13" t="s">
        <v>420</v>
      </c>
      <c r="G217" s="13" t="s">
        <v>415</v>
      </c>
      <c r="H217" s="13" t="s">
        <v>432</v>
      </c>
      <c r="I217" s="13" t="str">
        <f t="shared" si="3"/>
        <v>Health and beauty</v>
      </c>
      <c r="J217" s="13">
        <v>39.42</v>
      </c>
      <c r="K217" s="13">
        <v>41.390999999999998</v>
      </c>
      <c r="L217" s="13">
        <v>1</v>
      </c>
      <c r="M217" s="13" t="s">
        <v>422</v>
      </c>
      <c r="N217" s="13">
        <v>8.4</v>
      </c>
      <c r="O217" s="13">
        <f>(CATEGORIZATION!$K217-CATEGORIZATION!$J217)</f>
        <v>1.9709999999999965</v>
      </c>
    </row>
    <row r="218" spans="2:15" ht="15.75">
      <c r="B218" s="13" t="s">
        <v>661</v>
      </c>
      <c r="C218" s="76">
        <v>43511</v>
      </c>
      <c r="D218" s="13" t="s">
        <v>175</v>
      </c>
      <c r="E218" s="13" t="s">
        <v>134</v>
      </c>
      <c r="F218" s="13" t="s">
        <v>420</v>
      </c>
      <c r="G218" s="13" t="s">
        <v>494</v>
      </c>
      <c r="H218" s="13" t="s">
        <v>465</v>
      </c>
      <c r="I218" s="13" t="str">
        <f t="shared" si="3"/>
        <v>Health and beauty</v>
      </c>
      <c r="J218" s="13">
        <v>15.26</v>
      </c>
      <c r="K218" s="13">
        <v>16.023</v>
      </c>
      <c r="L218" s="13">
        <v>6</v>
      </c>
      <c r="M218" s="13" t="s">
        <v>417</v>
      </c>
      <c r="N218" s="13">
        <v>9.8000000000000007</v>
      </c>
      <c r="O218" s="13">
        <f>(CATEGORIZATION!$K218-CATEGORIZATION!$J218)</f>
        <v>0.7629999999999999</v>
      </c>
    </row>
    <row r="219" spans="2:15" ht="15.75">
      <c r="B219" s="13" t="s">
        <v>662</v>
      </c>
      <c r="C219" s="76">
        <v>43802</v>
      </c>
      <c r="D219" s="13" t="s">
        <v>266</v>
      </c>
      <c r="E219" s="13" t="s">
        <v>135</v>
      </c>
      <c r="F219" s="13" t="s">
        <v>420</v>
      </c>
      <c r="G219" s="13" t="s">
        <v>494</v>
      </c>
      <c r="H219" s="13" t="s">
        <v>444</v>
      </c>
      <c r="I219" s="13" t="str">
        <f t="shared" si="3"/>
        <v>Sports</v>
      </c>
      <c r="J219" s="13">
        <v>97.74</v>
      </c>
      <c r="K219" s="13">
        <v>102.627</v>
      </c>
      <c r="L219" s="13">
        <v>4</v>
      </c>
      <c r="M219" s="13" t="s">
        <v>417</v>
      </c>
      <c r="N219" s="13">
        <v>6.4</v>
      </c>
      <c r="O219" s="13">
        <f>(CATEGORIZATION!$K219-CATEGORIZATION!$J219)</f>
        <v>4.8870000000000005</v>
      </c>
    </row>
    <row r="220" spans="2:15" ht="15.75">
      <c r="B220" s="13" t="s">
        <v>663</v>
      </c>
      <c r="C220" s="76">
        <v>43711</v>
      </c>
      <c r="D220" s="13" t="s">
        <v>175</v>
      </c>
      <c r="E220" s="13" t="s">
        <v>134</v>
      </c>
      <c r="F220" s="13" t="s">
        <v>414</v>
      </c>
      <c r="G220" s="13" t="s">
        <v>494</v>
      </c>
      <c r="H220" s="13" t="s">
        <v>476</v>
      </c>
      <c r="I220" s="13" t="str">
        <f t="shared" si="3"/>
        <v>Food and beverages</v>
      </c>
      <c r="J220" s="13">
        <v>99.78</v>
      </c>
      <c r="K220" s="13">
        <v>104.76900000000001</v>
      </c>
      <c r="L220" s="13">
        <v>5</v>
      </c>
      <c r="M220" s="13" t="s">
        <v>422</v>
      </c>
      <c r="N220" s="13">
        <v>5.4</v>
      </c>
      <c r="O220" s="13">
        <f>(CATEGORIZATION!$K220-CATEGORIZATION!$J220)</f>
        <v>4.9890000000000043</v>
      </c>
    </row>
    <row r="221" spans="2:15" ht="15.75">
      <c r="B221" s="13" t="s">
        <v>664</v>
      </c>
      <c r="C221" s="76">
        <v>43802</v>
      </c>
      <c r="D221" s="13" t="s">
        <v>419</v>
      </c>
      <c r="E221" s="13" t="s">
        <v>131</v>
      </c>
      <c r="F221" s="13" t="s">
        <v>414</v>
      </c>
      <c r="G221" s="13" t="s">
        <v>494</v>
      </c>
      <c r="H221" s="13" t="s">
        <v>476</v>
      </c>
      <c r="I221" s="13" t="str">
        <f t="shared" si="3"/>
        <v>Food and beverages</v>
      </c>
      <c r="J221" s="13">
        <v>94.26</v>
      </c>
      <c r="K221" s="13">
        <v>98.972999999999999</v>
      </c>
      <c r="L221" s="13">
        <v>4</v>
      </c>
      <c r="M221" s="13" t="s">
        <v>422</v>
      </c>
      <c r="N221" s="13">
        <v>8.6</v>
      </c>
      <c r="O221" s="13">
        <f>(CATEGORIZATION!$K221-CATEGORIZATION!$J221)</f>
        <v>4.7129999999999939</v>
      </c>
    </row>
    <row r="222" spans="2:15" ht="15.75">
      <c r="B222" s="13" t="s">
        <v>665</v>
      </c>
      <c r="C222" s="76">
        <v>43490</v>
      </c>
      <c r="D222" s="13" t="s">
        <v>266</v>
      </c>
      <c r="E222" s="13" t="s">
        <v>135</v>
      </c>
      <c r="F222" s="13" t="s">
        <v>414</v>
      </c>
      <c r="G222" s="13" t="s">
        <v>494</v>
      </c>
      <c r="H222" s="13" t="s">
        <v>446</v>
      </c>
      <c r="I222" s="13" t="str">
        <f t="shared" si="3"/>
        <v>Health and beauty</v>
      </c>
      <c r="J222" s="13">
        <v>51.13</v>
      </c>
      <c r="K222" s="13">
        <v>53.686500000000002</v>
      </c>
      <c r="L222" s="13">
        <v>4</v>
      </c>
      <c r="M222" s="13" t="s">
        <v>433</v>
      </c>
      <c r="N222" s="13">
        <v>4</v>
      </c>
      <c r="O222" s="13">
        <f>(CATEGORIZATION!$K222-CATEGORIZATION!$J222)</f>
        <v>2.5564999999999998</v>
      </c>
    </row>
    <row r="223" spans="2:15" ht="15.75">
      <c r="B223" s="13" t="s">
        <v>666</v>
      </c>
      <c r="C223" s="76">
        <v>43549</v>
      </c>
      <c r="D223" s="13" t="s">
        <v>175</v>
      </c>
      <c r="E223" s="13" t="s">
        <v>134</v>
      </c>
      <c r="F223" s="13" t="s">
        <v>414</v>
      </c>
      <c r="G223" s="13" t="s">
        <v>494</v>
      </c>
      <c r="H223" s="13" t="s">
        <v>421</v>
      </c>
      <c r="I223" s="13" t="str">
        <f t="shared" si="3"/>
        <v>Electronic accessories</v>
      </c>
      <c r="J223" s="13">
        <v>36.36</v>
      </c>
      <c r="K223" s="13">
        <v>38.177999999999997</v>
      </c>
      <c r="L223" s="13">
        <v>4</v>
      </c>
      <c r="M223" s="13" t="s">
        <v>422</v>
      </c>
      <c r="N223" s="13">
        <v>7.6</v>
      </c>
      <c r="O223" s="13">
        <f>(CATEGORIZATION!$K223-CATEGORIZATION!$J223)</f>
        <v>1.8179999999999978</v>
      </c>
    </row>
    <row r="224" spans="2:15" ht="15.75">
      <c r="B224" s="13" t="s">
        <v>667</v>
      </c>
      <c r="C224" s="76">
        <v>43513</v>
      </c>
      <c r="D224" s="13" t="s">
        <v>175</v>
      </c>
      <c r="E224" s="13" t="s">
        <v>134</v>
      </c>
      <c r="F224" s="13" t="s">
        <v>420</v>
      </c>
      <c r="G224" s="13" t="s">
        <v>494</v>
      </c>
      <c r="H224" s="13" t="s">
        <v>476</v>
      </c>
      <c r="I224" s="13" t="str">
        <f t="shared" si="3"/>
        <v>Food and beverages</v>
      </c>
      <c r="J224" s="13">
        <v>32.9</v>
      </c>
      <c r="K224" s="13">
        <v>34.545000000000002</v>
      </c>
      <c r="L224" s="13">
        <v>3</v>
      </c>
      <c r="M224" s="13" t="s">
        <v>433</v>
      </c>
      <c r="N224" s="13">
        <v>9.1</v>
      </c>
      <c r="O224" s="13">
        <f>(CATEGORIZATION!$K224-CATEGORIZATION!$J224)</f>
        <v>1.6450000000000031</v>
      </c>
    </row>
    <row r="225" spans="2:15" ht="15.75">
      <c r="B225" s="13" t="s">
        <v>668</v>
      </c>
      <c r="C225" s="76">
        <v>43538</v>
      </c>
      <c r="D225" s="13" t="s">
        <v>175</v>
      </c>
      <c r="E225" s="13" t="s">
        <v>134</v>
      </c>
      <c r="F225" s="13" t="s">
        <v>414</v>
      </c>
      <c r="G225" s="13" t="s">
        <v>494</v>
      </c>
      <c r="H225" s="13" t="s">
        <v>476</v>
      </c>
      <c r="I225" s="13" t="str">
        <f t="shared" si="3"/>
        <v>Food and beverages</v>
      </c>
      <c r="J225" s="13">
        <v>23.48</v>
      </c>
      <c r="K225" s="13">
        <v>24.654</v>
      </c>
      <c r="L225" s="13">
        <v>2</v>
      </c>
      <c r="M225" s="13" t="s">
        <v>433</v>
      </c>
      <c r="N225" s="13">
        <v>7.9</v>
      </c>
      <c r="O225" s="13">
        <f>(CATEGORIZATION!$K225-CATEGORIZATION!$J225)</f>
        <v>1.1739999999999995</v>
      </c>
    </row>
    <row r="226" spans="2:15" ht="15.75">
      <c r="B226" s="13" t="s">
        <v>669</v>
      </c>
      <c r="C226" s="76">
        <v>43548</v>
      </c>
      <c r="D226" s="13" t="s">
        <v>419</v>
      </c>
      <c r="E226" s="13" t="s">
        <v>131</v>
      </c>
      <c r="F226" s="13" t="s">
        <v>414</v>
      </c>
      <c r="G226" s="13" t="s">
        <v>494</v>
      </c>
      <c r="H226" s="13" t="s">
        <v>461</v>
      </c>
      <c r="I226" s="13" t="str">
        <f t="shared" si="3"/>
        <v>Sports</v>
      </c>
      <c r="J226" s="13">
        <v>14.7</v>
      </c>
      <c r="K226" s="13">
        <v>15.434999999999999</v>
      </c>
      <c r="L226" s="13">
        <v>5</v>
      </c>
      <c r="M226" s="13" t="s">
        <v>417</v>
      </c>
      <c r="N226" s="13">
        <v>8.5</v>
      </c>
      <c r="O226" s="13">
        <f>(CATEGORIZATION!$K226-CATEGORIZATION!$J226)</f>
        <v>0.73499999999999943</v>
      </c>
    </row>
    <row r="227" spans="2:15" ht="15.75">
      <c r="B227" s="13" t="s">
        <v>670</v>
      </c>
      <c r="C227" s="76">
        <v>43545</v>
      </c>
      <c r="D227" s="13" t="s">
        <v>175</v>
      </c>
      <c r="E227" s="13" t="s">
        <v>134</v>
      </c>
      <c r="F227" s="13" t="s">
        <v>414</v>
      </c>
      <c r="G227" s="13" t="s">
        <v>415</v>
      </c>
      <c r="H227" s="13" t="s">
        <v>421</v>
      </c>
      <c r="I227" s="13" t="str">
        <f t="shared" si="3"/>
        <v>Electronic accessories</v>
      </c>
      <c r="J227" s="13">
        <v>28.45</v>
      </c>
      <c r="K227" s="13">
        <v>29.872500000000002</v>
      </c>
      <c r="L227" s="13">
        <v>5</v>
      </c>
      <c r="M227" s="13" t="s">
        <v>433</v>
      </c>
      <c r="N227" s="13">
        <v>9.1</v>
      </c>
      <c r="O227" s="13">
        <f>(CATEGORIZATION!$K227-CATEGORIZATION!$J227)</f>
        <v>1.422500000000003</v>
      </c>
    </row>
    <row r="228" spans="2:15" ht="15.75">
      <c r="B228" s="13" t="s">
        <v>671</v>
      </c>
      <c r="C228" s="76">
        <v>43520</v>
      </c>
      <c r="D228" s="13" t="s">
        <v>266</v>
      </c>
      <c r="E228" s="13" t="s">
        <v>135</v>
      </c>
      <c r="F228" s="13" t="s">
        <v>420</v>
      </c>
      <c r="G228" s="13" t="s">
        <v>415</v>
      </c>
      <c r="H228" s="13" t="s">
        <v>461</v>
      </c>
      <c r="I228" s="13" t="str">
        <f t="shared" si="3"/>
        <v>Sports</v>
      </c>
      <c r="J228" s="13">
        <v>57.95</v>
      </c>
      <c r="K228" s="13">
        <v>60.847499999999997</v>
      </c>
      <c r="L228" s="13">
        <v>6</v>
      </c>
      <c r="M228" s="13" t="s">
        <v>422</v>
      </c>
      <c r="N228" s="13">
        <v>5.2</v>
      </c>
      <c r="O228" s="13">
        <f>(CATEGORIZATION!$K228-CATEGORIZATION!$J228)</f>
        <v>2.8974999999999937</v>
      </c>
    </row>
    <row r="229" spans="2:15" ht="15.75">
      <c r="B229" s="13" t="s">
        <v>672</v>
      </c>
      <c r="C229" s="76">
        <v>43552</v>
      </c>
      <c r="D229" s="13" t="s">
        <v>419</v>
      </c>
      <c r="E229" s="13" t="s">
        <v>131</v>
      </c>
      <c r="F229" s="13" t="s">
        <v>420</v>
      </c>
      <c r="G229" s="13" t="s">
        <v>415</v>
      </c>
      <c r="H229" s="13" t="s">
        <v>499</v>
      </c>
      <c r="I229" s="13" t="str">
        <f t="shared" si="3"/>
        <v>Electronic accessories</v>
      </c>
      <c r="J229" s="13">
        <v>47.65</v>
      </c>
      <c r="K229" s="13">
        <v>50.032499999999999</v>
      </c>
      <c r="L229" s="13">
        <v>3</v>
      </c>
      <c r="M229" s="13" t="s">
        <v>433</v>
      </c>
      <c r="N229" s="13">
        <v>9.5</v>
      </c>
      <c r="O229" s="13">
        <f>(CATEGORIZATION!$K229-CATEGORIZATION!$J229)</f>
        <v>2.3825000000000003</v>
      </c>
    </row>
    <row r="230" spans="2:15" ht="15.75">
      <c r="B230" s="13" t="s">
        <v>673</v>
      </c>
      <c r="C230" s="76">
        <v>43587</v>
      </c>
      <c r="D230" s="13" t="s">
        <v>266</v>
      </c>
      <c r="E230" s="13" t="s">
        <v>135</v>
      </c>
      <c r="F230" s="13" t="s">
        <v>414</v>
      </c>
      <c r="G230" s="13" t="s">
        <v>415</v>
      </c>
      <c r="H230" s="13" t="s">
        <v>457</v>
      </c>
      <c r="I230" s="13" t="str">
        <f t="shared" si="3"/>
        <v>Food and beverages</v>
      </c>
      <c r="J230" s="13">
        <v>42.82</v>
      </c>
      <c r="K230" s="13">
        <v>44.960999999999999</v>
      </c>
      <c r="L230" s="13">
        <v>9</v>
      </c>
      <c r="M230" s="13" t="s">
        <v>433</v>
      </c>
      <c r="N230" s="13">
        <v>8.9</v>
      </c>
      <c r="O230" s="13">
        <f>(CATEGORIZATION!$K230-CATEGORIZATION!$J230)</f>
        <v>2.1409999999999982</v>
      </c>
    </row>
    <row r="231" spans="2:15" ht="15.75">
      <c r="B231" s="13" t="s">
        <v>674</v>
      </c>
      <c r="C231" s="76">
        <v>43740</v>
      </c>
      <c r="D231" s="13" t="s">
        <v>266</v>
      </c>
      <c r="E231" s="13" t="s">
        <v>135</v>
      </c>
      <c r="F231" s="13" t="s">
        <v>414</v>
      </c>
      <c r="G231" s="13" t="s">
        <v>494</v>
      </c>
      <c r="H231" s="13" t="s">
        <v>421</v>
      </c>
      <c r="I231" s="13" t="str">
        <f t="shared" si="3"/>
        <v>Electronic accessories</v>
      </c>
      <c r="J231" s="13">
        <v>48.09</v>
      </c>
      <c r="K231" s="13">
        <v>50.494499999999995</v>
      </c>
      <c r="L231" s="13">
        <v>3</v>
      </c>
      <c r="M231" s="13" t="s">
        <v>433</v>
      </c>
      <c r="N231" s="13">
        <v>7.8</v>
      </c>
      <c r="O231" s="13">
        <f>(CATEGORIZATION!$K231-CATEGORIZATION!$J231)</f>
        <v>2.4044999999999916</v>
      </c>
    </row>
    <row r="232" spans="2:15" ht="15.75">
      <c r="B232" s="13" t="s">
        <v>675</v>
      </c>
      <c r="C232" s="76">
        <v>43588</v>
      </c>
      <c r="D232" s="13" t="s">
        <v>266</v>
      </c>
      <c r="E232" s="13" t="s">
        <v>135</v>
      </c>
      <c r="F232" s="13" t="s">
        <v>414</v>
      </c>
      <c r="G232" s="13" t="s">
        <v>415</v>
      </c>
      <c r="H232" s="13" t="s">
        <v>446</v>
      </c>
      <c r="I232" s="13" t="str">
        <f t="shared" si="3"/>
        <v>Health and beauty</v>
      </c>
      <c r="J232" s="13">
        <v>55.97</v>
      </c>
      <c r="K232" s="13">
        <v>58.768500000000003</v>
      </c>
      <c r="L232" s="13">
        <v>7</v>
      </c>
      <c r="M232" s="13" t="s">
        <v>417</v>
      </c>
      <c r="N232" s="13">
        <v>8.9</v>
      </c>
      <c r="O232" s="13">
        <f>(CATEGORIZATION!$K232-CATEGORIZATION!$J232)</f>
        <v>2.7985000000000042</v>
      </c>
    </row>
    <row r="233" spans="2:15" ht="15.75">
      <c r="B233" s="13" t="s">
        <v>676</v>
      </c>
      <c r="C233" s="76">
        <v>43511</v>
      </c>
      <c r="D233" s="13" t="s">
        <v>266</v>
      </c>
      <c r="E233" s="13" t="s">
        <v>135</v>
      </c>
      <c r="F233" s="13" t="s">
        <v>414</v>
      </c>
      <c r="G233" s="13" t="s">
        <v>415</v>
      </c>
      <c r="H233" s="13" t="s">
        <v>465</v>
      </c>
      <c r="I233" s="13" t="str">
        <f t="shared" si="3"/>
        <v>Health and beauty</v>
      </c>
      <c r="J233" s="13">
        <v>76.900000000000006</v>
      </c>
      <c r="K233" s="13">
        <v>80.745000000000005</v>
      </c>
      <c r="L233" s="13">
        <v>7</v>
      </c>
      <c r="M233" s="13" t="s">
        <v>422</v>
      </c>
      <c r="N233" s="13">
        <v>7.7</v>
      </c>
      <c r="O233" s="13">
        <f>(CATEGORIZATION!$K233-CATEGORIZATION!$J233)</f>
        <v>3.8449999999999989</v>
      </c>
    </row>
    <row r="234" spans="2:15" ht="15.75">
      <c r="B234" s="13" t="s">
        <v>677</v>
      </c>
      <c r="C234" s="76">
        <v>43495</v>
      </c>
      <c r="D234" s="13" t="s">
        <v>419</v>
      </c>
      <c r="E234" s="13" t="s">
        <v>131</v>
      </c>
      <c r="F234" s="13" t="s">
        <v>420</v>
      </c>
      <c r="G234" s="13" t="s">
        <v>415</v>
      </c>
      <c r="H234" s="13" t="s">
        <v>440</v>
      </c>
      <c r="I234" s="13" t="str">
        <f t="shared" si="3"/>
        <v>Food and beverages</v>
      </c>
      <c r="J234" s="13">
        <v>97.03</v>
      </c>
      <c r="K234" s="13">
        <v>101.8815</v>
      </c>
      <c r="L234" s="13">
        <v>5</v>
      </c>
      <c r="M234" s="13" t="s">
        <v>417</v>
      </c>
      <c r="N234" s="13">
        <v>9.3000000000000007</v>
      </c>
      <c r="O234" s="13">
        <f>(CATEGORIZATION!$K234-CATEGORIZATION!$J234)</f>
        <v>4.8515000000000015</v>
      </c>
    </row>
    <row r="235" spans="2:15" ht="15.75">
      <c r="B235" s="13" t="s">
        <v>678</v>
      </c>
      <c r="C235" s="76">
        <v>43510</v>
      </c>
      <c r="D235" s="13" t="s">
        <v>175</v>
      </c>
      <c r="E235" s="13" t="s">
        <v>134</v>
      </c>
      <c r="F235" s="13" t="s">
        <v>420</v>
      </c>
      <c r="G235" s="13" t="s">
        <v>494</v>
      </c>
      <c r="H235" s="13" t="s">
        <v>426</v>
      </c>
      <c r="I235" s="13" t="str">
        <f t="shared" si="3"/>
        <v>Sports</v>
      </c>
      <c r="J235" s="13">
        <v>44.65</v>
      </c>
      <c r="K235" s="13">
        <v>46.8825</v>
      </c>
      <c r="L235" s="13">
        <v>3</v>
      </c>
      <c r="M235" s="13" t="s">
        <v>422</v>
      </c>
      <c r="N235" s="13">
        <v>6.2</v>
      </c>
      <c r="O235" s="13">
        <f>(CATEGORIZATION!$K235-CATEGORIZATION!$J235)</f>
        <v>2.2325000000000017</v>
      </c>
    </row>
    <row r="236" spans="2:15" ht="15.75">
      <c r="B236" s="13" t="s">
        <v>679</v>
      </c>
      <c r="C236" s="76">
        <v>43557</v>
      </c>
      <c r="D236" s="13" t="s">
        <v>175</v>
      </c>
      <c r="E236" s="13" t="s">
        <v>134</v>
      </c>
      <c r="F236" s="13" t="s">
        <v>414</v>
      </c>
      <c r="G236" s="13" t="s">
        <v>494</v>
      </c>
      <c r="H236" s="13" t="s">
        <v>499</v>
      </c>
      <c r="I236" s="13" t="str">
        <f t="shared" si="3"/>
        <v>Electronic accessories</v>
      </c>
      <c r="J236" s="13">
        <v>71.95</v>
      </c>
      <c r="K236" s="13">
        <v>75.547499999999999</v>
      </c>
      <c r="L236" s="13">
        <v>1</v>
      </c>
      <c r="M236" s="13" t="s">
        <v>422</v>
      </c>
      <c r="N236" s="13">
        <v>7.3</v>
      </c>
      <c r="O236" s="13">
        <f>(CATEGORIZATION!$K236-CATEGORIZATION!$J236)</f>
        <v>3.5974999999999966</v>
      </c>
    </row>
    <row r="237" spans="2:15" ht="15.75">
      <c r="B237" s="13" t="s">
        <v>680</v>
      </c>
      <c r="C237" s="76">
        <v>43552</v>
      </c>
      <c r="D237" s="13" t="s">
        <v>175</v>
      </c>
      <c r="E237" s="13" t="s">
        <v>134</v>
      </c>
      <c r="F237" s="13" t="s">
        <v>420</v>
      </c>
      <c r="G237" s="13" t="s">
        <v>494</v>
      </c>
      <c r="H237" s="13" t="s">
        <v>421</v>
      </c>
      <c r="I237" s="13" t="str">
        <f t="shared" si="3"/>
        <v>Electronic accessories</v>
      </c>
      <c r="J237" s="13">
        <v>26.02</v>
      </c>
      <c r="K237" s="13">
        <v>27.321000000000002</v>
      </c>
      <c r="L237" s="13">
        <v>7</v>
      </c>
      <c r="M237" s="13" t="s">
        <v>422</v>
      </c>
      <c r="N237" s="13">
        <v>5.0999999999999996</v>
      </c>
      <c r="O237" s="13">
        <f>(CATEGORIZATION!$K237-CATEGORIZATION!$J237)</f>
        <v>1.3010000000000019</v>
      </c>
    </row>
    <row r="238" spans="2:15" ht="15.75">
      <c r="B238" s="13" t="s">
        <v>681</v>
      </c>
      <c r="C238" s="76">
        <v>43523</v>
      </c>
      <c r="D238" s="13" t="s">
        <v>266</v>
      </c>
      <c r="E238" s="13" t="s">
        <v>135</v>
      </c>
      <c r="F238" s="13" t="s">
        <v>420</v>
      </c>
      <c r="G238" s="13" t="s">
        <v>415</v>
      </c>
      <c r="H238" s="13" t="s">
        <v>442</v>
      </c>
      <c r="I238" s="13" t="str">
        <f t="shared" si="3"/>
        <v>Health and beauty</v>
      </c>
      <c r="J238" s="13">
        <v>13.5</v>
      </c>
      <c r="K238" s="13">
        <v>14.175000000000001</v>
      </c>
      <c r="L238" s="13">
        <v>10</v>
      </c>
      <c r="M238" s="13" t="s">
        <v>433</v>
      </c>
      <c r="N238" s="13">
        <v>4.8</v>
      </c>
      <c r="O238" s="13">
        <f>(CATEGORIZATION!$K238-CATEGORIZATION!$J238)</f>
        <v>0.67500000000000071</v>
      </c>
    </row>
    <row r="239" spans="2:15" ht="15.75">
      <c r="B239" s="13" t="s">
        <v>682</v>
      </c>
      <c r="C239" s="76">
        <v>43491</v>
      </c>
      <c r="D239" s="13" t="s">
        <v>175</v>
      </c>
      <c r="E239" s="13" t="s">
        <v>134</v>
      </c>
      <c r="F239" s="13" t="s">
        <v>420</v>
      </c>
      <c r="G239" s="13" t="s">
        <v>494</v>
      </c>
      <c r="H239" s="13" t="s">
        <v>421</v>
      </c>
      <c r="I239" s="13" t="str">
        <f t="shared" si="3"/>
        <v>Electronic accessories</v>
      </c>
      <c r="J239" s="13">
        <v>51.69</v>
      </c>
      <c r="K239" s="13">
        <v>54.274499999999996</v>
      </c>
      <c r="L239" s="13">
        <v>7</v>
      </c>
      <c r="M239" s="13" t="s">
        <v>422</v>
      </c>
      <c r="N239" s="13">
        <v>5.5</v>
      </c>
      <c r="O239" s="13">
        <f>(CATEGORIZATION!$K239-CATEGORIZATION!$J239)</f>
        <v>2.5844999999999985</v>
      </c>
    </row>
    <row r="240" spans="2:15" ht="15.75">
      <c r="B240" s="13" t="s">
        <v>683</v>
      </c>
      <c r="C240" s="76">
        <v>43558</v>
      </c>
      <c r="D240" s="13" t="s">
        <v>419</v>
      </c>
      <c r="E240" s="13" t="s">
        <v>131</v>
      </c>
      <c r="F240" s="13" t="s">
        <v>420</v>
      </c>
      <c r="G240" s="13" t="s">
        <v>415</v>
      </c>
      <c r="H240" s="13" t="s">
        <v>421</v>
      </c>
      <c r="I240" s="13" t="str">
        <f t="shared" si="3"/>
        <v>Electronic accessories</v>
      </c>
      <c r="J240" s="13">
        <v>30.24</v>
      </c>
      <c r="K240" s="13">
        <v>31.751999999999999</v>
      </c>
      <c r="L240" s="13">
        <v>1</v>
      </c>
      <c r="M240" s="13" t="s">
        <v>422</v>
      </c>
      <c r="N240" s="13">
        <v>8.4</v>
      </c>
      <c r="O240" s="13">
        <f>(CATEGORIZATION!$K240-CATEGORIZATION!$J240)</f>
        <v>1.5120000000000005</v>
      </c>
    </row>
    <row r="241" spans="2:15" ht="15.75">
      <c r="B241" s="13" t="s">
        <v>684</v>
      </c>
      <c r="C241" s="76">
        <v>43647</v>
      </c>
      <c r="D241" s="13" t="s">
        <v>266</v>
      </c>
      <c r="E241" s="13" t="s">
        <v>135</v>
      </c>
      <c r="F241" s="13" t="s">
        <v>414</v>
      </c>
      <c r="G241" s="13" t="s">
        <v>415</v>
      </c>
      <c r="H241" s="13" t="s">
        <v>457</v>
      </c>
      <c r="I241" s="13" t="str">
        <f t="shared" si="3"/>
        <v>Food and beverages</v>
      </c>
      <c r="J241" s="13">
        <v>89.14</v>
      </c>
      <c r="K241" s="13">
        <v>93.596999999999994</v>
      </c>
      <c r="L241" s="13">
        <v>4</v>
      </c>
      <c r="M241" s="13" t="s">
        <v>433</v>
      </c>
      <c r="N241" s="13">
        <v>7.8</v>
      </c>
      <c r="O241" s="13">
        <f>(CATEGORIZATION!$K241-CATEGORIZATION!$J241)</f>
        <v>4.4569999999999936</v>
      </c>
    </row>
    <row r="242" spans="2:15" ht="15.75">
      <c r="B242" s="13" t="s">
        <v>685</v>
      </c>
      <c r="C242" s="76">
        <v>43709</v>
      </c>
      <c r="D242" s="13" t="s">
        <v>419</v>
      </c>
      <c r="E242" s="13" t="s">
        <v>131</v>
      </c>
      <c r="F242" s="13" t="s">
        <v>420</v>
      </c>
      <c r="G242" s="13" t="s">
        <v>415</v>
      </c>
      <c r="H242" s="13" t="s">
        <v>461</v>
      </c>
      <c r="I242" s="13" t="str">
        <f t="shared" si="3"/>
        <v>Sports</v>
      </c>
      <c r="J242" s="13">
        <v>95.44</v>
      </c>
      <c r="K242" s="13">
        <v>100.212</v>
      </c>
      <c r="L242" s="13">
        <v>10</v>
      </c>
      <c r="M242" s="13" t="s">
        <v>422</v>
      </c>
      <c r="N242" s="13">
        <v>5.2</v>
      </c>
      <c r="O242" s="13">
        <f>(CATEGORIZATION!$K242-CATEGORIZATION!$J242)</f>
        <v>4.7720000000000056</v>
      </c>
    </row>
    <row r="243" spans="2:15" ht="15.75">
      <c r="B243" s="13" t="s">
        <v>686</v>
      </c>
      <c r="C243" s="76">
        <v>43468</v>
      </c>
      <c r="D243" s="13" t="s">
        <v>266</v>
      </c>
      <c r="E243" s="13" t="s">
        <v>135</v>
      </c>
      <c r="F243" s="13" t="s">
        <v>420</v>
      </c>
      <c r="G243" s="13" t="s">
        <v>494</v>
      </c>
      <c r="H243" s="13" t="s">
        <v>499</v>
      </c>
      <c r="I243" s="13" t="str">
        <f t="shared" si="3"/>
        <v>Electronic accessories</v>
      </c>
      <c r="J243" s="13">
        <v>27.5</v>
      </c>
      <c r="K243" s="13">
        <v>28.875</v>
      </c>
      <c r="L243" s="13">
        <v>3</v>
      </c>
      <c r="M243" s="13" t="s">
        <v>417</v>
      </c>
      <c r="N243" s="13">
        <v>6.5</v>
      </c>
      <c r="O243" s="13">
        <f>(CATEGORIZATION!$K243-CATEGORIZATION!$J243)</f>
        <v>1.375</v>
      </c>
    </row>
    <row r="244" spans="2:15" ht="15.75">
      <c r="B244" s="13" t="s">
        <v>687</v>
      </c>
      <c r="C244" s="76">
        <v>43540</v>
      </c>
      <c r="D244" s="13" t="s">
        <v>266</v>
      </c>
      <c r="E244" s="13" t="s">
        <v>135</v>
      </c>
      <c r="F244" s="13" t="s">
        <v>420</v>
      </c>
      <c r="G244" s="13" t="s">
        <v>494</v>
      </c>
      <c r="H244" s="13" t="s">
        <v>461</v>
      </c>
      <c r="I244" s="13" t="str">
        <f t="shared" si="3"/>
        <v>Sports</v>
      </c>
      <c r="J244" s="13">
        <v>74.97</v>
      </c>
      <c r="K244" s="13">
        <v>78.718500000000006</v>
      </c>
      <c r="L244" s="13">
        <v>1</v>
      </c>
      <c r="M244" s="13" t="s">
        <v>422</v>
      </c>
      <c r="N244" s="13">
        <v>5.6</v>
      </c>
      <c r="O244" s="13">
        <f>(CATEGORIZATION!$K244-CATEGORIZATION!$J244)</f>
        <v>3.748500000000007</v>
      </c>
    </row>
    <row r="245" spans="2:15" ht="15.75">
      <c r="B245" s="13" t="s">
        <v>688</v>
      </c>
      <c r="C245" s="76">
        <v>43513</v>
      </c>
      <c r="D245" s="13" t="s">
        <v>175</v>
      </c>
      <c r="E245" s="13" t="s">
        <v>134</v>
      </c>
      <c r="F245" s="13" t="s">
        <v>414</v>
      </c>
      <c r="G245" s="13" t="s">
        <v>494</v>
      </c>
      <c r="H245" s="13" t="s">
        <v>457</v>
      </c>
      <c r="I245" s="13" t="str">
        <f t="shared" si="3"/>
        <v>Food and beverages</v>
      </c>
      <c r="J245" s="13">
        <v>80.959999999999994</v>
      </c>
      <c r="K245" s="13">
        <v>85.007999999999996</v>
      </c>
      <c r="L245" s="13">
        <v>8</v>
      </c>
      <c r="M245" s="13" t="s">
        <v>433</v>
      </c>
      <c r="N245" s="13">
        <v>7.4</v>
      </c>
      <c r="O245" s="13">
        <f>(CATEGORIZATION!$K245-CATEGORIZATION!$J245)</f>
        <v>4.0480000000000018</v>
      </c>
    </row>
    <row r="246" spans="2:15" ht="15.75">
      <c r="B246" s="13" t="s">
        <v>689</v>
      </c>
      <c r="C246" s="76">
        <v>43523</v>
      </c>
      <c r="D246" s="13" t="s">
        <v>419</v>
      </c>
      <c r="E246" s="13" t="s">
        <v>131</v>
      </c>
      <c r="F246" s="13" t="s">
        <v>420</v>
      </c>
      <c r="G246" s="13" t="s">
        <v>415</v>
      </c>
      <c r="H246" s="13" t="s">
        <v>457</v>
      </c>
      <c r="I246" s="13" t="str">
        <f t="shared" si="3"/>
        <v>Food and beverages</v>
      </c>
      <c r="J246" s="13">
        <v>94.47</v>
      </c>
      <c r="K246" s="13">
        <v>99.1935</v>
      </c>
      <c r="L246" s="13">
        <v>8</v>
      </c>
      <c r="M246" s="13" t="s">
        <v>422</v>
      </c>
      <c r="N246" s="13">
        <v>9.1</v>
      </c>
      <c r="O246" s="13">
        <f>(CATEGORIZATION!$K246-CATEGORIZATION!$J246)</f>
        <v>4.7235000000000014</v>
      </c>
    </row>
    <row r="247" spans="2:15" ht="15.75">
      <c r="B247" s="13" t="s">
        <v>690</v>
      </c>
      <c r="C247" s="76">
        <v>43649</v>
      </c>
      <c r="D247" s="13" t="s">
        <v>419</v>
      </c>
      <c r="E247" s="13" t="s">
        <v>131</v>
      </c>
      <c r="F247" s="13" t="s">
        <v>420</v>
      </c>
      <c r="G247" s="13" t="s">
        <v>494</v>
      </c>
      <c r="H247" s="13" t="s">
        <v>440</v>
      </c>
      <c r="I247" s="13" t="str">
        <f t="shared" si="3"/>
        <v>Food and beverages</v>
      </c>
      <c r="J247" s="13">
        <v>99.79</v>
      </c>
      <c r="K247" s="13">
        <v>104.7795</v>
      </c>
      <c r="L247" s="13">
        <v>2</v>
      </c>
      <c r="M247" s="13" t="s">
        <v>417</v>
      </c>
      <c r="N247" s="13">
        <v>8</v>
      </c>
      <c r="O247" s="13">
        <f>(CATEGORIZATION!$K247-CATEGORIZATION!$J247)</f>
        <v>4.9894999999999925</v>
      </c>
    </row>
    <row r="248" spans="2:15" ht="15.75">
      <c r="B248" s="13" t="s">
        <v>691</v>
      </c>
      <c r="C248" s="76">
        <v>43515</v>
      </c>
      <c r="D248" s="13" t="s">
        <v>419</v>
      </c>
      <c r="E248" s="13" t="s">
        <v>131</v>
      </c>
      <c r="F248" s="13" t="s">
        <v>420</v>
      </c>
      <c r="G248" s="13" t="s">
        <v>415</v>
      </c>
      <c r="H248" s="13" t="s">
        <v>440</v>
      </c>
      <c r="I248" s="13" t="str">
        <f t="shared" si="3"/>
        <v>Food and beverages</v>
      </c>
      <c r="J248" s="13">
        <v>41.24</v>
      </c>
      <c r="K248" s="13">
        <v>43.302</v>
      </c>
      <c r="L248" s="13">
        <v>4</v>
      </c>
      <c r="M248" s="13" t="s">
        <v>422</v>
      </c>
      <c r="N248" s="13">
        <v>7.1</v>
      </c>
      <c r="O248" s="13">
        <f>(CATEGORIZATION!$K248-CATEGORIZATION!$J248)</f>
        <v>2.0619999999999976</v>
      </c>
    </row>
    <row r="249" spans="2:15" ht="15.75">
      <c r="B249" s="13" t="s">
        <v>692</v>
      </c>
      <c r="C249" s="76">
        <v>43538</v>
      </c>
      <c r="D249" s="13" t="s">
        <v>419</v>
      </c>
      <c r="E249" s="13" t="s">
        <v>131</v>
      </c>
      <c r="F249" s="13" t="s">
        <v>420</v>
      </c>
      <c r="G249" s="13" t="s">
        <v>415</v>
      </c>
      <c r="H249" s="13" t="s">
        <v>421</v>
      </c>
      <c r="I249" s="13" t="str">
        <f t="shared" si="3"/>
        <v>Electronic accessories</v>
      </c>
      <c r="J249" s="13">
        <v>51.32</v>
      </c>
      <c r="K249" s="13">
        <v>53.885999999999996</v>
      </c>
      <c r="L249" s="13">
        <v>9</v>
      </c>
      <c r="M249" s="13" t="s">
        <v>422</v>
      </c>
      <c r="N249" s="13">
        <v>5.6</v>
      </c>
      <c r="O249" s="13">
        <f>(CATEGORIZATION!$K249-CATEGORIZATION!$J249)</f>
        <v>2.5659999999999954</v>
      </c>
    </row>
    <row r="250" spans="2:15" ht="15.75">
      <c r="B250" s="13" t="s">
        <v>693</v>
      </c>
      <c r="C250" s="76">
        <v>43492</v>
      </c>
      <c r="D250" s="13" t="s">
        <v>419</v>
      </c>
      <c r="E250" s="13" t="s">
        <v>131</v>
      </c>
      <c r="F250" s="13" t="s">
        <v>420</v>
      </c>
      <c r="G250" s="13" t="s">
        <v>415</v>
      </c>
      <c r="H250" s="13" t="s">
        <v>461</v>
      </c>
      <c r="I250" s="13" t="str">
        <f t="shared" si="3"/>
        <v>Sports</v>
      </c>
      <c r="J250" s="13">
        <v>14.36</v>
      </c>
      <c r="K250" s="13">
        <v>15.077999999999999</v>
      </c>
      <c r="L250" s="13">
        <v>10</v>
      </c>
      <c r="M250" s="13" t="s">
        <v>422</v>
      </c>
      <c r="N250" s="13">
        <v>5.4</v>
      </c>
      <c r="O250" s="13">
        <f>(CATEGORIZATION!$K250-CATEGORIZATION!$J250)</f>
        <v>0.71799999999999997</v>
      </c>
    </row>
    <row r="251" spans="2:15" ht="15.75">
      <c r="B251" s="13" t="s">
        <v>694</v>
      </c>
      <c r="C251" s="76">
        <v>43619</v>
      </c>
      <c r="D251" s="13" t="s">
        <v>175</v>
      </c>
      <c r="E251" s="13" t="s">
        <v>134</v>
      </c>
      <c r="F251" s="13" t="s">
        <v>414</v>
      </c>
      <c r="G251" s="13" t="s">
        <v>494</v>
      </c>
      <c r="H251" s="13" t="s">
        <v>421</v>
      </c>
      <c r="I251" s="13" t="str">
        <f t="shared" si="3"/>
        <v>Electronic accessories</v>
      </c>
      <c r="J251" s="13">
        <v>21.5</v>
      </c>
      <c r="K251" s="13">
        <v>22.575000000000003</v>
      </c>
      <c r="L251" s="13">
        <v>9</v>
      </c>
      <c r="M251" s="13" t="s">
        <v>433</v>
      </c>
      <c r="N251" s="13">
        <v>7.8</v>
      </c>
      <c r="O251" s="13">
        <f>(CATEGORIZATION!$K251-CATEGORIZATION!$J251)</f>
        <v>1.0750000000000028</v>
      </c>
    </row>
    <row r="252" spans="2:15" ht="15.75">
      <c r="B252" s="13" t="s">
        <v>695</v>
      </c>
      <c r="C252" s="76">
        <v>43498</v>
      </c>
      <c r="D252" s="13" t="s">
        <v>266</v>
      </c>
      <c r="E252" s="13" t="s">
        <v>135</v>
      </c>
      <c r="F252" s="13" t="s">
        <v>414</v>
      </c>
      <c r="G252" s="13" t="s">
        <v>415</v>
      </c>
      <c r="H252" s="13" t="s">
        <v>421</v>
      </c>
      <c r="I252" s="13" t="str">
        <f t="shared" si="3"/>
        <v>Electronic accessories</v>
      </c>
      <c r="J252" s="13">
        <v>26.26</v>
      </c>
      <c r="K252" s="13">
        <v>27.573</v>
      </c>
      <c r="L252" s="13">
        <v>7</v>
      </c>
      <c r="M252" s="13" t="s">
        <v>422</v>
      </c>
      <c r="N252" s="13">
        <v>9.9</v>
      </c>
      <c r="O252" s="13">
        <f>(CATEGORIZATION!$K252-CATEGORIZATION!$J252)</f>
        <v>1.3129999999999988</v>
      </c>
    </row>
    <row r="253" spans="2:15" ht="15.75">
      <c r="B253" s="13" t="s">
        <v>696</v>
      </c>
      <c r="C253" s="76">
        <v>43518</v>
      </c>
      <c r="D253" s="13" t="s">
        <v>419</v>
      </c>
      <c r="E253" s="13" t="s">
        <v>131</v>
      </c>
      <c r="F253" s="13" t="s">
        <v>420</v>
      </c>
      <c r="G253" s="13" t="s">
        <v>494</v>
      </c>
      <c r="H253" s="13" t="s">
        <v>455</v>
      </c>
      <c r="I253" s="13" t="str">
        <f t="shared" si="3"/>
        <v>Sports</v>
      </c>
      <c r="J253" s="13">
        <v>95.49</v>
      </c>
      <c r="K253" s="13">
        <v>100.2645</v>
      </c>
      <c r="L253" s="13">
        <v>7</v>
      </c>
      <c r="M253" s="13" t="s">
        <v>417</v>
      </c>
      <c r="N253" s="13">
        <v>8.6999999999999993</v>
      </c>
      <c r="O253" s="13">
        <f>(CATEGORIZATION!$K253-CATEGORIZATION!$J253)</f>
        <v>4.7745000000000033</v>
      </c>
    </row>
    <row r="254" spans="2:15" ht="15.75">
      <c r="B254" s="13" t="s">
        <v>697</v>
      </c>
      <c r="C254" s="76">
        <v>43495</v>
      </c>
      <c r="D254" s="13" t="s">
        <v>266</v>
      </c>
      <c r="E254" s="13" t="s">
        <v>135</v>
      </c>
      <c r="F254" s="13" t="s">
        <v>420</v>
      </c>
      <c r="G254" s="13" t="s">
        <v>415</v>
      </c>
      <c r="H254" s="13" t="s">
        <v>499</v>
      </c>
      <c r="I254" s="13" t="str">
        <f t="shared" si="3"/>
        <v>Electronic accessories</v>
      </c>
      <c r="J254" s="13">
        <v>23.65</v>
      </c>
      <c r="K254" s="13">
        <v>24.8325</v>
      </c>
      <c r="L254" s="13">
        <v>4</v>
      </c>
      <c r="M254" s="13" t="s">
        <v>433</v>
      </c>
      <c r="N254" s="13">
        <v>4</v>
      </c>
      <c r="O254" s="13">
        <f>(CATEGORIZATION!$K254-CATEGORIZATION!$J254)</f>
        <v>1.182500000000001</v>
      </c>
    </row>
    <row r="255" spans="2:15" ht="15.75">
      <c r="B255" s="13" t="s">
        <v>698</v>
      </c>
      <c r="C255" s="76">
        <v>43770</v>
      </c>
      <c r="D255" s="13" t="s">
        <v>175</v>
      </c>
      <c r="E255" s="13" t="s">
        <v>134</v>
      </c>
      <c r="F255" s="13" t="s">
        <v>414</v>
      </c>
      <c r="G255" s="13" t="s">
        <v>494</v>
      </c>
      <c r="H255" s="13" t="s">
        <v>461</v>
      </c>
      <c r="I255" s="13" t="str">
        <f t="shared" si="3"/>
        <v>Sports</v>
      </c>
      <c r="J255" s="13">
        <v>82.33</v>
      </c>
      <c r="K255" s="13">
        <v>86.4465</v>
      </c>
      <c r="L255" s="13">
        <v>4</v>
      </c>
      <c r="M255" s="13" t="s">
        <v>433</v>
      </c>
      <c r="N255" s="13">
        <v>7.5</v>
      </c>
      <c r="O255" s="13">
        <f>(CATEGORIZATION!$K255-CATEGORIZATION!$J255)</f>
        <v>4.116500000000002</v>
      </c>
    </row>
    <row r="256" spans="2:15" ht="15.75">
      <c r="B256" s="13" t="s">
        <v>699</v>
      </c>
      <c r="C256" s="76">
        <v>43543</v>
      </c>
      <c r="D256" s="13" t="s">
        <v>419</v>
      </c>
      <c r="E256" s="13" t="s">
        <v>131</v>
      </c>
      <c r="F256" s="13" t="s">
        <v>420</v>
      </c>
      <c r="G256" s="13" t="s">
        <v>415</v>
      </c>
      <c r="H256" s="13" t="s">
        <v>421</v>
      </c>
      <c r="I256" s="13" t="str">
        <f t="shared" si="3"/>
        <v>Electronic accessories</v>
      </c>
      <c r="J256" s="13">
        <v>26.61</v>
      </c>
      <c r="K256" s="13">
        <v>27.9405</v>
      </c>
      <c r="L256" s="13">
        <v>2</v>
      </c>
      <c r="M256" s="13" t="s">
        <v>422</v>
      </c>
      <c r="N256" s="13">
        <v>4.2</v>
      </c>
      <c r="O256" s="13">
        <f>(CATEGORIZATION!$K256-CATEGORIZATION!$J256)</f>
        <v>1.3305000000000007</v>
      </c>
    </row>
    <row r="257" spans="2:15" ht="15.75">
      <c r="B257" s="13" t="s">
        <v>700</v>
      </c>
      <c r="C257" s="76">
        <v>43479</v>
      </c>
      <c r="D257" s="13" t="s">
        <v>266</v>
      </c>
      <c r="E257" s="13" t="s">
        <v>135</v>
      </c>
      <c r="F257" s="13" t="s">
        <v>420</v>
      </c>
      <c r="G257" s="13" t="s">
        <v>415</v>
      </c>
      <c r="H257" s="13" t="s">
        <v>440</v>
      </c>
      <c r="I257" s="13" t="str">
        <f t="shared" si="3"/>
        <v>Food and beverages</v>
      </c>
      <c r="J257" s="13">
        <v>99.69</v>
      </c>
      <c r="K257" s="13">
        <v>104.67449999999999</v>
      </c>
      <c r="L257" s="13">
        <v>5</v>
      </c>
      <c r="M257" s="13" t="s">
        <v>422</v>
      </c>
      <c r="N257" s="13">
        <v>9.9</v>
      </c>
      <c r="O257" s="13">
        <f>(CATEGORIZATION!$K257-CATEGORIZATION!$J257)</f>
        <v>4.984499999999997</v>
      </c>
    </row>
    <row r="258" spans="2:15" ht="15.75">
      <c r="B258" s="13" t="s">
        <v>701</v>
      </c>
      <c r="C258" s="76">
        <v>43468</v>
      </c>
      <c r="D258" s="13" t="s">
        <v>419</v>
      </c>
      <c r="E258" s="13" t="s">
        <v>131</v>
      </c>
      <c r="F258" s="13" t="s">
        <v>414</v>
      </c>
      <c r="G258" s="13" t="s">
        <v>415</v>
      </c>
      <c r="H258" s="13" t="s">
        <v>440</v>
      </c>
      <c r="I258" s="13" t="str">
        <f t="shared" si="3"/>
        <v>Food and beverages</v>
      </c>
      <c r="J258" s="13">
        <v>74.89</v>
      </c>
      <c r="K258" s="13">
        <v>78.634500000000003</v>
      </c>
      <c r="L258" s="13">
        <v>4</v>
      </c>
      <c r="M258" s="13" t="s">
        <v>417</v>
      </c>
      <c r="N258" s="13">
        <v>4.2</v>
      </c>
      <c r="O258" s="13">
        <f>(CATEGORIZATION!$K258-CATEGORIZATION!$J258)</f>
        <v>3.7445000000000022</v>
      </c>
    </row>
    <row r="259" spans="2:15" ht="15.75">
      <c r="B259" s="13" t="s">
        <v>702</v>
      </c>
      <c r="C259" s="76">
        <v>43617</v>
      </c>
      <c r="D259" s="13" t="s">
        <v>175</v>
      </c>
      <c r="E259" s="13" t="s">
        <v>134</v>
      </c>
      <c r="F259" s="13" t="s">
        <v>420</v>
      </c>
      <c r="G259" s="13" t="s">
        <v>415</v>
      </c>
      <c r="H259" s="13" t="s">
        <v>440</v>
      </c>
      <c r="I259" s="13" t="str">
        <f t="shared" si="3"/>
        <v>Food and beverages</v>
      </c>
      <c r="J259" s="13">
        <v>40.94</v>
      </c>
      <c r="K259" s="13">
        <v>42.987000000000002</v>
      </c>
      <c r="L259" s="13">
        <v>5</v>
      </c>
      <c r="M259" s="13" t="s">
        <v>417</v>
      </c>
      <c r="N259" s="13">
        <v>9.9</v>
      </c>
      <c r="O259" s="13">
        <f>(CATEGORIZATION!$K259-CATEGORIZATION!$J259)</f>
        <v>2.0470000000000041</v>
      </c>
    </row>
    <row r="260" spans="2:15" ht="15.75">
      <c r="B260" s="13" t="s">
        <v>703</v>
      </c>
      <c r="C260" s="76">
        <v>43496</v>
      </c>
      <c r="D260" s="13" t="s">
        <v>266</v>
      </c>
      <c r="E260" s="13" t="s">
        <v>135</v>
      </c>
      <c r="F260" s="13" t="s">
        <v>414</v>
      </c>
      <c r="G260" s="13" t="s">
        <v>494</v>
      </c>
      <c r="H260" s="13" t="s">
        <v>461</v>
      </c>
      <c r="I260" s="13" t="str">
        <f t="shared" ref="I260:I323" si="4">VLOOKUP(H260,$R$5:$S$32,2,FALSE)</f>
        <v>Sports</v>
      </c>
      <c r="J260" s="13">
        <v>75.819999999999993</v>
      </c>
      <c r="K260" s="13">
        <v>79.611000000000004</v>
      </c>
      <c r="L260" s="13">
        <v>1</v>
      </c>
      <c r="M260" s="13" t="s">
        <v>422</v>
      </c>
      <c r="N260" s="13">
        <v>5.8</v>
      </c>
      <c r="O260" s="13">
        <f>(CATEGORIZATION!$K260-CATEGORIZATION!$J260)</f>
        <v>3.791000000000011</v>
      </c>
    </row>
    <row r="261" spans="2:15" ht="15.75">
      <c r="B261" s="13" t="s">
        <v>704</v>
      </c>
      <c r="C261" s="76">
        <v>43772</v>
      </c>
      <c r="D261" s="13" t="s">
        <v>419</v>
      </c>
      <c r="E261" s="13" t="s">
        <v>131</v>
      </c>
      <c r="F261" s="13" t="s">
        <v>420</v>
      </c>
      <c r="G261" s="13" t="s">
        <v>494</v>
      </c>
      <c r="H261" s="13" t="s">
        <v>440</v>
      </c>
      <c r="I261" s="13" t="str">
        <f t="shared" si="4"/>
        <v>Food and beverages</v>
      </c>
      <c r="J261" s="13">
        <v>46.77</v>
      </c>
      <c r="K261" s="13">
        <v>49.108499999999999</v>
      </c>
      <c r="L261" s="13">
        <v>6</v>
      </c>
      <c r="M261" s="13" t="s">
        <v>422</v>
      </c>
      <c r="N261" s="13">
        <v>6</v>
      </c>
      <c r="O261" s="13">
        <f>(CATEGORIZATION!$K261-CATEGORIZATION!$J261)</f>
        <v>2.3384999999999962</v>
      </c>
    </row>
    <row r="262" spans="2:15" ht="15.75">
      <c r="B262" s="13" t="s">
        <v>705</v>
      </c>
      <c r="C262" s="76">
        <v>43516</v>
      </c>
      <c r="D262" s="13" t="s">
        <v>175</v>
      </c>
      <c r="E262" s="13" t="s">
        <v>134</v>
      </c>
      <c r="F262" s="13" t="s">
        <v>420</v>
      </c>
      <c r="G262" s="13" t="s">
        <v>415</v>
      </c>
      <c r="H262" s="13" t="s">
        <v>459</v>
      </c>
      <c r="I262" s="13" t="str">
        <f t="shared" si="4"/>
        <v>Health and beauty</v>
      </c>
      <c r="J262" s="13">
        <v>32.32</v>
      </c>
      <c r="K262" s="13">
        <v>33.936</v>
      </c>
      <c r="L262" s="13">
        <v>10</v>
      </c>
      <c r="M262" s="13" t="s">
        <v>433</v>
      </c>
      <c r="N262" s="13">
        <v>10</v>
      </c>
      <c r="O262" s="13">
        <f>(CATEGORIZATION!$K262-CATEGORIZATION!$J262)</f>
        <v>1.6159999999999997</v>
      </c>
    </row>
    <row r="263" spans="2:15" ht="15.75">
      <c r="B263" s="13" t="s">
        <v>706</v>
      </c>
      <c r="C263" s="76">
        <v>43741</v>
      </c>
      <c r="D263" s="13" t="s">
        <v>266</v>
      </c>
      <c r="E263" s="13" t="s">
        <v>135</v>
      </c>
      <c r="F263" s="13" t="s">
        <v>420</v>
      </c>
      <c r="G263" s="13" t="s">
        <v>494</v>
      </c>
      <c r="H263" s="13" t="s">
        <v>440</v>
      </c>
      <c r="I263" s="13" t="str">
        <f t="shared" si="4"/>
        <v>Food and beverages</v>
      </c>
      <c r="J263" s="13">
        <v>18.22</v>
      </c>
      <c r="K263" s="13">
        <v>19.131</v>
      </c>
      <c r="L263" s="13">
        <v>7</v>
      </c>
      <c r="M263" s="13" t="s">
        <v>433</v>
      </c>
      <c r="N263" s="13">
        <v>6.6</v>
      </c>
      <c r="O263" s="13">
        <f>(CATEGORIZATION!$K263-CATEGORIZATION!$J263)</f>
        <v>0.91100000000000136</v>
      </c>
    </row>
    <row r="264" spans="2:15" ht="15.75">
      <c r="B264" s="13" t="s">
        <v>707</v>
      </c>
      <c r="C264" s="76">
        <v>43509</v>
      </c>
      <c r="D264" s="13" t="s">
        <v>175</v>
      </c>
      <c r="E264" s="13" t="s">
        <v>134</v>
      </c>
      <c r="F264" s="13" t="s">
        <v>414</v>
      </c>
      <c r="G264" s="13" t="s">
        <v>494</v>
      </c>
      <c r="H264" s="13" t="s">
        <v>421</v>
      </c>
      <c r="I264" s="13" t="str">
        <f t="shared" si="4"/>
        <v>Electronic accessories</v>
      </c>
      <c r="J264" s="13">
        <v>76.819999999999993</v>
      </c>
      <c r="K264" s="13">
        <v>80.661000000000001</v>
      </c>
      <c r="L264" s="13">
        <v>1</v>
      </c>
      <c r="M264" s="13" t="s">
        <v>417</v>
      </c>
      <c r="N264" s="13">
        <v>7.2</v>
      </c>
      <c r="O264" s="13">
        <f>(CATEGORIZATION!$K264-CATEGORIZATION!$J264)</f>
        <v>3.8410000000000082</v>
      </c>
    </row>
    <row r="265" spans="2:15" ht="15.75">
      <c r="B265" s="13" t="s">
        <v>708</v>
      </c>
      <c r="C265" s="76">
        <v>43711</v>
      </c>
      <c r="D265" s="13" t="s">
        <v>175</v>
      </c>
      <c r="E265" s="13" t="s">
        <v>134</v>
      </c>
      <c r="F265" s="13" t="s">
        <v>414</v>
      </c>
      <c r="G265" s="13" t="s">
        <v>415</v>
      </c>
      <c r="H265" s="13" t="s">
        <v>461</v>
      </c>
      <c r="I265" s="13" t="str">
        <f t="shared" si="4"/>
        <v>Sports</v>
      </c>
      <c r="J265" s="13">
        <v>52.26</v>
      </c>
      <c r="K265" s="13">
        <v>54.873000000000005</v>
      </c>
      <c r="L265" s="13">
        <v>10</v>
      </c>
      <c r="M265" s="13" t="s">
        <v>433</v>
      </c>
      <c r="N265" s="13">
        <v>6.2</v>
      </c>
      <c r="O265" s="13">
        <f>(CATEGORIZATION!$K265-CATEGORIZATION!$J265)</f>
        <v>2.6130000000000067</v>
      </c>
    </row>
    <row r="266" spans="2:15" ht="15.75">
      <c r="B266" s="13" t="s">
        <v>709</v>
      </c>
      <c r="C266" s="76">
        <v>43619</v>
      </c>
      <c r="D266" s="13" t="s">
        <v>175</v>
      </c>
      <c r="E266" s="13" t="s">
        <v>134</v>
      </c>
      <c r="F266" s="13" t="s">
        <v>420</v>
      </c>
      <c r="G266" s="13" t="s">
        <v>415</v>
      </c>
      <c r="H266" s="13" t="s">
        <v>459</v>
      </c>
      <c r="I266" s="13" t="str">
        <f t="shared" si="4"/>
        <v>Health and beauty</v>
      </c>
      <c r="J266" s="13">
        <v>79.739999999999995</v>
      </c>
      <c r="K266" s="13">
        <v>83.727000000000004</v>
      </c>
      <c r="L266" s="13">
        <v>1</v>
      </c>
      <c r="M266" s="13" t="s">
        <v>417</v>
      </c>
      <c r="N266" s="13">
        <v>7.3</v>
      </c>
      <c r="O266" s="13">
        <f>(CATEGORIZATION!$K266-CATEGORIZATION!$J266)</f>
        <v>3.987000000000009</v>
      </c>
    </row>
    <row r="267" spans="2:15" ht="15.75">
      <c r="B267" s="13" t="s">
        <v>710</v>
      </c>
      <c r="C267" s="76">
        <v>43489</v>
      </c>
      <c r="D267" s="13" t="s">
        <v>175</v>
      </c>
      <c r="E267" s="13" t="s">
        <v>134</v>
      </c>
      <c r="F267" s="13" t="s">
        <v>420</v>
      </c>
      <c r="G267" s="13" t="s">
        <v>415</v>
      </c>
      <c r="H267" s="13" t="s">
        <v>459</v>
      </c>
      <c r="I267" s="13" t="str">
        <f t="shared" si="4"/>
        <v>Health and beauty</v>
      </c>
      <c r="J267" s="13">
        <v>77.5</v>
      </c>
      <c r="K267" s="13">
        <v>81.375</v>
      </c>
      <c r="L267" s="13">
        <v>5</v>
      </c>
      <c r="M267" s="13" t="s">
        <v>417</v>
      </c>
      <c r="N267" s="13">
        <v>4.3</v>
      </c>
      <c r="O267" s="13">
        <f>(CATEGORIZATION!$K267-CATEGORIZATION!$J267)</f>
        <v>3.875</v>
      </c>
    </row>
    <row r="268" spans="2:15" ht="15.75">
      <c r="B268" s="13" t="s">
        <v>711</v>
      </c>
      <c r="C268" s="76">
        <v>43537</v>
      </c>
      <c r="D268" s="13" t="s">
        <v>175</v>
      </c>
      <c r="E268" s="13" t="s">
        <v>134</v>
      </c>
      <c r="F268" s="13" t="s">
        <v>420</v>
      </c>
      <c r="G268" s="13" t="s">
        <v>415</v>
      </c>
      <c r="H268" s="13" t="s">
        <v>440</v>
      </c>
      <c r="I268" s="13" t="str">
        <f t="shared" si="4"/>
        <v>Food and beverages</v>
      </c>
      <c r="J268" s="13">
        <v>54.27</v>
      </c>
      <c r="K268" s="13">
        <v>56.983500000000006</v>
      </c>
      <c r="L268" s="13">
        <v>5</v>
      </c>
      <c r="M268" s="13" t="s">
        <v>417</v>
      </c>
      <c r="N268" s="13">
        <v>4.5999999999999996</v>
      </c>
      <c r="O268" s="13">
        <f>(CATEGORIZATION!$K268-CATEGORIZATION!$J268)</f>
        <v>2.7135000000000034</v>
      </c>
    </row>
    <row r="269" spans="2:15" ht="15.75">
      <c r="B269" s="13" t="s">
        <v>712</v>
      </c>
      <c r="C269" s="76">
        <v>43588</v>
      </c>
      <c r="D269" s="13" t="s">
        <v>266</v>
      </c>
      <c r="E269" s="13" t="s">
        <v>135</v>
      </c>
      <c r="F269" s="13" t="s">
        <v>414</v>
      </c>
      <c r="G269" s="13" t="s">
        <v>415</v>
      </c>
      <c r="H269" s="13" t="s">
        <v>459</v>
      </c>
      <c r="I269" s="13" t="str">
        <f t="shared" si="4"/>
        <v>Health and beauty</v>
      </c>
      <c r="J269" s="13">
        <v>41.06</v>
      </c>
      <c r="K269" s="13">
        <v>43.113</v>
      </c>
      <c r="L269" s="13">
        <v>6</v>
      </c>
      <c r="M269" s="13" t="s">
        <v>433</v>
      </c>
      <c r="N269" s="13">
        <v>8.3000000000000007</v>
      </c>
      <c r="O269" s="13">
        <f>(CATEGORIZATION!$K269-CATEGORIZATION!$J269)</f>
        <v>2.0529999999999973</v>
      </c>
    </row>
    <row r="270" spans="2:15" ht="15.75">
      <c r="B270" s="13" t="s">
        <v>713</v>
      </c>
      <c r="C270" s="76">
        <v>43558</v>
      </c>
      <c r="D270" s="13" t="s">
        <v>266</v>
      </c>
      <c r="E270" s="13" t="s">
        <v>135</v>
      </c>
      <c r="F270" s="13" t="s">
        <v>414</v>
      </c>
      <c r="G270" s="13" t="s">
        <v>494</v>
      </c>
      <c r="H270" s="13" t="s">
        <v>421</v>
      </c>
      <c r="I270" s="13" t="str">
        <f t="shared" si="4"/>
        <v>Electronic accessories</v>
      </c>
      <c r="J270" s="13">
        <v>19.239999999999998</v>
      </c>
      <c r="K270" s="13">
        <v>20.202000000000002</v>
      </c>
      <c r="L270" s="13">
        <v>9</v>
      </c>
      <c r="M270" s="13" t="s">
        <v>422</v>
      </c>
      <c r="N270" s="13">
        <v>8</v>
      </c>
      <c r="O270" s="13">
        <f>(CATEGORIZATION!$K270-CATEGORIZATION!$J270)</f>
        <v>0.9620000000000033</v>
      </c>
    </row>
    <row r="271" spans="2:15" ht="15.75">
      <c r="B271" s="13" t="s">
        <v>714</v>
      </c>
      <c r="C271" s="76">
        <v>43549</v>
      </c>
      <c r="D271" s="13" t="s">
        <v>419</v>
      </c>
      <c r="E271" s="13" t="s">
        <v>131</v>
      </c>
      <c r="F271" s="13" t="s">
        <v>420</v>
      </c>
      <c r="G271" s="13" t="s">
        <v>415</v>
      </c>
      <c r="H271" s="13" t="s">
        <v>440</v>
      </c>
      <c r="I271" s="13" t="str">
        <f t="shared" si="4"/>
        <v>Food and beverages</v>
      </c>
      <c r="J271" s="13">
        <v>39.43</v>
      </c>
      <c r="K271" s="13">
        <v>41.401499999999999</v>
      </c>
      <c r="L271" s="13">
        <v>6</v>
      </c>
      <c r="M271" s="13" t="s">
        <v>433</v>
      </c>
      <c r="N271" s="13">
        <v>9.4</v>
      </c>
      <c r="O271" s="13">
        <f>(CATEGORIZATION!$K271-CATEGORIZATION!$J271)</f>
        <v>1.9714999999999989</v>
      </c>
    </row>
    <row r="272" spans="2:15" ht="15.75">
      <c r="B272" s="13" t="s">
        <v>715</v>
      </c>
      <c r="C272" s="76">
        <v>43484</v>
      </c>
      <c r="D272" s="13" t="s">
        <v>175</v>
      </c>
      <c r="E272" s="13" t="s">
        <v>134</v>
      </c>
      <c r="F272" s="13" t="s">
        <v>414</v>
      </c>
      <c r="G272" s="13" t="s">
        <v>494</v>
      </c>
      <c r="H272" s="13" t="s">
        <v>426</v>
      </c>
      <c r="I272" s="13" t="str">
        <f t="shared" si="4"/>
        <v>Sports</v>
      </c>
      <c r="J272" s="13">
        <v>67.260000000000005</v>
      </c>
      <c r="K272" s="13">
        <v>70.623000000000005</v>
      </c>
      <c r="L272" s="13">
        <v>4</v>
      </c>
      <c r="M272" s="13" t="s">
        <v>433</v>
      </c>
      <c r="N272" s="13">
        <v>8</v>
      </c>
      <c r="O272" s="13">
        <f>(CATEGORIZATION!$K272-CATEGORIZATION!$J272)</f>
        <v>3.3629999999999995</v>
      </c>
    </row>
    <row r="273" spans="2:15" ht="15.75">
      <c r="B273" s="13" t="s">
        <v>716</v>
      </c>
      <c r="C273" s="76">
        <v>43770</v>
      </c>
      <c r="D273" s="13" t="s">
        <v>175</v>
      </c>
      <c r="E273" s="13" t="s">
        <v>134</v>
      </c>
      <c r="F273" s="13" t="s">
        <v>420</v>
      </c>
      <c r="G273" s="13" t="s">
        <v>494</v>
      </c>
      <c r="H273" s="13" t="s">
        <v>440</v>
      </c>
      <c r="I273" s="13" t="str">
        <f t="shared" si="4"/>
        <v>Food and beverages</v>
      </c>
      <c r="J273" s="13">
        <v>13.79</v>
      </c>
      <c r="K273" s="13">
        <v>14.479499999999998</v>
      </c>
      <c r="L273" s="13">
        <v>5</v>
      </c>
      <c r="M273" s="13" t="s">
        <v>433</v>
      </c>
      <c r="N273" s="13">
        <v>7.8</v>
      </c>
      <c r="O273" s="13">
        <f>(CATEGORIZATION!$K273-CATEGORIZATION!$J273)</f>
        <v>0.68949999999999889</v>
      </c>
    </row>
    <row r="274" spans="2:15" ht="15.75">
      <c r="B274" s="13" t="s">
        <v>717</v>
      </c>
      <c r="C274" s="76">
        <v>43497</v>
      </c>
      <c r="D274" s="13" t="s">
        <v>266</v>
      </c>
      <c r="E274" s="13" t="s">
        <v>135</v>
      </c>
      <c r="F274" s="13" t="s">
        <v>420</v>
      </c>
      <c r="G274" s="13" t="s">
        <v>415</v>
      </c>
      <c r="H274" s="13" t="s">
        <v>442</v>
      </c>
      <c r="I274" s="13" t="str">
        <f t="shared" si="4"/>
        <v>Health and beauty</v>
      </c>
      <c r="J274" s="13">
        <v>34.21</v>
      </c>
      <c r="K274" s="13">
        <v>35.920499999999997</v>
      </c>
      <c r="L274" s="13">
        <v>10</v>
      </c>
      <c r="M274" s="13" t="s">
        <v>422</v>
      </c>
      <c r="N274" s="13">
        <v>5.0999999999999996</v>
      </c>
      <c r="O274" s="13">
        <f>(CATEGORIZATION!$K274-CATEGORIZATION!$J274)</f>
        <v>1.7104999999999961</v>
      </c>
    </row>
    <row r="275" spans="2:15" ht="15.75">
      <c r="B275" s="13" t="s">
        <v>718</v>
      </c>
      <c r="C275" s="76">
        <v>43490</v>
      </c>
      <c r="D275" s="13" t="s">
        <v>266</v>
      </c>
      <c r="E275" s="13" t="s">
        <v>135</v>
      </c>
      <c r="F275" s="13" t="s">
        <v>420</v>
      </c>
      <c r="G275" s="13" t="s">
        <v>494</v>
      </c>
      <c r="H275" s="13" t="s">
        <v>463</v>
      </c>
      <c r="I275" s="13" t="str">
        <f t="shared" si="4"/>
        <v>Sports</v>
      </c>
      <c r="J275" s="13">
        <v>21.87</v>
      </c>
      <c r="K275" s="13">
        <v>22.9635</v>
      </c>
      <c r="L275" s="13">
        <v>2</v>
      </c>
      <c r="M275" s="13" t="s">
        <v>417</v>
      </c>
      <c r="N275" s="13">
        <v>6.9</v>
      </c>
      <c r="O275" s="13">
        <f>(CATEGORIZATION!$K275-CATEGORIZATION!$J275)</f>
        <v>1.0934999999999988</v>
      </c>
    </row>
    <row r="276" spans="2:15" ht="15.75">
      <c r="B276" s="13" t="s">
        <v>719</v>
      </c>
      <c r="C276" s="76">
        <v>43556</v>
      </c>
      <c r="D276" s="13" t="s">
        <v>175</v>
      </c>
      <c r="E276" s="13" t="s">
        <v>134</v>
      </c>
      <c r="F276" s="13" t="s">
        <v>414</v>
      </c>
      <c r="G276" s="13" t="s">
        <v>494</v>
      </c>
      <c r="H276" s="13" t="s">
        <v>459</v>
      </c>
      <c r="I276" s="13" t="str">
        <f t="shared" si="4"/>
        <v>Health and beauty</v>
      </c>
      <c r="J276" s="13">
        <v>20.97</v>
      </c>
      <c r="K276" s="13">
        <v>22.0185</v>
      </c>
      <c r="L276" s="13">
        <v>5</v>
      </c>
      <c r="M276" s="13" t="s">
        <v>422</v>
      </c>
      <c r="N276" s="13">
        <v>7.8</v>
      </c>
      <c r="O276" s="13">
        <f>(CATEGORIZATION!$K276-CATEGORIZATION!$J276)</f>
        <v>1.0485000000000007</v>
      </c>
    </row>
    <row r="277" spans="2:15" ht="15.75">
      <c r="B277" s="13" t="s">
        <v>720</v>
      </c>
      <c r="C277" s="76">
        <v>43741</v>
      </c>
      <c r="D277" s="13" t="s">
        <v>175</v>
      </c>
      <c r="E277" s="13" t="s">
        <v>134</v>
      </c>
      <c r="F277" s="13" t="s">
        <v>420</v>
      </c>
      <c r="G277" s="13" t="s">
        <v>494</v>
      </c>
      <c r="H277" s="13" t="s">
        <v>444</v>
      </c>
      <c r="I277" s="13" t="str">
        <f t="shared" si="4"/>
        <v>Sports</v>
      </c>
      <c r="J277" s="13">
        <v>25.84</v>
      </c>
      <c r="K277" s="13">
        <v>27.132000000000001</v>
      </c>
      <c r="L277" s="13">
        <v>3</v>
      </c>
      <c r="M277" s="13" t="s">
        <v>417</v>
      </c>
      <c r="N277" s="13">
        <v>6.6</v>
      </c>
      <c r="O277" s="13">
        <f>(CATEGORIZATION!$K277-CATEGORIZATION!$J277)</f>
        <v>1.2920000000000016</v>
      </c>
    </row>
    <row r="278" spans="2:15" ht="15.75">
      <c r="B278" s="13" t="s">
        <v>721</v>
      </c>
      <c r="C278" s="76">
        <v>43490</v>
      </c>
      <c r="D278" s="13" t="s">
        <v>266</v>
      </c>
      <c r="E278" s="13" t="s">
        <v>135</v>
      </c>
      <c r="F278" s="13" t="s">
        <v>420</v>
      </c>
      <c r="G278" s="13" t="s">
        <v>494</v>
      </c>
      <c r="H278" s="13" t="s">
        <v>459</v>
      </c>
      <c r="I278" s="13" t="str">
        <f t="shared" si="4"/>
        <v>Health and beauty</v>
      </c>
      <c r="J278" s="13">
        <v>96.11</v>
      </c>
      <c r="K278" s="13">
        <v>100.91549999999999</v>
      </c>
      <c r="L278" s="13">
        <v>1</v>
      </c>
      <c r="M278" s="13" t="s">
        <v>417</v>
      </c>
      <c r="N278" s="13">
        <v>7.8</v>
      </c>
      <c r="O278" s="13">
        <f>(CATEGORIZATION!$K278-CATEGORIZATION!$J278)</f>
        <v>4.805499999999995</v>
      </c>
    </row>
    <row r="279" spans="2:15" ht="15.75">
      <c r="B279" s="13" t="s">
        <v>722</v>
      </c>
      <c r="C279" s="76">
        <v>43487</v>
      </c>
      <c r="D279" s="13" t="s">
        <v>419</v>
      </c>
      <c r="E279" s="13" t="s">
        <v>131</v>
      </c>
      <c r="F279" s="13" t="s">
        <v>414</v>
      </c>
      <c r="G279" s="13" t="s">
        <v>415</v>
      </c>
      <c r="H279" s="13" t="s">
        <v>459</v>
      </c>
      <c r="I279" s="13" t="str">
        <f t="shared" si="4"/>
        <v>Health and beauty</v>
      </c>
      <c r="J279" s="13">
        <v>81.510000000000005</v>
      </c>
      <c r="K279" s="13">
        <v>85.585499999999996</v>
      </c>
      <c r="L279" s="13">
        <v>1</v>
      </c>
      <c r="M279" s="13" t="s">
        <v>417</v>
      </c>
      <c r="N279" s="13">
        <v>9.1999999999999993</v>
      </c>
      <c r="O279" s="13">
        <f>(CATEGORIZATION!$K279-CATEGORIZATION!$J279)</f>
        <v>4.075499999999991</v>
      </c>
    </row>
    <row r="280" spans="2:15" ht="15.75">
      <c r="B280" s="13" t="s">
        <v>723</v>
      </c>
      <c r="C280" s="76">
        <v>43800</v>
      </c>
      <c r="D280" s="13" t="s">
        <v>266</v>
      </c>
      <c r="E280" s="13" t="s">
        <v>135</v>
      </c>
      <c r="F280" s="13" t="s">
        <v>420</v>
      </c>
      <c r="G280" s="13" t="s">
        <v>415</v>
      </c>
      <c r="H280" s="13" t="s">
        <v>459</v>
      </c>
      <c r="I280" s="13" t="str">
        <f t="shared" si="4"/>
        <v>Health and beauty</v>
      </c>
      <c r="J280" s="13">
        <v>57.22</v>
      </c>
      <c r="K280" s="13">
        <v>60.081000000000003</v>
      </c>
      <c r="L280" s="13">
        <v>2</v>
      </c>
      <c r="M280" s="13" t="s">
        <v>417</v>
      </c>
      <c r="N280" s="13">
        <v>8.3000000000000007</v>
      </c>
      <c r="O280" s="13">
        <f>(CATEGORIZATION!$K280-CATEGORIZATION!$J280)</f>
        <v>2.8610000000000042</v>
      </c>
    </row>
    <row r="281" spans="2:15" ht="15.75">
      <c r="B281" s="13" t="s">
        <v>724</v>
      </c>
      <c r="C281" s="76">
        <v>43557</v>
      </c>
      <c r="D281" s="13" t="s">
        <v>175</v>
      </c>
      <c r="E281" s="13" t="s">
        <v>134</v>
      </c>
      <c r="F281" s="13" t="s">
        <v>414</v>
      </c>
      <c r="G281" s="13" t="s">
        <v>415</v>
      </c>
      <c r="H281" s="13" t="s">
        <v>499</v>
      </c>
      <c r="I281" s="13" t="str">
        <f t="shared" si="4"/>
        <v>Electronic accessories</v>
      </c>
      <c r="J281" s="13">
        <v>25.22</v>
      </c>
      <c r="K281" s="13">
        <v>26.480999999999998</v>
      </c>
      <c r="L281" s="13">
        <v>7</v>
      </c>
      <c r="M281" s="13" t="s">
        <v>422</v>
      </c>
      <c r="N281" s="13">
        <v>8.1999999999999993</v>
      </c>
      <c r="O281" s="13">
        <f>(CATEGORIZATION!$K281-CATEGORIZATION!$J281)</f>
        <v>1.2609999999999992</v>
      </c>
    </row>
    <row r="282" spans="2:15" ht="15.75">
      <c r="B282" s="13" t="s">
        <v>725</v>
      </c>
      <c r="C282" s="76">
        <v>43552</v>
      </c>
      <c r="D282" s="13" t="s">
        <v>419</v>
      </c>
      <c r="E282" s="13" t="s">
        <v>131</v>
      </c>
      <c r="F282" s="13" t="s">
        <v>414</v>
      </c>
      <c r="G282" s="13" t="s">
        <v>415</v>
      </c>
      <c r="H282" s="13" t="s">
        <v>440</v>
      </c>
      <c r="I282" s="13" t="str">
        <f t="shared" si="4"/>
        <v>Food and beverages</v>
      </c>
      <c r="J282" s="13">
        <v>38.6</v>
      </c>
      <c r="K282" s="13">
        <v>40.53</v>
      </c>
      <c r="L282" s="13">
        <v>3</v>
      </c>
      <c r="M282" s="13" t="s">
        <v>417</v>
      </c>
      <c r="N282" s="13">
        <v>7.5</v>
      </c>
      <c r="O282" s="13">
        <f>(CATEGORIZATION!$K282-CATEGORIZATION!$J282)</f>
        <v>1.9299999999999997</v>
      </c>
    </row>
    <row r="283" spans="2:15" ht="15.75">
      <c r="B283" s="13" t="s">
        <v>726</v>
      </c>
      <c r="C283" s="76">
        <v>43488</v>
      </c>
      <c r="D283" s="13" t="s">
        <v>419</v>
      </c>
      <c r="E283" s="13" t="s">
        <v>131</v>
      </c>
      <c r="F283" s="13" t="s">
        <v>420</v>
      </c>
      <c r="G283" s="13" t="s">
        <v>415</v>
      </c>
      <c r="H283" s="13" t="s">
        <v>499</v>
      </c>
      <c r="I283" s="13" t="str">
        <f t="shared" si="4"/>
        <v>Electronic accessories</v>
      </c>
      <c r="J283" s="13">
        <v>84.05</v>
      </c>
      <c r="K283" s="13">
        <v>88.252499999999998</v>
      </c>
      <c r="L283" s="13">
        <v>3</v>
      </c>
      <c r="M283" s="13" t="s">
        <v>422</v>
      </c>
      <c r="N283" s="13">
        <v>9.8000000000000007</v>
      </c>
      <c r="O283" s="13">
        <f>(CATEGORIZATION!$K283-CATEGORIZATION!$J283)</f>
        <v>4.2025000000000006</v>
      </c>
    </row>
    <row r="284" spans="2:15" ht="15.75">
      <c r="B284" s="13" t="s">
        <v>727</v>
      </c>
      <c r="C284" s="76">
        <v>43486</v>
      </c>
      <c r="D284" s="13" t="s">
        <v>175</v>
      </c>
      <c r="E284" s="13" t="s">
        <v>134</v>
      </c>
      <c r="F284" s="13" t="s">
        <v>414</v>
      </c>
      <c r="G284" s="13" t="s">
        <v>494</v>
      </c>
      <c r="H284" s="13" t="s">
        <v>442</v>
      </c>
      <c r="I284" s="13" t="str">
        <f t="shared" si="4"/>
        <v>Health and beauty</v>
      </c>
      <c r="J284" s="13">
        <v>53.17</v>
      </c>
      <c r="K284" s="13">
        <v>55.828500000000005</v>
      </c>
      <c r="L284" s="13">
        <v>7</v>
      </c>
      <c r="M284" s="13" t="s">
        <v>422</v>
      </c>
      <c r="N284" s="13">
        <v>8.9</v>
      </c>
      <c r="O284" s="13">
        <f>(CATEGORIZATION!$K284-CATEGORIZATION!$J284)</f>
        <v>2.6585000000000036</v>
      </c>
    </row>
    <row r="285" spans="2:15" ht="15.75">
      <c r="B285" s="13" t="s">
        <v>728</v>
      </c>
      <c r="C285" s="76">
        <v>43544</v>
      </c>
      <c r="D285" s="13" t="s">
        <v>266</v>
      </c>
      <c r="E285" s="13" t="s">
        <v>135</v>
      </c>
      <c r="F285" s="13" t="s">
        <v>414</v>
      </c>
      <c r="G285" s="13" t="s">
        <v>415</v>
      </c>
      <c r="H285" s="13" t="s">
        <v>440</v>
      </c>
      <c r="I285" s="13" t="str">
        <f t="shared" si="4"/>
        <v>Food and beverages</v>
      </c>
      <c r="J285" s="13">
        <v>20.87</v>
      </c>
      <c r="K285" s="13">
        <v>21.913499999999999</v>
      </c>
      <c r="L285" s="13">
        <v>3</v>
      </c>
      <c r="M285" s="13" t="s">
        <v>433</v>
      </c>
      <c r="N285" s="13">
        <v>8</v>
      </c>
      <c r="O285" s="13">
        <f>(CATEGORIZATION!$K285-CATEGORIZATION!$J285)</f>
        <v>1.0434999999999981</v>
      </c>
    </row>
    <row r="286" spans="2:15" ht="15.75">
      <c r="B286" s="13" t="s">
        <v>729</v>
      </c>
      <c r="C286" s="76">
        <v>43523</v>
      </c>
      <c r="D286" s="13" t="s">
        <v>266</v>
      </c>
      <c r="E286" s="13" t="s">
        <v>135</v>
      </c>
      <c r="F286" s="13" t="s">
        <v>420</v>
      </c>
      <c r="G286" s="13" t="s">
        <v>494</v>
      </c>
      <c r="H286" s="13" t="s">
        <v>463</v>
      </c>
      <c r="I286" s="13" t="str">
        <f t="shared" si="4"/>
        <v>Sports</v>
      </c>
      <c r="J286" s="13">
        <v>67.27</v>
      </c>
      <c r="K286" s="13">
        <v>70.633499999999998</v>
      </c>
      <c r="L286" s="13">
        <v>5</v>
      </c>
      <c r="M286" s="13" t="s">
        <v>422</v>
      </c>
      <c r="N286" s="13">
        <v>6.9</v>
      </c>
      <c r="O286" s="13">
        <f>(CATEGORIZATION!$K286-CATEGORIZATION!$J286)</f>
        <v>3.3635000000000019</v>
      </c>
    </row>
    <row r="287" spans="2:15" ht="15.75">
      <c r="B287" s="13" t="s">
        <v>730</v>
      </c>
      <c r="C287" s="76">
        <v>43680</v>
      </c>
      <c r="D287" s="13" t="s">
        <v>419</v>
      </c>
      <c r="E287" s="13" t="s">
        <v>131</v>
      </c>
      <c r="F287" s="13" t="s">
        <v>420</v>
      </c>
      <c r="G287" s="13" t="s">
        <v>494</v>
      </c>
      <c r="H287" s="13" t="s">
        <v>457</v>
      </c>
      <c r="I287" s="13" t="str">
        <f t="shared" si="4"/>
        <v>Food and beverages</v>
      </c>
      <c r="J287" s="13">
        <v>43.27</v>
      </c>
      <c r="K287" s="13">
        <v>45.433500000000002</v>
      </c>
      <c r="L287" s="13">
        <v>2</v>
      </c>
      <c r="M287" s="13" t="s">
        <v>417</v>
      </c>
      <c r="N287" s="13">
        <v>5.7</v>
      </c>
      <c r="O287" s="13">
        <f>(CATEGORIZATION!$K287-CATEGORIZATION!$J287)</f>
        <v>2.1634999999999991</v>
      </c>
    </row>
    <row r="288" spans="2:15" ht="15.75">
      <c r="B288" s="13" t="s">
        <v>731</v>
      </c>
      <c r="C288" s="76">
        <v>43478</v>
      </c>
      <c r="D288" s="13" t="s">
        <v>175</v>
      </c>
      <c r="E288" s="13" t="s">
        <v>134</v>
      </c>
      <c r="F288" s="13" t="s">
        <v>420</v>
      </c>
      <c r="G288" s="13" t="s">
        <v>415</v>
      </c>
      <c r="H288" s="13" t="s">
        <v>421</v>
      </c>
      <c r="I288" s="13" t="str">
        <f t="shared" si="4"/>
        <v>Electronic accessories</v>
      </c>
      <c r="J288" s="13">
        <v>23.46</v>
      </c>
      <c r="K288" s="13">
        <v>24.632999999999999</v>
      </c>
      <c r="L288" s="13">
        <v>6</v>
      </c>
      <c r="M288" s="13" t="s">
        <v>417</v>
      </c>
      <c r="N288" s="13">
        <v>6.4</v>
      </c>
      <c r="O288" s="13">
        <f>(CATEGORIZATION!$K288-CATEGORIZATION!$J288)</f>
        <v>1.1729999999999983</v>
      </c>
    </row>
    <row r="289" spans="2:15" ht="15.75">
      <c r="B289" s="13" t="s">
        <v>732</v>
      </c>
      <c r="C289" s="76">
        <v>43543</v>
      </c>
      <c r="D289" s="13" t="s">
        <v>419</v>
      </c>
      <c r="E289" s="13" t="s">
        <v>131</v>
      </c>
      <c r="F289" s="13" t="s">
        <v>420</v>
      </c>
      <c r="G289" s="13" t="s">
        <v>494</v>
      </c>
      <c r="H289" s="13" t="s">
        <v>463</v>
      </c>
      <c r="I289" s="13" t="str">
        <f t="shared" si="4"/>
        <v>Sports</v>
      </c>
      <c r="J289" s="13">
        <v>99.24</v>
      </c>
      <c r="K289" s="13">
        <v>104.202</v>
      </c>
      <c r="L289" s="13">
        <v>9</v>
      </c>
      <c r="M289" s="13" t="s">
        <v>417</v>
      </c>
      <c r="N289" s="13">
        <v>9</v>
      </c>
      <c r="O289" s="13">
        <f>(CATEGORIZATION!$K289-CATEGORIZATION!$J289)</f>
        <v>4.9620000000000033</v>
      </c>
    </row>
    <row r="290" spans="2:15" ht="15.75">
      <c r="B290" s="13" t="s">
        <v>733</v>
      </c>
      <c r="C290" s="76">
        <v>43485</v>
      </c>
      <c r="D290" s="13" t="s">
        <v>419</v>
      </c>
      <c r="E290" s="13" t="s">
        <v>131</v>
      </c>
      <c r="F290" s="13" t="s">
        <v>414</v>
      </c>
      <c r="G290" s="13" t="s">
        <v>494</v>
      </c>
      <c r="H290" s="13" t="s">
        <v>463</v>
      </c>
      <c r="I290" s="13" t="str">
        <f t="shared" si="4"/>
        <v>Sports</v>
      </c>
      <c r="J290" s="13">
        <v>82.93</v>
      </c>
      <c r="K290" s="13">
        <v>87.076499999999996</v>
      </c>
      <c r="L290" s="13">
        <v>4</v>
      </c>
      <c r="M290" s="13" t="s">
        <v>417</v>
      </c>
      <c r="N290" s="13">
        <v>9.6</v>
      </c>
      <c r="O290" s="13">
        <f>(CATEGORIZATION!$K290-CATEGORIZATION!$J290)</f>
        <v>4.146499999999989</v>
      </c>
    </row>
    <row r="291" spans="2:15" ht="15.75">
      <c r="B291" s="13" t="s">
        <v>734</v>
      </c>
      <c r="C291" s="76">
        <v>43680</v>
      </c>
      <c r="D291" s="13" t="s">
        <v>419</v>
      </c>
      <c r="E291" s="13" t="s">
        <v>131</v>
      </c>
      <c r="F291" s="13" t="s">
        <v>414</v>
      </c>
      <c r="G291" s="13" t="s">
        <v>494</v>
      </c>
      <c r="H291" s="13" t="s">
        <v>457</v>
      </c>
      <c r="I291" s="13" t="str">
        <f t="shared" si="4"/>
        <v>Food and beverages</v>
      </c>
      <c r="J291" s="13">
        <v>17.04</v>
      </c>
      <c r="K291" s="13">
        <v>17.891999999999999</v>
      </c>
      <c r="L291" s="13">
        <v>4</v>
      </c>
      <c r="M291" s="13" t="s">
        <v>417</v>
      </c>
      <c r="N291" s="13">
        <v>7</v>
      </c>
      <c r="O291" s="13">
        <f>(CATEGORIZATION!$K291-CATEGORIZATION!$J291)</f>
        <v>0.85200000000000031</v>
      </c>
    </row>
    <row r="292" spans="2:15" ht="15.75">
      <c r="B292" s="13" t="s">
        <v>735</v>
      </c>
      <c r="C292" s="76">
        <v>43648</v>
      </c>
      <c r="D292" s="13" t="s">
        <v>419</v>
      </c>
      <c r="E292" s="13" t="s">
        <v>131</v>
      </c>
      <c r="F292" s="13" t="s">
        <v>420</v>
      </c>
      <c r="G292" s="13" t="s">
        <v>415</v>
      </c>
      <c r="H292" s="13" t="s">
        <v>421</v>
      </c>
      <c r="I292" s="13" t="str">
        <f t="shared" si="4"/>
        <v>Electronic accessories</v>
      </c>
      <c r="J292" s="13">
        <v>40.86</v>
      </c>
      <c r="K292" s="13">
        <v>42.902999999999999</v>
      </c>
      <c r="L292" s="13">
        <v>8</v>
      </c>
      <c r="M292" s="13" t="s">
        <v>433</v>
      </c>
      <c r="N292" s="13">
        <v>6.5</v>
      </c>
      <c r="O292" s="13">
        <f>(CATEGORIZATION!$K292-CATEGORIZATION!$J292)</f>
        <v>2.0429999999999993</v>
      </c>
    </row>
    <row r="293" spans="2:15" ht="15.75">
      <c r="B293" s="13" t="s">
        <v>736</v>
      </c>
      <c r="C293" s="76">
        <v>43480</v>
      </c>
      <c r="D293" s="13" t="s">
        <v>419</v>
      </c>
      <c r="E293" s="13" t="s">
        <v>131</v>
      </c>
      <c r="F293" s="13" t="s">
        <v>414</v>
      </c>
      <c r="G293" s="13" t="s">
        <v>494</v>
      </c>
      <c r="H293" s="13" t="s">
        <v>457</v>
      </c>
      <c r="I293" s="13" t="str">
        <f t="shared" si="4"/>
        <v>Food and beverages</v>
      </c>
      <c r="J293" s="13">
        <v>17.440000000000001</v>
      </c>
      <c r="K293" s="13">
        <v>18.312000000000001</v>
      </c>
      <c r="L293" s="13">
        <v>5</v>
      </c>
      <c r="M293" s="13" t="s">
        <v>422</v>
      </c>
      <c r="N293" s="13">
        <v>8.1</v>
      </c>
      <c r="O293" s="13">
        <f>(CATEGORIZATION!$K293-CATEGORIZATION!$J293)</f>
        <v>0.87199999999999989</v>
      </c>
    </row>
    <row r="294" spans="2:15" ht="15.75">
      <c r="B294" s="13" t="s">
        <v>737</v>
      </c>
      <c r="C294" s="76">
        <v>43546</v>
      </c>
      <c r="D294" s="13" t="s">
        <v>266</v>
      </c>
      <c r="E294" s="13" t="s">
        <v>135</v>
      </c>
      <c r="F294" s="13" t="s">
        <v>414</v>
      </c>
      <c r="G294" s="13" t="s">
        <v>415</v>
      </c>
      <c r="H294" s="13" t="s">
        <v>463</v>
      </c>
      <c r="I294" s="13" t="str">
        <f t="shared" si="4"/>
        <v>Sports</v>
      </c>
      <c r="J294" s="13">
        <v>88.43</v>
      </c>
      <c r="K294" s="13">
        <v>92.851500000000001</v>
      </c>
      <c r="L294" s="13">
        <v>8</v>
      </c>
      <c r="M294" s="13" t="s">
        <v>433</v>
      </c>
      <c r="N294" s="13">
        <v>4.3</v>
      </c>
      <c r="O294" s="13">
        <f>(CATEGORIZATION!$K294-CATEGORIZATION!$J294)</f>
        <v>4.4214999999999947</v>
      </c>
    </row>
    <row r="295" spans="2:15" ht="15.75">
      <c r="B295" s="13" t="s">
        <v>738</v>
      </c>
      <c r="C295" s="76">
        <v>43480</v>
      </c>
      <c r="D295" s="13" t="s">
        <v>175</v>
      </c>
      <c r="E295" s="13" t="s">
        <v>134</v>
      </c>
      <c r="F295" s="13" t="s">
        <v>420</v>
      </c>
      <c r="G295" s="13" t="s">
        <v>415</v>
      </c>
      <c r="H295" s="13" t="s">
        <v>455</v>
      </c>
      <c r="I295" s="13" t="str">
        <f t="shared" si="4"/>
        <v>Sports</v>
      </c>
      <c r="J295" s="13">
        <v>19.100000000000001</v>
      </c>
      <c r="K295" s="13">
        <v>20.055</v>
      </c>
      <c r="L295" s="13">
        <v>7</v>
      </c>
      <c r="M295" s="13" t="s">
        <v>422</v>
      </c>
      <c r="N295" s="13">
        <v>9.6999999999999993</v>
      </c>
      <c r="O295" s="13">
        <f>(CATEGORIZATION!$K295-CATEGORIZATION!$J295)</f>
        <v>0.95499999999999829</v>
      </c>
    </row>
    <row r="296" spans="2:15" ht="15.75">
      <c r="B296" s="13" t="s">
        <v>739</v>
      </c>
      <c r="C296" s="76">
        <v>43493</v>
      </c>
      <c r="D296" s="13" t="s">
        <v>266</v>
      </c>
      <c r="E296" s="13" t="s">
        <v>135</v>
      </c>
      <c r="F296" s="13" t="s">
        <v>414</v>
      </c>
      <c r="G296" s="13" t="s">
        <v>415</v>
      </c>
      <c r="H296" s="13" t="s">
        <v>459</v>
      </c>
      <c r="I296" s="13" t="str">
        <f t="shared" si="4"/>
        <v>Health and beauty</v>
      </c>
      <c r="J296" s="13">
        <v>19.149999999999999</v>
      </c>
      <c r="K296" s="13">
        <v>20.107500000000002</v>
      </c>
      <c r="L296" s="13">
        <v>1</v>
      </c>
      <c r="M296" s="13" t="s">
        <v>433</v>
      </c>
      <c r="N296" s="13">
        <v>9.5</v>
      </c>
      <c r="O296" s="13">
        <f>(CATEGORIZATION!$K296-CATEGORIZATION!$J296)</f>
        <v>0.95750000000000313</v>
      </c>
    </row>
    <row r="297" spans="2:15" ht="15.75">
      <c r="B297" s="13" t="s">
        <v>740</v>
      </c>
      <c r="C297" s="76">
        <v>43510</v>
      </c>
      <c r="D297" s="13" t="s">
        <v>419</v>
      </c>
      <c r="E297" s="13" t="s">
        <v>131</v>
      </c>
      <c r="F297" s="13" t="s">
        <v>414</v>
      </c>
      <c r="G297" s="13" t="s">
        <v>494</v>
      </c>
      <c r="H297" s="13" t="s">
        <v>457</v>
      </c>
      <c r="I297" s="13" t="str">
        <f t="shared" si="4"/>
        <v>Food and beverages</v>
      </c>
      <c r="J297" s="13">
        <v>27.66</v>
      </c>
      <c r="K297" s="13">
        <v>29.042999999999999</v>
      </c>
      <c r="L297" s="13">
        <v>10</v>
      </c>
      <c r="M297" s="13" t="s">
        <v>433</v>
      </c>
      <c r="N297" s="13">
        <v>8.9</v>
      </c>
      <c r="O297" s="13">
        <f>(CATEGORIZATION!$K297-CATEGORIZATION!$J297)</f>
        <v>1.3829999999999991</v>
      </c>
    </row>
    <row r="298" spans="2:15" ht="15.75">
      <c r="B298" s="13" t="s">
        <v>741</v>
      </c>
      <c r="C298" s="76">
        <v>43800</v>
      </c>
      <c r="D298" s="13" t="s">
        <v>266</v>
      </c>
      <c r="E298" s="13" t="s">
        <v>135</v>
      </c>
      <c r="F298" s="13" t="s">
        <v>414</v>
      </c>
      <c r="G298" s="13" t="s">
        <v>415</v>
      </c>
      <c r="H298" s="13" t="s">
        <v>459</v>
      </c>
      <c r="I298" s="13" t="str">
        <f t="shared" si="4"/>
        <v>Health and beauty</v>
      </c>
      <c r="J298" s="13">
        <v>27.07</v>
      </c>
      <c r="K298" s="13">
        <v>28.423500000000001</v>
      </c>
      <c r="L298" s="13">
        <v>1</v>
      </c>
      <c r="M298" s="13" t="s">
        <v>433</v>
      </c>
      <c r="N298" s="13">
        <v>5.3</v>
      </c>
      <c r="O298" s="13">
        <f>(CATEGORIZATION!$K298-CATEGORIZATION!$J298)</f>
        <v>1.3535000000000004</v>
      </c>
    </row>
    <row r="299" spans="2:15" ht="15.75">
      <c r="B299" s="13" t="s">
        <v>742</v>
      </c>
      <c r="C299" s="76">
        <v>43550</v>
      </c>
      <c r="D299" s="13" t="s">
        <v>266</v>
      </c>
      <c r="E299" s="13" t="s">
        <v>135</v>
      </c>
      <c r="F299" s="13" t="s">
        <v>414</v>
      </c>
      <c r="G299" s="13" t="s">
        <v>415</v>
      </c>
      <c r="H299" s="13" t="s">
        <v>426</v>
      </c>
      <c r="I299" s="13" t="str">
        <f t="shared" si="4"/>
        <v>Sports</v>
      </c>
      <c r="J299" s="13">
        <v>39.119999999999997</v>
      </c>
      <c r="K299" s="13">
        <v>41.076000000000001</v>
      </c>
      <c r="L299" s="13">
        <v>1</v>
      </c>
      <c r="M299" s="13" t="s">
        <v>433</v>
      </c>
      <c r="N299" s="13">
        <v>9.6</v>
      </c>
      <c r="O299" s="13">
        <f>(CATEGORIZATION!$K299-CATEGORIZATION!$J299)</f>
        <v>1.9560000000000031</v>
      </c>
    </row>
    <row r="300" spans="2:15" ht="15.75">
      <c r="B300" s="13" t="s">
        <v>743</v>
      </c>
      <c r="C300" s="76">
        <v>43466</v>
      </c>
      <c r="D300" s="13" t="s">
        <v>266</v>
      </c>
      <c r="E300" s="13" t="s">
        <v>135</v>
      </c>
      <c r="F300" s="13" t="s">
        <v>420</v>
      </c>
      <c r="G300" s="13" t="s">
        <v>415</v>
      </c>
      <c r="H300" s="13" t="s">
        <v>499</v>
      </c>
      <c r="I300" s="13" t="str">
        <f t="shared" si="4"/>
        <v>Electronic accessories</v>
      </c>
      <c r="J300" s="13">
        <v>74.709999999999994</v>
      </c>
      <c r="K300" s="13">
        <v>78.445499999999996</v>
      </c>
      <c r="L300" s="13">
        <v>6</v>
      </c>
      <c r="M300" s="13" t="s">
        <v>422</v>
      </c>
      <c r="N300" s="13">
        <v>6.7</v>
      </c>
      <c r="O300" s="13">
        <f>(CATEGORIZATION!$K300-CATEGORIZATION!$J300)</f>
        <v>3.7355000000000018</v>
      </c>
    </row>
    <row r="301" spans="2:15" ht="15.75">
      <c r="B301" s="13" t="s">
        <v>744</v>
      </c>
      <c r="C301" s="76">
        <v>43497</v>
      </c>
      <c r="D301" s="13" t="s">
        <v>266</v>
      </c>
      <c r="E301" s="13" t="s">
        <v>135</v>
      </c>
      <c r="F301" s="13" t="s">
        <v>420</v>
      </c>
      <c r="G301" s="13" t="s">
        <v>494</v>
      </c>
      <c r="H301" s="13" t="s">
        <v>421</v>
      </c>
      <c r="I301" s="13" t="str">
        <f t="shared" si="4"/>
        <v>Electronic accessories</v>
      </c>
      <c r="J301" s="13">
        <v>22.01</v>
      </c>
      <c r="K301" s="13">
        <v>23.110500000000002</v>
      </c>
      <c r="L301" s="13">
        <v>6</v>
      </c>
      <c r="M301" s="13" t="s">
        <v>422</v>
      </c>
      <c r="N301" s="13">
        <v>7.6</v>
      </c>
      <c r="O301" s="13">
        <f>(CATEGORIZATION!$K301-CATEGORIZATION!$J301)</f>
        <v>1.1005000000000003</v>
      </c>
    </row>
    <row r="302" spans="2:15" ht="15.75">
      <c r="B302" s="13" t="s">
        <v>745</v>
      </c>
      <c r="C302" s="76">
        <v>43540</v>
      </c>
      <c r="D302" s="13" t="s">
        <v>175</v>
      </c>
      <c r="E302" s="13" t="s">
        <v>134</v>
      </c>
      <c r="F302" s="13" t="s">
        <v>420</v>
      </c>
      <c r="G302" s="13" t="s">
        <v>415</v>
      </c>
      <c r="H302" s="13" t="s">
        <v>476</v>
      </c>
      <c r="I302" s="13" t="str">
        <f t="shared" si="4"/>
        <v>Food and beverages</v>
      </c>
      <c r="J302" s="13">
        <v>63.61</v>
      </c>
      <c r="K302" s="13">
        <v>66.790499999999994</v>
      </c>
      <c r="L302" s="13">
        <v>5</v>
      </c>
      <c r="M302" s="13" t="s">
        <v>417</v>
      </c>
      <c r="N302" s="13">
        <v>4.8</v>
      </c>
      <c r="O302" s="13">
        <f>(CATEGORIZATION!$K302-CATEGORIZATION!$J302)</f>
        <v>3.180499999999995</v>
      </c>
    </row>
    <row r="303" spans="2:15" ht="15.75">
      <c r="B303" s="13" t="s">
        <v>746</v>
      </c>
      <c r="C303" s="76">
        <v>43527</v>
      </c>
      <c r="D303" s="13" t="s">
        <v>175</v>
      </c>
      <c r="E303" s="13" t="s">
        <v>134</v>
      </c>
      <c r="F303" s="13" t="s">
        <v>420</v>
      </c>
      <c r="G303" s="13" t="s">
        <v>494</v>
      </c>
      <c r="H303" s="13" t="s">
        <v>459</v>
      </c>
      <c r="I303" s="13" t="str">
        <f t="shared" si="4"/>
        <v>Health and beauty</v>
      </c>
      <c r="J303" s="13">
        <v>25</v>
      </c>
      <c r="K303" s="13">
        <v>26.25</v>
      </c>
      <c r="L303" s="13">
        <v>1</v>
      </c>
      <c r="M303" s="13" t="s">
        <v>417</v>
      </c>
      <c r="N303" s="13">
        <v>5.5</v>
      </c>
      <c r="O303" s="13">
        <f>(CATEGORIZATION!$K303-CATEGORIZATION!$J303)</f>
        <v>1.25</v>
      </c>
    </row>
    <row r="304" spans="2:15" ht="15.75">
      <c r="B304" s="13" t="s">
        <v>747</v>
      </c>
      <c r="C304" s="76">
        <v>43496</v>
      </c>
      <c r="D304" s="13" t="s">
        <v>175</v>
      </c>
      <c r="E304" s="13" t="s">
        <v>134</v>
      </c>
      <c r="F304" s="13" t="s">
        <v>414</v>
      </c>
      <c r="G304" s="13" t="s">
        <v>494</v>
      </c>
      <c r="H304" s="13" t="s">
        <v>421</v>
      </c>
      <c r="I304" s="13" t="str">
        <f t="shared" si="4"/>
        <v>Electronic accessories</v>
      </c>
      <c r="J304" s="13">
        <v>20.77</v>
      </c>
      <c r="K304" s="13">
        <v>21.808499999999999</v>
      </c>
      <c r="L304" s="13">
        <v>4</v>
      </c>
      <c r="M304" s="13" t="s">
        <v>422</v>
      </c>
      <c r="N304" s="13">
        <v>4.7</v>
      </c>
      <c r="O304" s="13">
        <f>(CATEGORIZATION!$K304-CATEGORIZATION!$J304)</f>
        <v>1.0384999999999991</v>
      </c>
    </row>
    <row r="305" spans="2:15" ht="15.75">
      <c r="B305" s="13" t="s">
        <v>748</v>
      </c>
      <c r="C305" s="76">
        <v>43511</v>
      </c>
      <c r="D305" s="13" t="s">
        <v>266</v>
      </c>
      <c r="E305" s="13" t="s">
        <v>135</v>
      </c>
      <c r="F305" s="13" t="s">
        <v>414</v>
      </c>
      <c r="G305" s="13" t="s">
        <v>415</v>
      </c>
      <c r="H305" s="13" t="s">
        <v>476</v>
      </c>
      <c r="I305" s="13" t="str">
        <f t="shared" si="4"/>
        <v>Food and beverages</v>
      </c>
      <c r="J305" s="13">
        <v>77.400000000000006</v>
      </c>
      <c r="K305" s="13">
        <v>81.27</v>
      </c>
      <c r="L305" s="13">
        <v>9</v>
      </c>
      <c r="M305" s="13" t="s">
        <v>433</v>
      </c>
      <c r="N305" s="13">
        <v>4.5</v>
      </c>
      <c r="O305" s="13">
        <f>(CATEGORIZATION!$K305-CATEGORIZATION!$J305)</f>
        <v>3.8699999999999903</v>
      </c>
    </row>
    <row r="306" spans="2:15" ht="15.75">
      <c r="B306" s="13" t="s">
        <v>749</v>
      </c>
      <c r="C306" s="76">
        <v>43648</v>
      </c>
      <c r="D306" s="13" t="s">
        <v>266</v>
      </c>
      <c r="E306" s="13" t="s">
        <v>135</v>
      </c>
      <c r="F306" s="13" t="s">
        <v>420</v>
      </c>
      <c r="G306" s="13" t="s">
        <v>494</v>
      </c>
      <c r="H306" s="13" t="s">
        <v>421</v>
      </c>
      <c r="I306" s="13" t="str">
        <f t="shared" si="4"/>
        <v>Electronic accessories</v>
      </c>
      <c r="J306" s="13">
        <v>79.39</v>
      </c>
      <c r="K306" s="13">
        <v>83.359499999999997</v>
      </c>
      <c r="L306" s="13">
        <v>10</v>
      </c>
      <c r="M306" s="13" t="s">
        <v>422</v>
      </c>
      <c r="N306" s="13">
        <v>6.2</v>
      </c>
      <c r="O306" s="13">
        <f>(CATEGORIZATION!$K306-CATEGORIZATION!$J306)</f>
        <v>3.9694999999999965</v>
      </c>
    </row>
    <row r="307" spans="2:15" ht="15.75">
      <c r="B307" s="13" t="s">
        <v>750</v>
      </c>
      <c r="C307" s="76">
        <v>43492</v>
      </c>
      <c r="D307" s="13" t="s">
        <v>419</v>
      </c>
      <c r="E307" s="13" t="s">
        <v>131</v>
      </c>
      <c r="F307" s="13" t="s">
        <v>414</v>
      </c>
      <c r="G307" s="13" t="s">
        <v>415</v>
      </c>
      <c r="H307" s="13" t="s">
        <v>499</v>
      </c>
      <c r="I307" s="13" t="str">
        <f t="shared" si="4"/>
        <v>Electronic accessories</v>
      </c>
      <c r="J307" s="13">
        <v>46.57</v>
      </c>
      <c r="K307" s="13">
        <v>48.898499999999999</v>
      </c>
      <c r="L307" s="13">
        <v>10</v>
      </c>
      <c r="M307" s="13" t="s">
        <v>422</v>
      </c>
      <c r="N307" s="13">
        <v>7.6</v>
      </c>
      <c r="O307" s="13">
        <f>(CATEGORIZATION!$K307-CATEGORIZATION!$J307)</f>
        <v>2.3284999999999982</v>
      </c>
    </row>
    <row r="308" spans="2:15" ht="15.75">
      <c r="B308" s="13" t="s">
        <v>751</v>
      </c>
      <c r="C308" s="76">
        <v>43519</v>
      </c>
      <c r="D308" s="13" t="s">
        <v>419</v>
      </c>
      <c r="E308" s="13" t="s">
        <v>131</v>
      </c>
      <c r="F308" s="13" t="s">
        <v>420</v>
      </c>
      <c r="G308" s="13" t="s">
        <v>494</v>
      </c>
      <c r="H308" s="13" t="s">
        <v>476</v>
      </c>
      <c r="I308" s="13" t="str">
        <f t="shared" si="4"/>
        <v>Food and beverages</v>
      </c>
      <c r="J308" s="13">
        <v>35.89</v>
      </c>
      <c r="K308" s="13">
        <v>37.6845</v>
      </c>
      <c r="L308" s="13">
        <v>1</v>
      </c>
      <c r="M308" s="13" t="s">
        <v>433</v>
      </c>
      <c r="N308" s="13">
        <v>7.9</v>
      </c>
      <c r="O308" s="13">
        <f>(CATEGORIZATION!$K308-CATEGORIZATION!$J308)</f>
        <v>1.7944999999999993</v>
      </c>
    </row>
    <row r="309" spans="2:15" ht="15.75">
      <c r="B309" s="13" t="s">
        <v>752</v>
      </c>
      <c r="C309" s="76">
        <v>43526</v>
      </c>
      <c r="D309" s="13" t="s">
        <v>419</v>
      </c>
      <c r="E309" s="13" t="s">
        <v>131</v>
      </c>
      <c r="F309" s="13" t="s">
        <v>420</v>
      </c>
      <c r="G309" s="13" t="s">
        <v>494</v>
      </c>
      <c r="H309" s="13" t="s">
        <v>476</v>
      </c>
      <c r="I309" s="13" t="str">
        <f t="shared" si="4"/>
        <v>Food and beverages</v>
      </c>
      <c r="J309" s="13">
        <v>40.520000000000003</v>
      </c>
      <c r="K309" s="13">
        <v>42.545999999999999</v>
      </c>
      <c r="L309" s="13">
        <v>5</v>
      </c>
      <c r="M309" s="13" t="s">
        <v>422</v>
      </c>
      <c r="N309" s="13">
        <v>4.5</v>
      </c>
      <c r="O309" s="13">
        <f>(CATEGORIZATION!$K309-CATEGORIZATION!$J309)</f>
        <v>2.0259999999999962</v>
      </c>
    </row>
    <row r="310" spans="2:15" ht="15.75">
      <c r="B310" s="13" t="s">
        <v>753</v>
      </c>
      <c r="C310" s="76">
        <v>43527</v>
      </c>
      <c r="D310" s="13" t="s">
        <v>266</v>
      </c>
      <c r="E310" s="13" t="s">
        <v>135</v>
      </c>
      <c r="F310" s="13" t="s">
        <v>414</v>
      </c>
      <c r="G310" s="13" t="s">
        <v>415</v>
      </c>
      <c r="H310" s="13" t="s">
        <v>476</v>
      </c>
      <c r="I310" s="13" t="str">
        <f t="shared" si="4"/>
        <v>Food and beverages</v>
      </c>
      <c r="J310" s="13">
        <v>73.05</v>
      </c>
      <c r="K310" s="13">
        <v>76.702500000000001</v>
      </c>
      <c r="L310" s="13">
        <v>10</v>
      </c>
      <c r="M310" s="13" t="s">
        <v>433</v>
      </c>
      <c r="N310" s="13">
        <v>8.6999999999999993</v>
      </c>
      <c r="O310" s="13">
        <f>(CATEGORIZATION!$K310-CATEGORIZATION!$J310)</f>
        <v>3.6525000000000034</v>
      </c>
    </row>
    <row r="311" spans="2:15" ht="15.75">
      <c r="B311" s="13" t="s">
        <v>754</v>
      </c>
      <c r="C311" s="76">
        <v>43526</v>
      </c>
      <c r="D311" s="13" t="s">
        <v>419</v>
      </c>
      <c r="E311" s="13" t="s">
        <v>131</v>
      </c>
      <c r="F311" s="13" t="s">
        <v>420</v>
      </c>
      <c r="G311" s="13" t="s">
        <v>415</v>
      </c>
      <c r="H311" s="13" t="s">
        <v>448</v>
      </c>
      <c r="I311" s="13" t="str">
        <f t="shared" si="4"/>
        <v>Sports</v>
      </c>
      <c r="J311" s="13">
        <v>73.95</v>
      </c>
      <c r="K311" s="13">
        <v>77.647499999999994</v>
      </c>
      <c r="L311" s="13">
        <v>4</v>
      </c>
      <c r="M311" s="13" t="s">
        <v>422</v>
      </c>
      <c r="N311" s="13">
        <v>6.1</v>
      </c>
      <c r="O311" s="13">
        <f>(CATEGORIZATION!$K311-CATEGORIZATION!$J311)</f>
        <v>3.6974999999999909</v>
      </c>
    </row>
    <row r="312" spans="2:15" ht="15.75">
      <c r="B312" s="13" t="s">
        <v>755</v>
      </c>
      <c r="C312" s="76">
        <v>43541</v>
      </c>
      <c r="D312" s="13" t="s">
        <v>419</v>
      </c>
      <c r="E312" s="13" t="s">
        <v>131</v>
      </c>
      <c r="F312" s="13" t="s">
        <v>414</v>
      </c>
      <c r="G312" s="13" t="s">
        <v>415</v>
      </c>
      <c r="H312" s="13" t="s">
        <v>476</v>
      </c>
      <c r="I312" s="13" t="str">
        <f t="shared" si="4"/>
        <v>Food and beverages</v>
      </c>
      <c r="J312" s="13">
        <v>22.62</v>
      </c>
      <c r="K312" s="13">
        <v>23.751000000000001</v>
      </c>
      <c r="L312" s="13">
        <v>1</v>
      </c>
      <c r="M312" s="13" t="s">
        <v>422</v>
      </c>
      <c r="N312" s="13">
        <v>6.4</v>
      </c>
      <c r="O312" s="13">
        <f>(CATEGORIZATION!$K312-CATEGORIZATION!$J312)</f>
        <v>1.1310000000000002</v>
      </c>
    </row>
    <row r="313" spans="2:15" ht="15.75">
      <c r="B313" s="13" t="s">
        <v>756</v>
      </c>
      <c r="C313" s="76">
        <v>43552</v>
      </c>
      <c r="D313" s="13" t="s">
        <v>175</v>
      </c>
      <c r="E313" s="13" t="s">
        <v>134</v>
      </c>
      <c r="F313" s="13" t="s">
        <v>414</v>
      </c>
      <c r="G313" s="13" t="s">
        <v>494</v>
      </c>
      <c r="H313" s="13" t="s">
        <v>476</v>
      </c>
      <c r="I313" s="13" t="str">
        <f t="shared" si="4"/>
        <v>Food and beverages</v>
      </c>
      <c r="J313" s="13">
        <v>51.34</v>
      </c>
      <c r="K313" s="13">
        <v>53.907000000000004</v>
      </c>
      <c r="L313" s="13">
        <v>5</v>
      </c>
      <c r="M313" s="13" t="s">
        <v>433</v>
      </c>
      <c r="N313" s="13">
        <v>9.1</v>
      </c>
      <c r="O313" s="13">
        <f>(CATEGORIZATION!$K313-CATEGORIZATION!$J313)</f>
        <v>2.5670000000000002</v>
      </c>
    </row>
    <row r="314" spans="2:15" ht="15.75">
      <c r="B314" s="13" t="s">
        <v>757</v>
      </c>
      <c r="C314" s="76">
        <v>43499</v>
      </c>
      <c r="D314" s="13" t="s">
        <v>419</v>
      </c>
      <c r="E314" s="13" t="s">
        <v>131</v>
      </c>
      <c r="F314" s="13" t="s">
        <v>414</v>
      </c>
      <c r="G314" s="13" t="s">
        <v>415</v>
      </c>
      <c r="H314" s="13" t="s">
        <v>448</v>
      </c>
      <c r="I314" s="13" t="str">
        <f t="shared" si="4"/>
        <v>Sports</v>
      </c>
      <c r="J314" s="13">
        <v>54.55</v>
      </c>
      <c r="K314" s="13">
        <v>57.277499999999996</v>
      </c>
      <c r="L314" s="13">
        <v>10</v>
      </c>
      <c r="M314" s="13" t="s">
        <v>433</v>
      </c>
      <c r="N314" s="13">
        <v>7.1</v>
      </c>
      <c r="O314" s="13">
        <f>(CATEGORIZATION!$K314-CATEGORIZATION!$J314)</f>
        <v>2.7274999999999991</v>
      </c>
    </row>
    <row r="315" spans="2:15" ht="15.75">
      <c r="B315" s="13" t="s">
        <v>758</v>
      </c>
      <c r="C315" s="76">
        <v>43679</v>
      </c>
      <c r="D315" s="13" t="s">
        <v>419</v>
      </c>
      <c r="E315" s="13" t="s">
        <v>131</v>
      </c>
      <c r="F315" s="13" t="s">
        <v>414</v>
      </c>
      <c r="G315" s="13" t="s">
        <v>415</v>
      </c>
      <c r="H315" s="13" t="s">
        <v>442</v>
      </c>
      <c r="I315" s="13" t="str">
        <f t="shared" si="4"/>
        <v>Health and beauty</v>
      </c>
      <c r="J315" s="13">
        <v>37.15</v>
      </c>
      <c r="K315" s="13">
        <v>39.0075</v>
      </c>
      <c r="L315" s="13">
        <v>7</v>
      </c>
      <c r="M315" s="13" t="s">
        <v>433</v>
      </c>
      <c r="N315" s="13">
        <v>7.7</v>
      </c>
      <c r="O315" s="13">
        <f>(CATEGORIZATION!$K315-CATEGORIZATION!$J315)</f>
        <v>1.8575000000000017</v>
      </c>
    </row>
    <row r="316" spans="2:15" ht="15.75">
      <c r="B316" s="13" t="s">
        <v>759</v>
      </c>
      <c r="C316" s="76">
        <v>43546</v>
      </c>
      <c r="D316" s="13" t="s">
        <v>266</v>
      </c>
      <c r="E316" s="13" t="s">
        <v>135</v>
      </c>
      <c r="F316" s="13" t="s">
        <v>420</v>
      </c>
      <c r="G316" s="13" t="s">
        <v>494</v>
      </c>
      <c r="H316" s="13" t="s">
        <v>448</v>
      </c>
      <c r="I316" s="13" t="str">
        <f t="shared" si="4"/>
        <v>Sports</v>
      </c>
      <c r="J316" s="13">
        <v>37.020000000000003</v>
      </c>
      <c r="K316" s="13">
        <v>38.871000000000002</v>
      </c>
      <c r="L316" s="13">
        <v>6</v>
      </c>
      <c r="M316" s="13" t="s">
        <v>422</v>
      </c>
      <c r="N316" s="13">
        <v>4.5</v>
      </c>
      <c r="O316" s="13">
        <f>(CATEGORIZATION!$K316-CATEGORIZATION!$J316)</f>
        <v>1.8509999999999991</v>
      </c>
    </row>
    <row r="317" spans="2:15" ht="15.75">
      <c r="B317" s="13" t="s">
        <v>760</v>
      </c>
      <c r="C317" s="76">
        <v>43710</v>
      </c>
      <c r="D317" s="13" t="s">
        <v>419</v>
      </c>
      <c r="E317" s="13" t="s">
        <v>131</v>
      </c>
      <c r="F317" s="13" t="s">
        <v>420</v>
      </c>
      <c r="G317" s="13" t="s">
        <v>494</v>
      </c>
      <c r="H317" s="13" t="s">
        <v>476</v>
      </c>
      <c r="I317" s="13" t="str">
        <f t="shared" si="4"/>
        <v>Food and beverages</v>
      </c>
      <c r="J317" s="13">
        <v>21.58</v>
      </c>
      <c r="K317" s="13">
        <v>22.658999999999999</v>
      </c>
      <c r="L317" s="13">
        <v>1</v>
      </c>
      <c r="M317" s="13" t="s">
        <v>417</v>
      </c>
      <c r="N317" s="13">
        <v>7.2</v>
      </c>
      <c r="O317" s="13">
        <f>(CATEGORIZATION!$K317-CATEGORIZATION!$J317)</f>
        <v>1.0790000000000006</v>
      </c>
    </row>
    <row r="318" spans="2:15" ht="15.75">
      <c r="B318" s="13" t="s">
        <v>761</v>
      </c>
      <c r="C318" s="76">
        <v>43511</v>
      </c>
      <c r="D318" s="13" t="s">
        <v>419</v>
      </c>
      <c r="E318" s="13" t="s">
        <v>131</v>
      </c>
      <c r="F318" s="13" t="s">
        <v>414</v>
      </c>
      <c r="G318" s="13" t="s">
        <v>415</v>
      </c>
      <c r="H318" s="13" t="s">
        <v>421</v>
      </c>
      <c r="I318" s="13" t="str">
        <f t="shared" si="4"/>
        <v>Electronic accessories</v>
      </c>
      <c r="J318" s="13">
        <v>98.84</v>
      </c>
      <c r="K318" s="13">
        <v>103.782</v>
      </c>
      <c r="L318" s="13">
        <v>1</v>
      </c>
      <c r="M318" s="13" t="s">
        <v>422</v>
      </c>
      <c r="N318" s="13">
        <v>8.4</v>
      </c>
      <c r="O318" s="13">
        <f>(CATEGORIZATION!$K318-CATEGORIZATION!$J318)</f>
        <v>4.9419999999999931</v>
      </c>
    </row>
    <row r="319" spans="2:15" ht="15.75">
      <c r="B319" s="13" t="s">
        <v>762</v>
      </c>
      <c r="C319" s="76">
        <v>43490</v>
      </c>
      <c r="D319" s="13" t="s">
        <v>175</v>
      </c>
      <c r="E319" s="13" t="s">
        <v>134</v>
      </c>
      <c r="F319" s="13" t="s">
        <v>414</v>
      </c>
      <c r="G319" s="13" t="s">
        <v>415</v>
      </c>
      <c r="H319" s="13" t="s">
        <v>448</v>
      </c>
      <c r="I319" s="13" t="str">
        <f t="shared" si="4"/>
        <v>Sports</v>
      </c>
      <c r="J319" s="13">
        <v>40.049999999999997</v>
      </c>
      <c r="K319" s="13">
        <v>42.052500000000002</v>
      </c>
      <c r="L319" s="13">
        <v>4</v>
      </c>
      <c r="M319" s="13" t="s">
        <v>422</v>
      </c>
      <c r="N319" s="13">
        <v>9.6999999999999993</v>
      </c>
      <c r="O319" s="13">
        <f>(CATEGORIZATION!$K319-CATEGORIZATION!$J319)</f>
        <v>2.0025000000000048</v>
      </c>
    </row>
    <row r="320" spans="2:15" ht="15.75">
      <c r="B320" s="13" t="s">
        <v>763</v>
      </c>
      <c r="C320" s="76">
        <v>43554</v>
      </c>
      <c r="D320" s="13" t="s">
        <v>266</v>
      </c>
      <c r="E320" s="13" t="s">
        <v>135</v>
      </c>
      <c r="F320" s="13" t="s">
        <v>414</v>
      </c>
      <c r="G320" s="13" t="s">
        <v>494</v>
      </c>
      <c r="H320" s="13" t="s">
        <v>442</v>
      </c>
      <c r="I320" s="13" t="str">
        <f t="shared" si="4"/>
        <v>Health and beauty</v>
      </c>
      <c r="J320" s="13">
        <v>72.569999999999993</v>
      </c>
      <c r="K320" s="13">
        <v>76.198499999999996</v>
      </c>
      <c r="L320" s="13">
        <v>8</v>
      </c>
      <c r="M320" s="13" t="s">
        <v>422</v>
      </c>
      <c r="N320" s="13">
        <v>4.5999999999999996</v>
      </c>
      <c r="O320" s="13">
        <f>(CATEGORIZATION!$K320-CATEGORIZATION!$J320)</f>
        <v>3.6285000000000025</v>
      </c>
    </row>
    <row r="321" spans="2:15" ht="15.75">
      <c r="B321" s="13" t="s">
        <v>764</v>
      </c>
      <c r="C321" s="76">
        <v>43554</v>
      </c>
      <c r="D321" s="13" t="s">
        <v>175</v>
      </c>
      <c r="E321" s="13" t="s">
        <v>134</v>
      </c>
      <c r="F321" s="13" t="s">
        <v>414</v>
      </c>
      <c r="G321" s="13" t="s">
        <v>415</v>
      </c>
      <c r="H321" s="13" t="s">
        <v>421</v>
      </c>
      <c r="I321" s="13" t="str">
        <f t="shared" si="4"/>
        <v>Electronic accessories</v>
      </c>
      <c r="J321" s="13">
        <v>64.44</v>
      </c>
      <c r="K321" s="13">
        <v>67.662000000000006</v>
      </c>
      <c r="L321" s="13">
        <v>5</v>
      </c>
      <c r="M321" s="13" t="s">
        <v>422</v>
      </c>
      <c r="N321" s="13">
        <v>6.6</v>
      </c>
      <c r="O321" s="13">
        <f>(CATEGORIZATION!$K321-CATEGORIZATION!$J321)</f>
        <v>3.2220000000000084</v>
      </c>
    </row>
    <row r="322" spans="2:15" ht="15.75">
      <c r="B322" s="13" t="s">
        <v>765</v>
      </c>
      <c r="C322" s="76">
        <v>43521</v>
      </c>
      <c r="D322" s="13" t="s">
        <v>175</v>
      </c>
      <c r="E322" s="13" t="s">
        <v>134</v>
      </c>
      <c r="F322" s="13" t="s">
        <v>420</v>
      </c>
      <c r="G322" s="13" t="s">
        <v>494</v>
      </c>
      <c r="H322" s="13" t="s">
        <v>459</v>
      </c>
      <c r="I322" s="13" t="str">
        <f t="shared" si="4"/>
        <v>Health and beauty</v>
      </c>
      <c r="J322" s="13">
        <v>65.180000000000007</v>
      </c>
      <c r="K322" s="13">
        <v>68.439000000000007</v>
      </c>
      <c r="L322" s="13">
        <v>3</v>
      </c>
      <c r="M322" s="13" t="s">
        <v>433</v>
      </c>
      <c r="N322" s="13">
        <v>6.3</v>
      </c>
      <c r="O322" s="13">
        <f>(CATEGORIZATION!$K322-CATEGORIZATION!$J322)</f>
        <v>3.2590000000000003</v>
      </c>
    </row>
    <row r="323" spans="2:15" ht="15.75">
      <c r="B323" s="13" t="s">
        <v>766</v>
      </c>
      <c r="C323" s="76">
        <v>43542</v>
      </c>
      <c r="D323" s="13" t="s">
        <v>175</v>
      </c>
      <c r="E323" s="13" t="s">
        <v>134</v>
      </c>
      <c r="F323" s="13" t="s">
        <v>420</v>
      </c>
      <c r="G323" s="13" t="s">
        <v>415</v>
      </c>
      <c r="H323" s="13" t="s">
        <v>463</v>
      </c>
      <c r="I323" s="13" t="str">
        <f t="shared" si="4"/>
        <v>Sports</v>
      </c>
      <c r="J323" s="13">
        <v>33.26</v>
      </c>
      <c r="K323" s="13">
        <v>34.923000000000002</v>
      </c>
      <c r="L323" s="13">
        <v>5</v>
      </c>
      <c r="M323" s="13" t="s">
        <v>433</v>
      </c>
      <c r="N323" s="13">
        <v>4.2</v>
      </c>
      <c r="O323" s="13">
        <f>(CATEGORIZATION!$K323-CATEGORIZATION!$J323)</f>
        <v>1.6630000000000038</v>
      </c>
    </row>
    <row r="324" spans="2:15" ht="15.75">
      <c r="B324" s="13" t="s">
        <v>767</v>
      </c>
      <c r="C324" s="76">
        <v>43649</v>
      </c>
      <c r="D324" s="13" t="s">
        <v>419</v>
      </c>
      <c r="E324" s="13" t="s">
        <v>131</v>
      </c>
      <c r="F324" s="13" t="s">
        <v>420</v>
      </c>
      <c r="G324" s="13" t="s">
        <v>494</v>
      </c>
      <c r="H324" s="13" t="s">
        <v>421</v>
      </c>
      <c r="I324" s="13" t="str">
        <f t="shared" ref="I324:I387" si="5">VLOOKUP(H324,$R$5:$S$32,2,FALSE)</f>
        <v>Electronic accessories</v>
      </c>
      <c r="J324" s="13">
        <v>84.07</v>
      </c>
      <c r="K324" s="13">
        <v>88.273499999999999</v>
      </c>
      <c r="L324" s="13">
        <v>4</v>
      </c>
      <c r="M324" s="13" t="s">
        <v>417</v>
      </c>
      <c r="N324" s="13">
        <v>4.4000000000000004</v>
      </c>
      <c r="O324" s="13">
        <f>(CATEGORIZATION!$K324-CATEGORIZATION!$J324)</f>
        <v>4.2035000000000053</v>
      </c>
    </row>
    <row r="325" spans="2:15" ht="15.75">
      <c r="B325" s="13" t="s">
        <v>768</v>
      </c>
      <c r="C325" s="76">
        <v>43540</v>
      </c>
      <c r="D325" s="13" t="s">
        <v>266</v>
      </c>
      <c r="E325" s="13" t="s">
        <v>135</v>
      </c>
      <c r="F325" s="13" t="s">
        <v>420</v>
      </c>
      <c r="G325" s="13" t="s">
        <v>494</v>
      </c>
      <c r="H325" s="13" t="s">
        <v>426</v>
      </c>
      <c r="I325" s="13" t="str">
        <f t="shared" si="5"/>
        <v>Sports</v>
      </c>
      <c r="J325" s="13">
        <v>34.369999999999997</v>
      </c>
      <c r="K325" s="13">
        <v>36.088499999999996</v>
      </c>
      <c r="L325" s="13">
        <v>10</v>
      </c>
      <c r="M325" s="13" t="s">
        <v>417</v>
      </c>
      <c r="N325" s="13">
        <v>6.7</v>
      </c>
      <c r="O325" s="13">
        <f>(CATEGORIZATION!$K325-CATEGORIZATION!$J325)</f>
        <v>1.7184999999999988</v>
      </c>
    </row>
    <row r="326" spans="2:15" ht="15.75">
      <c r="B326" s="13" t="s">
        <v>769</v>
      </c>
      <c r="C326" s="76">
        <v>43494</v>
      </c>
      <c r="D326" s="13" t="s">
        <v>175</v>
      </c>
      <c r="E326" s="13" t="s">
        <v>134</v>
      </c>
      <c r="F326" s="13" t="s">
        <v>420</v>
      </c>
      <c r="G326" s="13" t="s">
        <v>494</v>
      </c>
      <c r="H326" s="13" t="s">
        <v>421</v>
      </c>
      <c r="I326" s="13" t="str">
        <f t="shared" si="5"/>
        <v>Electronic accessories</v>
      </c>
      <c r="J326" s="13">
        <v>38.6</v>
      </c>
      <c r="K326" s="13">
        <v>40.53</v>
      </c>
      <c r="L326" s="13">
        <v>1</v>
      </c>
      <c r="M326" s="13" t="s">
        <v>417</v>
      </c>
      <c r="N326" s="13">
        <v>6.7</v>
      </c>
      <c r="O326" s="13">
        <f>(CATEGORIZATION!$K326-CATEGORIZATION!$J326)</f>
        <v>1.9299999999999997</v>
      </c>
    </row>
    <row r="327" spans="2:15" ht="15.75">
      <c r="B327" s="13" t="s">
        <v>770</v>
      </c>
      <c r="C327" s="76">
        <v>43498</v>
      </c>
      <c r="D327" s="13" t="s">
        <v>419</v>
      </c>
      <c r="E327" s="13" t="s">
        <v>131</v>
      </c>
      <c r="F327" s="13" t="s">
        <v>420</v>
      </c>
      <c r="G327" s="13" t="s">
        <v>494</v>
      </c>
      <c r="H327" s="13" t="s">
        <v>476</v>
      </c>
      <c r="I327" s="13" t="str">
        <f t="shared" si="5"/>
        <v>Food and beverages</v>
      </c>
      <c r="J327" s="13">
        <v>65.97</v>
      </c>
      <c r="K327" s="13">
        <v>69.268500000000003</v>
      </c>
      <c r="L327" s="13">
        <v>8</v>
      </c>
      <c r="M327" s="13" t="s">
        <v>422</v>
      </c>
      <c r="N327" s="13">
        <v>8.4</v>
      </c>
      <c r="O327" s="13">
        <f>(CATEGORIZATION!$K327-CATEGORIZATION!$J327)</f>
        <v>3.2985000000000042</v>
      </c>
    </row>
    <row r="328" spans="2:15" ht="15.75">
      <c r="B328" s="13" t="s">
        <v>771</v>
      </c>
      <c r="C328" s="76">
        <v>43511</v>
      </c>
      <c r="D328" s="13" t="s">
        <v>419</v>
      </c>
      <c r="E328" s="13" t="s">
        <v>131</v>
      </c>
      <c r="F328" s="13" t="s">
        <v>420</v>
      </c>
      <c r="G328" s="13" t="s">
        <v>415</v>
      </c>
      <c r="H328" s="13" t="s">
        <v>421</v>
      </c>
      <c r="I328" s="13" t="str">
        <f t="shared" si="5"/>
        <v>Electronic accessories</v>
      </c>
      <c r="J328" s="13">
        <v>32.799999999999997</v>
      </c>
      <c r="K328" s="13">
        <v>34.44</v>
      </c>
      <c r="L328" s="13">
        <v>10</v>
      </c>
      <c r="M328" s="13" t="s">
        <v>422</v>
      </c>
      <c r="N328" s="13">
        <v>6.2</v>
      </c>
      <c r="O328" s="13">
        <f>(CATEGORIZATION!$K328-CATEGORIZATION!$J328)</f>
        <v>1.6400000000000006</v>
      </c>
    </row>
    <row r="329" spans="2:15" ht="15.75">
      <c r="B329" s="13" t="s">
        <v>772</v>
      </c>
      <c r="C329" s="76">
        <v>43678</v>
      </c>
      <c r="D329" s="13" t="s">
        <v>175</v>
      </c>
      <c r="E329" s="13" t="s">
        <v>134</v>
      </c>
      <c r="F329" s="13" t="s">
        <v>420</v>
      </c>
      <c r="G329" s="13" t="s">
        <v>494</v>
      </c>
      <c r="H329" s="13" t="s">
        <v>455</v>
      </c>
      <c r="I329" s="13" t="str">
        <f t="shared" si="5"/>
        <v>Sports</v>
      </c>
      <c r="J329" s="13">
        <v>37.14</v>
      </c>
      <c r="K329" s="13">
        <v>38.997</v>
      </c>
      <c r="L329" s="13">
        <v>5</v>
      </c>
      <c r="M329" s="13" t="s">
        <v>417</v>
      </c>
      <c r="N329" s="13">
        <v>5</v>
      </c>
      <c r="O329" s="13">
        <f>(CATEGORIZATION!$K329-CATEGORIZATION!$J329)</f>
        <v>1.8569999999999993</v>
      </c>
    </row>
    <row r="330" spans="2:15" ht="15.75">
      <c r="B330" s="13" t="s">
        <v>773</v>
      </c>
      <c r="C330" s="76">
        <v>43466</v>
      </c>
      <c r="D330" s="13" t="s">
        <v>419</v>
      </c>
      <c r="E330" s="13" t="s">
        <v>131</v>
      </c>
      <c r="F330" s="13" t="s">
        <v>414</v>
      </c>
      <c r="G330" s="13" t="s">
        <v>415</v>
      </c>
      <c r="H330" s="13" t="s">
        <v>455</v>
      </c>
      <c r="I330" s="13" t="str">
        <f t="shared" si="5"/>
        <v>Sports</v>
      </c>
      <c r="J330" s="13">
        <v>36.979999999999997</v>
      </c>
      <c r="K330" s="13">
        <v>38.829000000000001</v>
      </c>
      <c r="L330" s="13">
        <v>10</v>
      </c>
      <c r="M330" s="13" t="s">
        <v>433</v>
      </c>
      <c r="N330" s="13">
        <v>7</v>
      </c>
      <c r="O330" s="13">
        <f>(CATEGORIZATION!$K330-CATEGORIZATION!$J330)</f>
        <v>1.8490000000000038</v>
      </c>
    </row>
    <row r="331" spans="2:15" ht="15.75">
      <c r="B331" s="13" t="s">
        <v>774</v>
      </c>
      <c r="C331" s="76">
        <v>43545</v>
      </c>
      <c r="D331" s="13" t="s">
        <v>266</v>
      </c>
      <c r="E331" s="13" t="s">
        <v>135</v>
      </c>
      <c r="F331" s="13" t="s">
        <v>414</v>
      </c>
      <c r="G331" s="13" t="s">
        <v>415</v>
      </c>
      <c r="H331" s="13" t="s">
        <v>444</v>
      </c>
      <c r="I331" s="13" t="str">
        <f t="shared" si="5"/>
        <v>Sports</v>
      </c>
      <c r="J331" s="13">
        <v>49.49</v>
      </c>
      <c r="K331" s="13">
        <v>51.964500000000001</v>
      </c>
      <c r="L331" s="13">
        <v>4</v>
      </c>
      <c r="M331" s="13" t="s">
        <v>417</v>
      </c>
      <c r="N331" s="13">
        <v>6.6</v>
      </c>
      <c r="O331" s="13">
        <f>(CATEGORIZATION!$K331-CATEGORIZATION!$J331)</f>
        <v>2.474499999999999</v>
      </c>
    </row>
    <row r="332" spans="2:15" ht="15.75">
      <c r="B332" s="13" t="s">
        <v>775</v>
      </c>
      <c r="C332" s="76">
        <v>43588</v>
      </c>
      <c r="D332" s="13" t="s">
        <v>266</v>
      </c>
      <c r="E332" s="13" t="s">
        <v>135</v>
      </c>
      <c r="F332" s="13" t="s">
        <v>414</v>
      </c>
      <c r="G332" s="13" t="s">
        <v>415</v>
      </c>
      <c r="H332" s="13" t="s">
        <v>459</v>
      </c>
      <c r="I332" s="13" t="str">
        <f t="shared" si="5"/>
        <v>Health and beauty</v>
      </c>
      <c r="J332" s="13">
        <v>25.32</v>
      </c>
      <c r="K332" s="13">
        <v>26.585999999999999</v>
      </c>
      <c r="L332" s="13">
        <v>8</v>
      </c>
      <c r="M332" s="13" t="s">
        <v>417</v>
      </c>
      <c r="N332" s="13">
        <v>8.6999999999999993</v>
      </c>
      <c r="O332" s="13">
        <f>(CATEGORIZATION!$K332-CATEGORIZATION!$J332)</f>
        <v>1.2659999999999982</v>
      </c>
    </row>
    <row r="333" spans="2:15" ht="15.75">
      <c r="B333" s="13" t="s">
        <v>776</v>
      </c>
      <c r="C333" s="76">
        <v>43544</v>
      </c>
      <c r="D333" s="13" t="s">
        <v>266</v>
      </c>
      <c r="E333" s="13" t="s">
        <v>135</v>
      </c>
      <c r="F333" s="13" t="s">
        <v>420</v>
      </c>
      <c r="G333" s="13" t="s">
        <v>494</v>
      </c>
      <c r="H333" s="13" t="s">
        <v>455</v>
      </c>
      <c r="I333" s="13" t="str">
        <f t="shared" si="5"/>
        <v>Sports</v>
      </c>
      <c r="J333" s="13">
        <v>75.92</v>
      </c>
      <c r="K333" s="13">
        <v>79.715999999999994</v>
      </c>
      <c r="L333" s="13">
        <v>8</v>
      </c>
      <c r="M333" s="13" t="s">
        <v>422</v>
      </c>
      <c r="N333" s="13">
        <v>5.5</v>
      </c>
      <c r="O333" s="13">
        <f>(CATEGORIZATION!$K333-CATEGORIZATION!$J333)</f>
        <v>3.7959999999999923</v>
      </c>
    </row>
    <row r="334" spans="2:15" ht="15.75">
      <c r="B334" s="13" t="s">
        <v>777</v>
      </c>
      <c r="C334" s="76">
        <v>43466</v>
      </c>
      <c r="D334" s="13" t="s">
        <v>419</v>
      </c>
      <c r="E334" s="13" t="s">
        <v>131</v>
      </c>
      <c r="F334" s="13" t="s">
        <v>420</v>
      </c>
      <c r="G334" s="13" t="s">
        <v>415</v>
      </c>
      <c r="H334" s="13" t="s">
        <v>421</v>
      </c>
      <c r="I334" s="13" t="str">
        <f t="shared" si="5"/>
        <v>Electronic accessories</v>
      </c>
      <c r="J334" s="13">
        <v>63.22</v>
      </c>
      <c r="K334" s="13">
        <v>66.381</v>
      </c>
      <c r="L334" s="13">
        <v>2</v>
      </c>
      <c r="M334" s="13" t="s">
        <v>422</v>
      </c>
      <c r="N334" s="13">
        <v>8.5</v>
      </c>
      <c r="O334" s="13">
        <f>(CATEGORIZATION!$K334-CATEGORIZATION!$J334)</f>
        <v>3.1610000000000014</v>
      </c>
    </row>
    <row r="335" spans="2:15" ht="15.75">
      <c r="B335" s="13" t="s">
        <v>778</v>
      </c>
      <c r="C335" s="76">
        <v>43492</v>
      </c>
      <c r="D335" s="13" t="s">
        <v>419</v>
      </c>
      <c r="E335" s="13" t="s">
        <v>131</v>
      </c>
      <c r="F335" s="13" t="s">
        <v>420</v>
      </c>
      <c r="G335" s="13" t="s">
        <v>415</v>
      </c>
      <c r="H335" s="13" t="s">
        <v>476</v>
      </c>
      <c r="I335" s="13" t="str">
        <f t="shared" si="5"/>
        <v>Food and beverages</v>
      </c>
      <c r="J335" s="13">
        <v>90.24</v>
      </c>
      <c r="K335" s="13">
        <v>94.751999999999995</v>
      </c>
      <c r="L335" s="13">
        <v>6</v>
      </c>
      <c r="M335" s="13" t="s">
        <v>422</v>
      </c>
      <c r="N335" s="13">
        <v>6.2</v>
      </c>
      <c r="O335" s="13">
        <f>(CATEGORIZATION!$K335-CATEGORIZATION!$J335)</f>
        <v>4.5120000000000005</v>
      </c>
    </row>
    <row r="336" spans="2:15" ht="15.75">
      <c r="B336" s="13" t="s">
        <v>779</v>
      </c>
      <c r="C336" s="76">
        <v>43486</v>
      </c>
      <c r="D336" s="13" t="s">
        <v>266</v>
      </c>
      <c r="E336" s="13" t="s">
        <v>135</v>
      </c>
      <c r="F336" s="13" t="s">
        <v>414</v>
      </c>
      <c r="G336" s="13" t="s">
        <v>415</v>
      </c>
      <c r="H336" s="13" t="s">
        <v>455</v>
      </c>
      <c r="I336" s="13" t="str">
        <f t="shared" si="5"/>
        <v>Sports</v>
      </c>
      <c r="J336" s="13">
        <v>98.13</v>
      </c>
      <c r="K336" s="13">
        <v>103.0365</v>
      </c>
      <c r="L336" s="13">
        <v>1</v>
      </c>
      <c r="M336" s="13" t="s">
        <v>422</v>
      </c>
      <c r="N336" s="13">
        <v>8.9</v>
      </c>
      <c r="O336" s="13">
        <f>(CATEGORIZATION!$K336-CATEGORIZATION!$J336)</f>
        <v>4.9065000000000083</v>
      </c>
    </row>
    <row r="337" spans="2:15" ht="15.75">
      <c r="B337" s="13" t="s">
        <v>780</v>
      </c>
      <c r="C337" s="76">
        <v>43498</v>
      </c>
      <c r="D337" s="13" t="s">
        <v>175</v>
      </c>
      <c r="E337" s="13" t="s">
        <v>134</v>
      </c>
      <c r="F337" s="13" t="s">
        <v>414</v>
      </c>
      <c r="G337" s="13" t="s">
        <v>415</v>
      </c>
      <c r="H337" s="13" t="s">
        <v>455</v>
      </c>
      <c r="I337" s="13" t="str">
        <f t="shared" si="5"/>
        <v>Sports</v>
      </c>
      <c r="J337" s="13">
        <v>51.52</v>
      </c>
      <c r="K337" s="13">
        <v>54.095999999999997</v>
      </c>
      <c r="L337" s="13">
        <v>8</v>
      </c>
      <c r="M337" s="13" t="s">
        <v>422</v>
      </c>
      <c r="N337" s="13">
        <v>9.6</v>
      </c>
      <c r="O337" s="13">
        <f>(CATEGORIZATION!$K337-CATEGORIZATION!$J337)</f>
        <v>2.5759999999999934</v>
      </c>
    </row>
    <row r="338" spans="2:15" ht="15.75">
      <c r="B338" s="13" t="s">
        <v>781</v>
      </c>
      <c r="C338" s="76">
        <v>43526</v>
      </c>
      <c r="D338" s="13" t="s">
        <v>266</v>
      </c>
      <c r="E338" s="13" t="s">
        <v>135</v>
      </c>
      <c r="F338" s="13" t="s">
        <v>414</v>
      </c>
      <c r="G338" s="13" t="s">
        <v>494</v>
      </c>
      <c r="H338" s="13" t="s">
        <v>426</v>
      </c>
      <c r="I338" s="13" t="str">
        <f t="shared" si="5"/>
        <v>Sports</v>
      </c>
      <c r="J338" s="13">
        <v>73.97</v>
      </c>
      <c r="K338" s="13">
        <v>77.668499999999995</v>
      </c>
      <c r="L338" s="13">
        <v>1</v>
      </c>
      <c r="M338" s="13" t="s">
        <v>433</v>
      </c>
      <c r="N338" s="13">
        <v>5.4</v>
      </c>
      <c r="O338" s="13">
        <f>(CATEGORIZATION!$K338-CATEGORIZATION!$J338)</f>
        <v>3.6984999999999957</v>
      </c>
    </row>
    <row r="339" spans="2:15" ht="15.75">
      <c r="B339" s="13" t="s">
        <v>782</v>
      </c>
      <c r="C339" s="76">
        <v>43549</v>
      </c>
      <c r="D339" s="13" t="s">
        <v>266</v>
      </c>
      <c r="E339" s="13" t="s">
        <v>135</v>
      </c>
      <c r="F339" s="13" t="s">
        <v>420</v>
      </c>
      <c r="G339" s="13" t="s">
        <v>415</v>
      </c>
      <c r="H339" s="13" t="s">
        <v>455</v>
      </c>
      <c r="I339" s="13" t="str">
        <f t="shared" si="5"/>
        <v>Sports</v>
      </c>
      <c r="J339" s="13">
        <v>93.31</v>
      </c>
      <c r="K339" s="13">
        <v>97.975499999999997</v>
      </c>
      <c r="L339" s="13">
        <v>2</v>
      </c>
      <c r="M339" s="13" t="s">
        <v>422</v>
      </c>
      <c r="N339" s="13">
        <v>6.3</v>
      </c>
      <c r="O339" s="13">
        <f>(CATEGORIZATION!$K339-CATEGORIZATION!$J339)</f>
        <v>4.6654999999999944</v>
      </c>
    </row>
    <row r="340" spans="2:15" ht="15.75">
      <c r="B340" s="13" t="s">
        <v>783</v>
      </c>
      <c r="C340" s="76">
        <v>43521</v>
      </c>
      <c r="D340" s="13" t="s">
        <v>266</v>
      </c>
      <c r="E340" s="13" t="s">
        <v>135</v>
      </c>
      <c r="F340" s="13" t="s">
        <v>420</v>
      </c>
      <c r="G340" s="13" t="s">
        <v>494</v>
      </c>
      <c r="H340" s="13" t="s">
        <v>455</v>
      </c>
      <c r="I340" s="13" t="str">
        <f t="shared" si="5"/>
        <v>Sports</v>
      </c>
      <c r="J340" s="13">
        <v>88.45</v>
      </c>
      <c r="K340" s="13">
        <v>92.872500000000002</v>
      </c>
      <c r="L340" s="13">
        <v>1</v>
      </c>
      <c r="M340" s="13" t="s">
        <v>433</v>
      </c>
      <c r="N340" s="13">
        <v>9.5</v>
      </c>
      <c r="O340" s="13">
        <f>(CATEGORIZATION!$K340-CATEGORIZATION!$J340)</f>
        <v>4.4224999999999994</v>
      </c>
    </row>
    <row r="341" spans="2:15" ht="15.75">
      <c r="B341" s="13" t="s">
        <v>784</v>
      </c>
      <c r="C341" s="76">
        <v>43493</v>
      </c>
      <c r="D341" s="13" t="s">
        <v>175</v>
      </c>
      <c r="E341" s="13" t="s">
        <v>134</v>
      </c>
      <c r="F341" s="13" t="s">
        <v>414</v>
      </c>
      <c r="G341" s="13" t="s">
        <v>494</v>
      </c>
      <c r="H341" s="13" t="s">
        <v>421</v>
      </c>
      <c r="I341" s="13" t="str">
        <f t="shared" si="5"/>
        <v>Electronic accessories</v>
      </c>
      <c r="J341" s="13">
        <v>24.18</v>
      </c>
      <c r="K341" s="13">
        <v>25.388999999999999</v>
      </c>
      <c r="L341" s="13">
        <v>8</v>
      </c>
      <c r="M341" s="13" t="s">
        <v>417</v>
      </c>
      <c r="N341" s="13">
        <v>9.8000000000000007</v>
      </c>
      <c r="O341" s="13">
        <f>(CATEGORIZATION!$K341-CATEGORIZATION!$J341)</f>
        <v>1.2089999999999996</v>
      </c>
    </row>
    <row r="342" spans="2:15" ht="15.75">
      <c r="B342" s="13" t="s">
        <v>785</v>
      </c>
      <c r="C342" s="76">
        <v>43678</v>
      </c>
      <c r="D342" s="13" t="s">
        <v>266</v>
      </c>
      <c r="E342" s="13" t="s">
        <v>135</v>
      </c>
      <c r="F342" s="13" t="s">
        <v>414</v>
      </c>
      <c r="G342" s="13" t="s">
        <v>415</v>
      </c>
      <c r="H342" s="13" t="s">
        <v>455</v>
      </c>
      <c r="I342" s="13" t="str">
        <f t="shared" si="5"/>
        <v>Sports</v>
      </c>
      <c r="J342" s="13">
        <v>48.5</v>
      </c>
      <c r="K342" s="13">
        <v>50.925000000000004</v>
      </c>
      <c r="L342" s="13">
        <v>3</v>
      </c>
      <c r="M342" s="13" t="s">
        <v>422</v>
      </c>
      <c r="N342" s="13">
        <v>6.7</v>
      </c>
      <c r="O342" s="13">
        <f>(CATEGORIZATION!$K342-CATEGORIZATION!$J342)</f>
        <v>2.4250000000000043</v>
      </c>
    </row>
    <row r="343" spans="2:15" ht="15.75">
      <c r="B343" s="13" t="s">
        <v>786</v>
      </c>
      <c r="C343" s="76">
        <v>43494</v>
      </c>
      <c r="D343" s="13" t="s">
        <v>266</v>
      </c>
      <c r="E343" s="13" t="s">
        <v>135</v>
      </c>
      <c r="F343" s="13" t="s">
        <v>420</v>
      </c>
      <c r="G343" s="13" t="s">
        <v>415</v>
      </c>
      <c r="H343" s="13" t="s">
        <v>476</v>
      </c>
      <c r="I343" s="13" t="str">
        <f t="shared" si="5"/>
        <v>Food and beverages</v>
      </c>
      <c r="J343" s="13">
        <v>84.05</v>
      </c>
      <c r="K343" s="13">
        <v>88.252499999999998</v>
      </c>
      <c r="L343" s="13">
        <v>6</v>
      </c>
      <c r="M343" s="13" t="s">
        <v>433</v>
      </c>
      <c r="N343" s="13">
        <v>7.7</v>
      </c>
      <c r="O343" s="13">
        <f>(CATEGORIZATION!$K343-CATEGORIZATION!$J343)</f>
        <v>4.2025000000000006</v>
      </c>
    </row>
    <row r="344" spans="2:15" ht="15.75">
      <c r="B344" s="13" t="s">
        <v>787</v>
      </c>
      <c r="C344" s="76">
        <v>43553</v>
      </c>
      <c r="D344" s="13" t="s">
        <v>266</v>
      </c>
      <c r="E344" s="13" t="s">
        <v>135</v>
      </c>
      <c r="F344" s="13" t="s">
        <v>414</v>
      </c>
      <c r="G344" s="13" t="s">
        <v>494</v>
      </c>
      <c r="H344" s="13" t="s">
        <v>459</v>
      </c>
      <c r="I344" s="13" t="str">
        <f t="shared" si="5"/>
        <v>Health and beauty</v>
      </c>
      <c r="J344" s="13">
        <v>61.29</v>
      </c>
      <c r="K344" s="13">
        <v>64.354500000000002</v>
      </c>
      <c r="L344" s="13">
        <v>5</v>
      </c>
      <c r="M344" s="13" t="s">
        <v>422</v>
      </c>
      <c r="N344" s="13">
        <v>7</v>
      </c>
      <c r="O344" s="13">
        <f>(CATEGORIZATION!$K344-CATEGORIZATION!$J344)</f>
        <v>3.0645000000000024</v>
      </c>
    </row>
    <row r="345" spans="2:15" ht="15.75">
      <c r="B345" s="13" t="s">
        <v>788</v>
      </c>
      <c r="C345" s="76">
        <v>43481</v>
      </c>
      <c r="D345" s="13" t="s">
        <v>266</v>
      </c>
      <c r="E345" s="13" t="s">
        <v>135</v>
      </c>
      <c r="F345" s="13" t="s">
        <v>414</v>
      </c>
      <c r="G345" s="13" t="s">
        <v>415</v>
      </c>
      <c r="H345" s="13" t="s">
        <v>455</v>
      </c>
      <c r="I345" s="13" t="str">
        <f t="shared" si="5"/>
        <v>Sports</v>
      </c>
      <c r="J345" s="13">
        <v>90.74</v>
      </c>
      <c r="K345" s="13">
        <v>95.277000000000001</v>
      </c>
      <c r="L345" s="13">
        <v>7</v>
      </c>
      <c r="M345" s="13" t="s">
        <v>433</v>
      </c>
      <c r="N345" s="13">
        <v>6.2</v>
      </c>
      <c r="O345" s="13">
        <f>(CATEGORIZATION!$K345-CATEGORIZATION!$J345)</f>
        <v>4.5370000000000061</v>
      </c>
    </row>
    <row r="346" spans="2:15" ht="15.75">
      <c r="B346" s="13" t="s">
        <v>789</v>
      </c>
      <c r="C346" s="76">
        <v>43538</v>
      </c>
      <c r="D346" s="13" t="s">
        <v>175</v>
      </c>
      <c r="E346" s="13" t="s">
        <v>134</v>
      </c>
      <c r="F346" s="13" t="s">
        <v>420</v>
      </c>
      <c r="G346" s="13" t="s">
        <v>494</v>
      </c>
      <c r="H346" s="13" t="s">
        <v>421</v>
      </c>
      <c r="I346" s="13" t="str">
        <f t="shared" si="5"/>
        <v>Electronic accessories</v>
      </c>
      <c r="J346" s="13">
        <v>99.55</v>
      </c>
      <c r="K346" s="13">
        <v>104.5275</v>
      </c>
      <c r="L346" s="13">
        <v>7</v>
      </c>
      <c r="M346" s="13" t="s">
        <v>422</v>
      </c>
      <c r="N346" s="13">
        <v>7.6</v>
      </c>
      <c r="O346" s="13">
        <f>(CATEGORIZATION!$K346-CATEGORIZATION!$J346)</f>
        <v>4.9775000000000063</v>
      </c>
    </row>
    <row r="347" spans="2:15" ht="15.75">
      <c r="B347" s="13" t="s">
        <v>790</v>
      </c>
      <c r="C347" s="76">
        <v>43519</v>
      </c>
      <c r="D347" s="13" t="s">
        <v>419</v>
      </c>
      <c r="E347" s="13" t="s">
        <v>131</v>
      </c>
      <c r="F347" s="13" t="s">
        <v>414</v>
      </c>
      <c r="G347" s="13" t="s">
        <v>494</v>
      </c>
      <c r="H347" s="13" t="s">
        <v>455</v>
      </c>
      <c r="I347" s="13" t="str">
        <f t="shared" si="5"/>
        <v>Sports</v>
      </c>
      <c r="J347" s="13">
        <v>58.39</v>
      </c>
      <c r="K347" s="13">
        <v>61.3095</v>
      </c>
      <c r="L347" s="13">
        <v>7</v>
      </c>
      <c r="M347" s="13" t="s">
        <v>433</v>
      </c>
      <c r="N347" s="13">
        <v>8.1999999999999993</v>
      </c>
      <c r="O347" s="13">
        <f>(CATEGORIZATION!$K347-CATEGORIZATION!$J347)</f>
        <v>2.9194999999999993</v>
      </c>
    </row>
    <row r="348" spans="2:15" ht="15.75">
      <c r="B348" s="13" t="s">
        <v>791</v>
      </c>
      <c r="C348" s="76">
        <v>43553</v>
      </c>
      <c r="D348" s="13" t="s">
        <v>266</v>
      </c>
      <c r="E348" s="13" t="s">
        <v>135</v>
      </c>
      <c r="F348" s="13" t="s">
        <v>414</v>
      </c>
      <c r="G348" s="13" t="s">
        <v>494</v>
      </c>
      <c r="H348" s="13" t="s">
        <v>465</v>
      </c>
      <c r="I348" s="13" t="str">
        <f t="shared" si="5"/>
        <v>Health and beauty</v>
      </c>
      <c r="J348" s="13">
        <v>54.86</v>
      </c>
      <c r="K348" s="13">
        <v>57.602999999999994</v>
      </c>
      <c r="L348" s="13">
        <v>5</v>
      </c>
      <c r="M348" s="13" t="s">
        <v>417</v>
      </c>
      <c r="N348" s="13">
        <v>9.8000000000000007</v>
      </c>
      <c r="O348" s="13">
        <f>(CATEGORIZATION!$K348-CATEGORIZATION!$J348)</f>
        <v>2.742999999999995</v>
      </c>
    </row>
    <row r="349" spans="2:15" ht="15.75">
      <c r="B349" s="13" t="s">
        <v>792</v>
      </c>
      <c r="C349" s="76">
        <v>43482</v>
      </c>
      <c r="D349" s="13" t="s">
        <v>419</v>
      </c>
      <c r="E349" s="13" t="s">
        <v>131</v>
      </c>
      <c r="F349" s="13" t="s">
        <v>414</v>
      </c>
      <c r="G349" s="13" t="s">
        <v>494</v>
      </c>
      <c r="H349" s="13" t="s">
        <v>455</v>
      </c>
      <c r="I349" s="13" t="str">
        <f t="shared" si="5"/>
        <v>Sports</v>
      </c>
      <c r="J349" s="13">
        <v>71.92</v>
      </c>
      <c r="K349" s="13">
        <v>75.515999999999991</v>
      </c>
      <c r="L349" s="13">
        <v>5</v>
      </c>
      <c r="M349" s="13" t="s">
        <v>433</v>
      </c>
      <c r="N349" s="13">
        <v>4.3</v>
      </c>
      <c r="O349" s="13">
        <f>(CATEGORIZATION!$K349-CATEGORIZATION!$J349)</f>
        <v>3.5959999999999894</v>
      </c>
    </row>
    <row r="350" spans="2:15" ht="15.75">
      <c r="B350" s="13" t="s">
        <v>793</v>
      </c>
      <c r="C350" s="76">
        <v>43550</v>
      </c>
      <c r="D350" s="13" t="s">
        <v>266</v>
      </c>
      <c r="E350" s="13" t="s">
        <v>135</v>
      </c>
      <c r="F350" s="13" t="s">
        <v>420</v>
      </c>
      <c r="G350" s="13" t="s">
        <v>415</v>
      </c>
      <c r="H350" s="13" t="s">
        <v>499</v>
      </c>
      <c r="I350" s="13" t="str">
        <f t="shared" si="5"/>
        <v>Electronic accessories</v>
      </c>
      <c r="J350" s="13">
        <v>45.71</v>
      </c>
      <c r="K350" s="13">
        <v>47.9955</v>
      </c>
      <c r="L350" s="13">
        <v>3</v>
      </c>
      <c r="M350" s="13" t="s">
        <v>433</v>
      </c>
      <c r="N350" s="13">
        <v>7.7</v>
      </c>
      <c r="O350" s="13">
        <f>(CATEGORIZATION!$K350-CATEGORIZATION!$J350)</f>
        <v>2.285499999999999</v>
      </c>
    </row>
    <row r="351" spans="2:15" ht="15.75">
      <c r="B351" s="13" t="s">
        <v>794</v>
      </c>
      <c r="C351" s="76">
        <v>43466</v>
      </c>
      <c r="D351" s="13" t="s">
        <v>419</v>
      </c>
      <c r="E351" s="13" t="s">
        <v>131</v>
      </c>
      <c r="F351" s="13" t="s">
        <v>420</v>
      </c>
      <c r="G351" s="13" t="s">
        <v>494</v>
      </c>
      <c r="H351" s="13" t="s">
        <v>465</v>
      </c>
      <c r="I351" s="13" t="str">
        <f t="shared" si="5"/>
        <v>Health and beauty</v>
      </c>
      <c r="J351" s="13">
        <v>62.87</v>
      </c>
      <c r="K351" s="13">
        <v>66.013499999999993</v>
      </c>
      <c r="L351" s="13">
        <v>2</v>
      </c>
      <c r="M351" s="13" t="s">
        <v>422</v>
      </c>
      <c r="N351" s="13">
        <v>5</v>
      </c>
      <c r="O351" s="13">
        <f>(CATEGORIZATION!$K351-CATEGORIZATION!$J351)</f>
        <v>3.143499999999996</v>
      </c>
    </row>
    <row r="352" spans="2:15" ht="15.75">
      <c r="B352" s="13" t="s">
        <v>795</v>
      </c>
      <c r="C352" s="76">
        <v>43492</v>
      </c>
      <c r="D352" s="13" t="s">
        <v>175</v>
      </c>
      <c r="E352" s="13" t="s">
        <v>134</v>
      </c>
      <c r="F352" s="13" t="s">
        <v>420</v>
      </c>
      <c r="G352" s="13" t="s">
        <v>494</v>
      </c>
      <c r="H352" s="13" t="s">
        <v>476</v>
      </c>
      <c r="I352" s="13" t="str">
        <f t="shared" si="5"/>
        <v>Food and beverages</v>
      </c>
      <c r="J352" s="13">
        <v>81.709999999999994</v>
      </c>
      <c r="K352" s="13">
        <v>85.795500000000004</v>
      </c>
      <c r="L352" s="13">
        <v>6</v>
      </c>
      <c r="M352" s="13" t="s">
        <v>433</v>
      </c>
      <c r="N352" s="13">
        <v>8</v>
      </c>
      <c r="O352" s="13">
        <f>(CATEGORIZATION!$K352-CATEGORIZATION!$J352)</f>
        <v>4.0855000000000103</v>
      </c>
    </row>
    <row r="353" spans="2:15" ht="15.75">
      <c r="B353" s="13" t="s">
        <v>796</v>
      </c>
      <c r="C353" s="76">
        <v>43521</v>
      </c>
      <c r="D353" s="13" t="s">
        <v>175</v>
      </c>
      <c r="E353" s="13" t="s">
        <v>134</v>
      </c>
      <c r="F353" s="13" t="s">
        <v>414</v>
      </c>
      <c r="G353" s="13" t="s">
        <v>415</v>
      </c>
      <c r="H353" s="13" t="s">
        <v>426</v>
      </c>
      <c r="I353" s="13" t="str">
        <f t="shared" si="5"/>
        <v>Sports</v>
      </c>
      <c r="J353" s="13">
        <v>91.41</v>
      </c>
      <c r="K353" s="13">
        <v>95.980499999999992</v>
      </c>
      <c r="L353" s="13">
        <v>5</v>
      </c>
      <c r="M353" s="13" t="s">
        <v>417</v>
      </c>
      <c r="N353" s="13">
        <v>7.1</v>
      </c>
      <c r="O353" s="13">
        <f>(CATEGORIZATION!$K353-CATEGORIZATION!$J353)</f>
        <v>4.5704999999999956</v>
      </c>
    </row>
    <row r="354" spans="2:15" ht="15.75">
      <c r="B354" s="13" t="s">
        <v>797</v>
      </c>
      <c r="C354" s="76">
        <v>43648</v>
      </c>
      <c r="D354" s="13" t="s">
        <v>266</v>
      </c>
      <c r="E354" s="13" t="s">
        <v>135</v>
      </c>
      <c r="F354" s="13" t="s">
        <v>414</v>
      </c>
      <c r="G354" s="13" t="s">
        <v>415</v>
      </c>
      <c r="H354" s="13" t="s">
        <v>476</v>
      </c>
      <c r="I354" s="13" t="str">
        <f t="shared" si="5"/>
        <v>Food and beverages</v>
      </c>
      <c r="J354" s="13">
        <v>54.36</v>
      </c>
      <c r="K354" s="13">
        <v>57.077999999999996</v>
      </c>
      <c r="L354" s="13">
        <v>10</v>
      </c>
      <c r="M354" s="13" t="s">
        <v>433</v>
      </c>
      <c r="N354" s="13">
        <v>6.1</v>
      </c>
      <c r="O354" s="13">
        <f>(CATEGORIZATION!$K354-CATEGORIZATION!$J354)</f>
        <v>2.7179999999999964</v>
      </c>
    </row>
    <row r="355" spans="2:15" ht="15.75">
      <c r="B355" s="13" t="s">
        <v>798</v>
      </c>
      <c r="C355" s="76">
        <v>43513</v>
      </c>
      <c r="D355" s="13" t="s">
        <v>175</v>
      </c>
      <c r="E355" s="13" t="s">
        <v>134</v>
      </c>
      <c r="F355" s="13" t="s">
        <v>420</v>
      </c>
      <c r="G355" s="13" t="s">
        <v>494</v>
      </c>
      <c r="H355" s="13" t="s">
        <v>426</v>
      </c>
      <c r="I355" s="13" t="str">
        <f t="shared" si="5"/>
        <v>Sports</v>
      </c>
      <c r="J355" s="13">
        <v>98.09</v>
      </c>
      <c r="K355" s="13">
        <v>102.9945</v>
      </c>
      <c r="L355" s="13">
        <v>9</v>
      </c>
      <c r="M355" s="13" t="s">
        <v>422</v>
      </c>
      <c r="N355" s="13">
        <v>9.3000000000000007</v>
      </c>
      <c r="O355" s="13">
        <f>(CATEGORIZATION!$K355-CATEGORIZATION!$J355)</f>
        <v>4.9044999999999987</v>
      </c>
    </row>
    <row r="356" spans="2:15" ht="15.75">
      <c r="B356" s="13" t="s">
        <v>799</v>
      </c>
      <c r="C356" s="76">
        <v>43801</v>
      </c>
      <c r="D356" s="13" t="s">
        <v>175</v>
      </c>
      <c r="E356" s="13" t="s">
        <v>134</v>
      </c>
      <c r="F356" s="13" t="s">
        <v>420</v>
      </c>
      <c r="G356" s="13" t="s">
        <v>494</v>
      </c>
      <c r="H356" s="13" t="s">
        <v>432</v>
      </c>
      <c r="I356" s="13" t="str">
        <f t="shared" si="5"/>
        <v>Health and beauty</v>
      </c>
      <c r="J356" s="13">
        <v>25.43</v>
      </c>
      <c r="K356" s="13">
        <v>26.701499999999999</v>
      </c>
      <c r="L356" s="13">
        <v>6</v>
      </c>
      <c r="M356" s="13" t="s">
        <v>417</v>
      </c>
      <c r="N356" s="13">
        <v>7</v>
      </c>
      <c r="O356" s="13">
        <f>(CATEGORIZATION!$K356-CATEGORIZATION!$J356)</f>
        <v>1.2714999999999996</v>
      </c>
    </row>
    <row r="357" spans="2:15" ht="15.75">
      <c r="B357" s="13" t="s">
        <v>800</v>
      </c>
      <c r="C357" s="76">
        <v>43618</v>
      </c>
      <c r="D357" s="13" t="s">
        <v>266</v>
      </c>
      <c r="E357" s="13" t="s">
        <v>135</v>
      </c>
      <c r="F357" s="13" t="s">
        <v>420</v>
      </c>
      <c r="G357" s="13" t="s">
        <v>494</v>
      </c>
      <c r="H357" s="13" t="s">
        <v>421</v>
      </c>
      <c r="I357" s="13" t="str">
        <f t="shared" si="5"/>
        <v>Electronic accessories</v>
      </c>
      <c r="J357" s="13">
        <v>22.95</v>
      </c>
      <c r="K357" s="13">
        <v>24.0975</v>
      </c>
      <c r="L357" s="13">
        <v>10</v>
      </c>
      <c r="M357" s="13" t="s">
        <v>417</v>
      </c>
      <c r="N357" s="13">
        <v>8.1999999999999993</v>
      </c>
      <c r="O357" s="13">
        <f>(CATEGORIZATION!$K357-CATEGORIZATION!$J357)</f>
        <v>1.1475000000000009</v>
      </c>
    </row>
    <row r="358" spans="2:15" ht="15.75">
      <c r="B358" s="13" t="s">
        <v>801</v>
      </c>
      <c r="C358" s="76">
        <v>43550</v>
      </c>
      <c r="D358" s="13" t="s">
        <v>419</v>
      </c>
      <c r="E358" s="13" t="s">
        <v>131</v>
      </c>
      <c r="F358" s="13" t="s">
        <v>420</v>
      </c>
      <c r="G358" s="13" t="s">
        <v>415</v>
      </c>
      <c r="H358" s="13" t="s">
        <v>476</v>
      </c>
      <c r="I358" s="13" t="str">
        <f t="shared" si="5"/>
        <v>Food and beverages</v>
      </c>
      <c r="J358" s="13">
        <v>16.309999999999999</v>
      </c>
      <c r="K358" s="13">
        <v>17.125500000000002</v>
      </c>
      <c r="L358" s="13">
        <v>9</v>
      </c>
      <c r="M358" s="13" t="s">
        <v>417</v>
      </c>
      <c r="N358" s="13">
        <v>8.4</v>
      </c>
      <c r="O358" s="13">
        <f>(CATEGORIZATION!$K358-CATEGORIZATION!$J358)</f>
        <v>0.81550000000000367</v>
      </c>
    </row>
    <row r="359" spans="2:15" ht="15.75">
      <c r="B359" s="13" t="s">
        <v>802</v>
      </c>
      <c r="C359" s="76">
        <v>43467</v>
      </c>
      <c r="D359" s="13" t="s">
        <v>419</v>
      </c>
      <c r="E359" s="13" t="s">
        <v>131</v>
      </c>
      <c r="F359" s="13" t="s">
        <v>414</v>
      </c>
      <c r="G359" s="13" t="s">
        <v>415</v>
      </c>
      <c r="H359" s="13" t="s">
        <v>457</v>
      </c>
      <c r="I359" s="13" t="str">
        <f t="shared" si="5"/>
        <v>Food and beverages</v>
      </c>
      <c r="J359" s="13">
        <v>87.48</v>
      </c>
      <c r="K359" s="13">
        <v>91.853999999999999</v>
      </c>
      <c r="L359" s="13">
        <v>6</v>
      </c>
      <c r="M359" s="13" t="s">
        <v>417</v>
      </c>
      <c r="N359" s="13">
        <v>5.0999999999999996</v>
      </c>
      <c r="O359" s="13">
        <f>(CATEGORIZATION!$K359-CATEGORIZATION!$J359)</f>
        <v>4.3739999999999952</v>
      </c>
    </row>
    <row r="360" spans="2:15" ht="15.75">
      <c r="B360" s="13" t="s">
        <v>803</v>
      </c>
      <c r="C360" s="76">
        <v>43525</v>
      </c>
      <c r="D360" s="13" t="s">
        <v>419</v>
      </c>
      <c r="E360" s="13" t="s">
        <v>131</v>
      </c>
      <c r="F360" s="13" t="s">
        <v>414</v>
      </c>
      <c r="G360" s="13" t="s">
        <v>494</v>
      </c>
      <c r="H360" s="13" t="s">
        <v>446</v>
      </c>
      <c r="I360" s="13" t="str">
        <f t="shared" si="5"/>
        <v>Health and beauty</v>
      </c>
      <c r="J360" s="13">
        <v>75.88</v>
      </c>
      <c r="K360" s="13">
        <v>79.674000000000007</v>
      </c>
      <c r="L360" s="13">
        <v>1</v>
      </c>
      <c r="M360" s="13" t="s">
        <v>433</v>
      </c>
      <c r="N360" s="13">
        <v>7.1</v>
      </c>
      <c r="O360" s="13">
        <f>(CATEGORIZATION!$K360-CATEGORIZATION!$J360)</f>
        <v>3.7940000000000111</v>
      </c>
    </row>
    <row r="361" spans="2:15" ht="15.75">
      <c r="B361" s="13" t="s">
        <v>804</v>
      </c>
      <c r="C361" s="76">
        <v>43509</v>
      </c>
      <c r="D361" s="13" t="s">
        <v>266</v>
      </c>
      <c r="E361" s="13" t="s">
        <v>135</v>
      </c>
      <c r="F361" s="13" t="s">
        <v>414</v>
      </c>
      <c r="G361" s="13" t="s">
        <v>415</v>
      </c>
      <c r="H361" s="13" t="s">
        <v>426</v>
      </c>
      <c r="I361" s="13" t="str">
        <f t="shared" si="5"/>
        <v>Sports</v>
      </c>
      <c r="J361" s="13">
        <v>20.18</v>
      </c>
      <c r="K361" s="13">
        <v>21.189</v>
      </c>
      <c r="L361" s="13">
        <v>4</v>
      </c>
      <c r="M361" s="13" t="s">
        <v>433</v>
      </c>
      <c r="N361" s="13">
        <v>5</v>
      </c>
      <c r="O361" s="13">
        <f>(CATEGORIZATION!$K361-CATEGORIZATION!$J361)</f>
        <v>1.0090000000000003</v>
      </c>
    </row>
    <row r="362" spans="2:15" ht="15.75">
      <c r="B362" s="13" t="s">
        <v>805</v>
      </c>
      <c r="C362" s="76">
        <v>43493</v>
      </c>
      <c r="D362" s="13" t="s">
        <v>419</v>
      </c>
      <c r="E362" s="13" t="s">
        <v>131</v>
      </c>
      <c r="F362" s="13" t="s">
        <v>414</v>
      </c>
      <c r="G362" s="13" t="s">
        <v>494</v>
      </c>
      <c r="H362" s="13" t="s">
        <v>421</v>
      </c>
      <c r="I362" s="13" t="str">
        <f t="shared" si="5"/>
        <v>Electronic accessories</v>
      </c>
      <c r="J362" s="13">
        <v>18.77</v>
      </c>
      <c r="K362" s="13">
        <v>19.708500000000001</v>
      </c>
      <c r="L362" s="13">
        <v>6</v>
      </c>
      <c r="M362" s="13" t="s">
        <v>433</v>
      </c>
      <c r="N362" s="13">
        <v>5.5</v>
      </c>
      <c r="O362" s="13">
        <f>(CATEGORIZATION!$K362-CATEGORIZATION!$J362)</f>
        <v>0.93850000000000122</v>
      </c>
    </row>
    <row r="363" spans="2:15" ht="15.75">
      <c r="B363" s="13" t="s">
        <v>806</v>
      </c>
      <c r="C363" s="76">
        <v>43586</v>
      </c>
      <c r="D363" s="13" t="s">
        <v>266</v>
      </c>
      <c r="E363" s="13" t="s">
        <v>135</v>
      </c>
      <c r="F363" s="13" t="s">
        <v>420</v>
      </c>
      <c r="G363" s="13" t="s">
        <v>415</v>
      </c>
      <c r="H363" s="13" t="s">
        <v>457</v>
      </c>
      <c r="I363" s="13" t="str">
        <f t="shared" si="5"/>
        <v>Food and beverages</v>
      </c>
      <c r="J363" s="13">
        <v>71.2</v>
      </c>
      <c r="K363" s="13">
        <v>74.760000000000005</v>
      </c>
      <c r="L363" s="13">
        <v>1</v>
      </c>
      <c r="M363" s="13" t="s">
        <v>433</v>
      </c>
      <c r="N363" s="13">
        <v>9.1999999999999993</v>
      </c>
      <c r="O363" s="13">
        <f>(CATEGORIZATION!$K363-CATEGORIZATION!$J363)</f>
        <v>3.5600000000000023</v>
      </c>
    </row>
    <row r="364" spans="2:15" ht="15.75">
      <c r="B364" s="13" t="s">
        <v>807</v>
      </c>
      <c r="C364" s="76">
        <v>43647</v>
      </c>
      <c r="D364" s="13" t="s">
        <v>175</v>
      </c>
      <c r="E364" s="13" t="s">
        <v>134</v>
      </c>
      <c r="F364" s="13" t="s">
        <v>420</v>
      </c>
      <c r="G364" s="13" t="s">
        <v>494</v>
      </c>
      <c r="H364" s="13" t="s">
        <v>444</v>
      </c>
      <c r="I364" s="13" t="str">
        <f t="shared" si="5"/>
        <v>Sports</v>
      </c>
      <c r="J364" s="13">
        <v>60.95</v>
      </c>
      <c r="K364" s="13">
        <v>63.997499999999995</v>
      </c>
      <c r="L364" s="13">
        <v>9</v>
      </c>
      <c r="M364" s="13" t="s">
        <v>433</v>
      </c>
      <c r="N364" s="13">
        <v>6</v>
      </c>
      <c r="O364" s="13">
        <f>(CATEGORIZATION!$K364-CATEGORIZATION!$J364)</f>
        <v>3.0474999999999923</v>
      </c>
    </row>
    <row r="365" spans="2:15" ht="15.75">
      <c r="B365" s="13" t="s">
        <v>808</v>
      </c>
      <c r="C365" s="76">
        <v>43491</v>
      </c>
      <c r="D365" s="13" t="s">
        <v>266</v>
      </c>
      <c r="E365" s="13" t="s">
        <v>135</v>
      </c>
      <c r="F365" s="13" t="s">
        <v>420</v>
      </c>
      <c r="G365" s="13" t="s">
        <v>415</v>
      </c>
      <c r="H365" s="13" t="s">
        <v>426</v>
      </c>
      <c r="I365" s="13" t="str">
        <f t="shared" si="5"/>
        <v>Sports</v>
      </c>
      <c r="J365" s="13">
        <v>51.54</v>
      </c>
      <c r="K365" s="13">
        <v>54.116999999999997</v>
      </c>
      <c r="L365" s="13">
        <v>5</v>
      </c>
      <c r="M365" s="13" t="s">
        <v>422</v>
      </c>
      <c r="N365" s="13">
        <v>4.2</v>
      </c>
      <c r="O365" s="13">
        <f>(CATEGORIZATION!$K365-CATEGORIZATION!$J365)</f>
        <v>2.5769999999999982</v>
      </c>
    </row>
    <row r="366" spans="2:15" ht="15.75">
      <c r="B366" s="13" t="s">
        <v>809</v>
      </c>
      <c r="C366" s="76">
        <v>43488</v>
      </c>
      <c r="D366" s="13" t="s">
        <v>175</v>
      </c>
      <c r="E366" s="13" t="s">
        <v>134</v>
      </c>
      <c r="F366" s="13" t="s">
        <v>420</v>
      </c>
      <c r="G366" s="13" t="s">
        <v>415</v>
      </c>
      <c r="H366" s="13" t="s">
        <v>499</v>
      </c>
      <c r="I366" s="13" t="str">
        <f t="shared" si="5"/>
        <v>Electronic accessories</v>
      </c>
      <c r="J366" s="13">
        <v>66.06</v>
      </c>
      <c r="K366" s="13">
        <v>69.363</v>
      </c>
      <c r="L366" s="13">
        <v>6</v>
      </c>
      <c r="M366" s="13" t="s">
        <v>422</v>
      </c>
      <c r="N366" s="13">
        <v>7.3</v>
      </c>
      <c r="O366" s="13">
        <f>(CATEGORIZATION!$K366-CATEGORIZATION!$J366)</f>
        <v>3.3029999999999973</v>
      </c>
    </row>
    <row r="367" spans="2:15" ht="15.75">
      <c r="B367" s="13" t="s">
        <v>810</v>
      </c>
      <c r="C367" s="76">
        <v>43587</v>
      </c>
      <c r="D367" s="13" t="s">
        <v>266</v>
      </c>
      <c r="E367" s="13" t="s">
        <v>135</v>
      </c>
      <c r="F367" s="13" t="s">
        <v>420</v>
      </c>
      <c r="G367" s="13" t="s">
        <v>415</v>
      </c>
      <c r="H367" s="13" t="s">
        <v>442</v>
      </c>
      <c r="I367" s="13" t="str">
        <f t="shared" si="5"/>
        <v>Health and beauty</v>
      </c>
      <c r="J367" s="13">
        <v>58.24</v>
      </c>
      <c r="K367" s="13">
        <v>61.152000000000008</v>
      </c>
      <c r="L367" s="13">
        <v>9</v>
      </c>
      <c r="M367" s="13" t="s">
        <v>422</v>
      </c>
      <c r="N367" s="13">
        <v>9.6999999999999993</v>
      </c>
      <c r="O367" s="13">
        <f>(CATEGORIZATION!$K367-CATEGORIZATION!$J367)</f>
        <v>2.9120000000000061</v>
      </c>
    </row>
    <row r="368" spans="2:15" ht="15.75">
      <c r="B368" s="13" t="s">
        <v>811</v>
      </c>
      <c r="C368" s="76">
        <v>43649</v>
      </c>
      <c r="D368" s="13" t="s">
        <v>419</v>
      </c>
      <c r="E368" s="13" t="s">
        <v>131</v>
      </c>
      <c r="F368" s="13" t="s">
        <v>420</v>
      </c>
      <c r="G368" s="13" t="s">
        <v>494</v>
      </c>
      <c r="H368" s="13" t="s">
        <v>421</v>
      </c>
      <c r="I368" s="13" t="str">
        <f t="shared" si="5"/>
        <v>Electronic accessories</v>
      </c>
      <c r="J368" s="13">
        <v>22.21</v>
      </c>
      <c r="K368" s="13">
        <v>23.320499999999999</v>
      </c>
      <c r="L368" s="13">
        <v>6</v>
      </c>
      <c r="M368" s="13" t="s">
        <v>433</v>
      </c>
      <c r="N368" s="13">
        <v>8.6</v>
      </c>
      <c r="O368" s="13">
        <f>(CATEGORIZATION!$K368-CATEGORIZATION!$J368)</f>
        <v>1.1104999999999983</v>
      </c>
    </row>
    <row r="369" spans="2:15" ht="15.75">
      <c r="B369" s="13" t="s">
        <v>812</v>
      </c>
      <c r="C369" s="76">
        <v>43549</v>
      </c>
      <c r="D369" s="13" t="s">
        <v>175</v>
      </c>
      <c r="E369" s="13" t="s">
        <v>134</v>
      </c>
      <c r="F369" s="13" t="s">
        <v>414</v>
      </c>
      <c r="G369" s="13" t="s">
        <v>494</v>
      </c>
      <c r="H369" s="13" t="s">
        <v>421</v>
      </c>
      <c r="I369" s="13" t="str">
        <f t="shared" si="5"/>
        <v>Electronic accessories</v>
      </c>
      <c r="J369" s="13">
        <v>19.32</v>
      </c>
      <c r="K369" s="13">
        <v>20.286000000000001</v>
      </c>
      <c r="L369" s="13">
        <v>7</v>
      </c>
      <c r="M369" s="13" t="s">
        <v>422</v>
      </c>
      <c r="N369" s="13">
        <v>6.9</v>
      </c>
      <c r="O369" s="13">
        <f>(CATEGORIZATION!$K369-CATEGORIZATION!$J369)</f>
        <v>0.96600000000000108</v>
      </c>
    </row>
    <row r="370" spans="2:15" ht="15.75">
      <c r="B370" s="13" t="s">
        <v>813</v>
      </c>
      <c r="C370" s="76">
        <v>43495</v>
      </c>
      <c r="D370" s="13" t="s">
        <v>419</v>
      </c>
      <c r="E370" s="13" t="s">
        <v>131</v>
      </c>
      <c r="F370" s="13" t="s">
        <v>414</v>
      </c>
      <c r="G370" s="13" t="s">
        <v>415</v>
      </c>
      <c r="H370" s="13" t="s">
        <v>457</v>
      </c>
      <c r="I370" s="13" t="str">
        <f t="shared" si="5"/>
        <v>Food and beverages</v>
      </c>
      <c r="J370" s="13">
        <v>98.52</v>
      </c>
      <c r="K370" s="13">
        <v>103.446</v>
      </c>
      <c r="L370" s="13">
        <v>10</v>
      </c>
      <c r="M370" s="13" t="s">
        <v>417</v>
      </c>
      <c r="N370" s="13">
        <v>4.5</v>
      </c>
      <c r="O370" s="13">
        <f>(CATEGORIZATION!$K370-CATEGORIZATION!$J370)</f>
        <v>4.9260000000000019</v>
      </c>
    </row>
    <row r="371" spans="2:15" ht="15.75">
      <c r="B371" s="13" t="s">
        <v>814</v>
      </c>
      <c r="C371" s="76">
        <v>43497</v>
      </c>
      <c r="D371" s="13" t="s">
        <v>175</v>
      </c>
      <c r="E371" s="13" t="s">
        <v>134</v>
      </c>
      <c r="F371" s="13" t="s">
        <v>414</v>
      </c>
      <c r="G371" s="13" t="s">
        <v>494</v>
      </c>
      <c r="H371" s="13" t="s">
        <v>457</v>
      </c>
      <c r="I371" s="13" t="str">
        <f t="shared" si="5"/>
        <v>Food and beverages</v>
      </c>
      <c r="J371" s="13">
        <v>41.66</v>
      </c>
      <c r="K371" s="13">
        <v>43.743000000000002</v>
      </c>
      <c r="L371" s="13">
        <v>6</v>
      </c>
      <c r="M371" s="13" t="s">
        <v>417</v>
      </c>
      <c r="N371" s="13">
        <v>5.6</v>
      </c>
      <c r="O371" s="13">
        <f>(CATEGORIZATION!$K371-CATEGORIZATION!$J371)</f>
        <v>2.0830000000000055</v>
      </c>
    </row>
    <row r="372" spans="2:15" ht="15.75">
      <c r="B372" s="13" t="s">
        <v>815</v>
      </c>
      <c r="C372" s="76">
        <v>43538</v>
      </c>
      <c r="D372" s="13" t="s">
        <v>266</v>
      </c>
      <c r="E372" s="13" t="s">
        <v>135</v>
      </c>
      <c r="F372" s="13" t="s">
        <v>420</v>
      </c>
      <c r="G372" s="13" t="s">
        <v>494</v>
      </c>
      <c r="H372" s="13" t="s">
        <v>421</v>
      </c>
      <c r="I372" s="13" t="str">
        <f t="shared" si="5"/>
        <v>Electronic accessories</v>
      </c>
      <c r="J372" s="13">
        <v>21.58</v>
      </c>
      <c r="K372" s="13">
        <v>22.659000000000002</v>
      </c>
      <c r="L372" s="13">
        <v>9</v>
      </c>
      <c r="M372" s="13" t="s">
        <v>422</v>
      </c>
      <c r="N372" s="13">
        <v>7.3</v>
      </c>
      <c r="O372" s="13">
        <f>(CATEGORIZATION!$K372-CATEGORIZATION!$J372)</f>
        <v>1.0790000000000042</v>
      </c>
    </row>
    <row r="373" spans="2:15" ht="15.75">
      <c r="B373" s="13" t="s">
        <v>816</v>
      </c>
      <c r="C373" s="76">
        <v>43771</v>
      </c>
      <c r="D373" s="13" t="s">
        <v>419</v>
      </c>
      <c r="E373" s="13" t="s">
        <v>131</v>
      </c>
      <c r="F373" s="13" t="s">
        <v>420</v>
      </c>
      <c r="G373" s="13" t="s">
        <v>494</v>
      </c>
      <c r="H373" s="13" t="s">
        <v>457</v>
      </c>
      <c r="I373" s="13" t="str">
        <f t="shared" si="5"/>
        <v>Food and beverages</v>
      </c>
      <c r="J373" s="13">
        <v>89.2</v>
      </c>
      <c r="K373" s="13">
        <v>93.66</v>
      </c>
      <c r="L373" s="13">
        <v>10</v>
      </c>
      <c r="M373" s="13" t="s">
        <v>433</v>
      </c>
      <c r="N373" s="13">
        <v>4.4000000000000004</v>
      </c>
      <c r="O373" s="13">
        <f>(CATEGORIZATION!$K373-CATEGORIZATION!$J373)</f>
        <v>4.4599999999999937</v>
      </c>
    </row>
    <row r="374" spans="2:15" ht="15.75">
      <c r="B374" s="13" t="s">
        <v>817</v>
      </c>
      <c r="C374" s="76">
        <v>43495</v>
      </c>
      <c r="D374" s="13" t="s">
        <v>266</v>
      </c>
      <c r="E374" s="13" t="s">
        <v>135</v>
      </c>
      <c r="F374" s="13" t="s">
        <v>420</v>
      </c>
      <c r="G374" s="13" t="s">
        <v>415</v>
      </c>
      <c r="H374" s="13" t="s">
        <v>421</v>
      </c>
      <c r="I374" s="13" t="str">
        <f t="shared" si="5"/>
        <v>Electronic accessories</v>
      </c>
      <c r="J374" s="13">
        <v>42.42</v>
      </c>
      <c r="K374" s="13">
        <v>44.540999999999997</v>
      </c>
      <c r="L374" s="13">
        <v>8</v>
      </c>
      <c r="M374" s="13" t="s">
        <v>417</v>
      </c>
      <c r="N374" s="13">
        <v>5.7</v>
      </c>
      <c r="O374" s="13">
        <f>(CATEGORIZATION!$K374-CATEGORIZATION!$J374)</f>
        <v>2.1209999999999951</v>
      </c>
    </row>
    <row r="375" spans="2:15" ht="15.75">
      <c r="B375" s="13" t="s">
        <v>818</v>
      </c>
      <c r="C375" s="76">
        <v>43544</v>
      </c>
      <c r="D375" s="13" t="s">
        <v>175</v>
      </c>
      <c r="E375" s="13" t="s">
        <v>134</v>
      </c>
      <c r="F375" s="13" t="s">
        <v>414</v>
      </c>
      <c r="G375" s="13" t="s">
        <v>494</v>
      </c>
      <c r="H375" s="13" t="s">
        <v>499</v>
      </c>
      <c r="I375" s="13" t="str">
        <f t="shared" si="5"/>
        <v>Electronic accessories</v>
      </c>
      <c r="J375" s="13">
        <v>74.510000000000005</v>
      </c>
      <c r="K375" s="13">
        <v>78.235500000000002</v>
      </c>
      <c r="L375" s="13">
        <v>6</v>
      </c>
      <c r="M375" s="13" t="s">
        <v>417</v>
      </c>
      <c r="N375" s="13">
        <v>5</v>
      </c>
      <c r="O375" s="13">
        <f>(CATEGORIZATION!$K375-CATEGORIZATION!$J375)</f>
        <v>3.7254999999999967</v>
      </c>
    </row>
    <row r="376" spans="2:15" ht="15.75">
      <c r="B376" s="13" t="s">
        <v>819</v>
      </c>
      <c r="C376" s="76">
        <v>43482</v>
      </c>
      <c r="D376" s="13" t="s">
        <v>175</v>
      </c>
      <c r="E376" s="13" t="s">
        <v>134</v>
      </c>
      <c r="F376" s="13" t="s">
        <v>420</v>
      </c>
      <c r="G376" s="13" t="s">
        <v>415</v>
      </c>
      <c r="H376" s="13" t="s">
        <v>450</v>
      </c>
      <c r="I376" s="13" t="str">
        <f t="shared" si="5"/>
        <v>Food and beverages</v>
      </c>
      <c r="J376" s="13">
        <v>81.209999999999994</v>
      </c>
      <c r="K376" s="13">
        <v>85.270499999999998</v>
      </c>
      <c r="L376" s="13">
        <v>10</v>
      </c>
      <c r="M376" s="13" t="s">
        <v>433</v>
      </c>
      <c r="N376" s="13">
        <v>6.3</v>
      </c>
      <c r="O376" s="13">
        <f>(CATEGORIZATION!$K376-CATEGORIZATION!$J376)</f>
        <v>4.0605000000000047</v>
      </c>
    </row>
    <row r="377" spans="2:15" ht="15.75">
      <c r="B377" s="13" t="s">
        <v>820</v>
      </c>
      <c r="C377" s="76">
        <v>43526</v>
      </c>
      <c r="D377" s="13" t="s">
        <v>419</v>
      </c>
      <c r="E377" s="13" t="s">
        <v>131</v>
      </c>
      <c r="F377" s="13" t="s">
        <v>420</v>
      </c>
      <c r="G377" s="13" t="s">
        <v>415</v>
      </c>
      <c r="H377" s="13" t="s">
        <v>444</v>
      </c>
      <c r="I377" s="13" t="str">
        <f t="shared" si="5"/>
        <v>Sports</v>
      </c>
      <c r="J377" s="13">
        <v>49.33</v>
      </c>
      <c r="K377" s="13">
        <v>51.796500000000002</v>
      </c>
      <c r="L377" s="13">
        <v>10</v>
      </c>
      <c r="M377" s="13" t="s">
        <v>433</v>
      </c>
      <c r="N377" s="13">
        <v>9.4</v>
      </c>
      <c r="O377" s="13">
        <f>(CATEGORIZATION!$K377-CATEGORIZATION!$J377)</f>
        <v>2.4665000000000035</v>
      </c>
    </row>
    <row r="378" spans="2:15" ht="15.75">
      <c r="B378" s="13" t="s">
        <v>821</v>
      </c>
      <c r="C378" s="76">
        <v>43499</v>
      </c>
      <c r="D378" s="13" t="s">
        <v>419</v>
      </c>
      <c r="E378" s="13" t="s">
        <v>131</v>
      </c>
      <c r="F378" s="13" t="s">
        <v>420</v>
      </c>
      <c r="G378" s="13" t="s">
        <v>415</v>
      </c>
      <c r="H378" s="13" t="s">
        <v>426</v>
      </c>
      <c r="I378" s="13" t="str">
        <f t="shared" si="5"/>
        <v>Sports</v>
      </c>
      <c r="J378" s="13">
        <v>73.98</v>
      </c>
      <c r="K378" s="13">
        <v>77.679000000000002</v>
      </c>
      <c r="L378" s="13">
        <v>7</v>
      </c>
      <c r="M378" s="13" t="s">
        <v>417</v>
      </c>
      <c r="N378" s="13">
        <v>4.0999999999999996</v>
      </c>
      <c r="O378" s="13">
        <f>(CATEGORIZATION!$K378-CATEGORIZATION!$J378)</f>
        <v>3.6989999999999981</v>
      </c>
    </row>
    <row r="379" spans="2:15" ht="15.75">
      <c r="B379" s="13" t="s">
        <v>822</v>
      </c>
      <c r="C379" s="76">
        <v>43494</v>
      </c>
      <c r="D379" s="13" t="s">
        <v>266</v>
      </c>
      <c r="E379" s="13" t="s">
        <v>135</v>
      </c>
      <c r="F379" s="13" t="s">
        <v>414</v>
      </c>
      <c r="G379" s="13" t="s">
        <v>494</v>
      </c>
      <c r="H379" s="13" t="s">
        <v>444</v>
      </c>
      <c r="I379" s="13" t="str">
        <f t="shared" si="5"/>
        <v>Sports</v>
      </c>
      <c r="J379" s="13">
        <v>26.67</v>
      </c>
      <c r="K379" s="13">
        <v>28.003500000000003</v>
      </c>
      <c r="L379" s="13">
        <v>10</v>
      </c>
      <c r="M379" s="13" t="s">
        <v>422</v>
      </c>
      <c r="N379" s="13">
        <v>8.6</v>
      </c>
      <c r="O379" s="13">
        <f>(CATEGORIZATION!$K379-CATEGORIZATION!$J379)</f>
        <v>1.3335000000000008</v>
      </c>
    </row>
    <row r="380" spans="2:15" ht="15.75">
      <c r="B380" s="13" t="s">
        <v>823</v>
      </c>
      <c r="C380" s="76">
        <v>43741</v>
      </c>
      <c r="D380" s="13" t="s">
        <v>175</v>
      </c>
      <c r="E380" s="13" t="s">
        <v>134</v>
      </c>
      <c r="F380" s="13" t="s">
        <v>414</v>
      </c>
      <c r="G380" s="13" t="s">
        <v>494</v>
      </c>
      <c r="H380" s="13" t="s">
        <v>457</v>
      </c>
      <c r="I380" s="13" t="str">
        <f t="shared" si="5"/>
        <v>Food and beverages</v>
      </c>
      <c r="J380" s="13">
        <v>10.130000000000001</v>
      </c>
      <c r="K380" s="13">
        <v>10.6365</v>
      </c>
      <c r="L380" s="13">
        <v>7</v>
      </c>
      <c r="M380" s="13" t="s">
        <v>417</v>
      </c>
      <c r="N380" s="13">
        <v>8.3000000000000007</v>
      </c>
      <c r="O380" s="13">
        <f>(CATEGORIZATION!$K380-CATEGORIZATION!$J380)</f>
        <v>0.50649999999999906</v>
      </c>
    </row>
    <row r="381" spans="2:15" ht="15.75">
      <c r="B381" s="13" t="s">
        <v>824</v>
      </c>
      <c r="C381" s="76">
        <v>43478</v>
      </c>
      <c r="D381" s="13" t="s">
        <v>266</v>
      </c>
      <c r="E381" s="13" t="s">
        <v>135</v>
      </c>
      <c r="F381" s="13" t="s">
        <v>420</v>
      </c>
      <c r="G381" s="13" t="s">
        <v>494</v>
      </c>
      <c r="H381" s="13" t="s">
        <v>457</v>
      </c>
      <c r="I381" s="13" t="str">
        <f t="shared" si="5"/>
        <v>Food and beverages</v>
      </c>
      <c r="J381" s="13">
        <v>72.39</v>
      </c>
      <c r="K381" s="13">
        <v>76.009500000000003</v>
      </c>
      <c r="L381" s="13">
        <v>2</v>
      </c>
      <c r="M381" s="13" t="s">
        <v>433</v>
      </c>
      <c r="N381" s="13">
        <v>8.1</v>
      </c>
      <c r="O381" s="13">
        <f>(CATEGORIZATION!$K381-CATEGORIZATION!$J381)</f>
        <v>3.6195000000000022</v>
      </c>
    </row>
    <row r="382" spans="2:15" ht="15.75">
      <c r="B382" s="13" t="s">
        <v>825</v>
      </c>
      <c r="C382" s="76">
        <v>43546</v>
      </c>
      <c r="D382" s="13" t="s">
        <v>175</v>
      </c>
      <c r="E382" s="13" t="s">
        <v>134</v>
      </c>
      <c r="F382" s="13" t="s">
        <v>420</v>
      </c>
      <c r="G382" s="13" t="s">
        <v>494</v>
      </c>
      <c r="H382" s="13" t="s">
        <v>426</v>
      </c>
      <c r="I382" s="13" t="str">
        <f t="shared" si="5"/>
        <v>Sports</v>
      </c>
      <c r="J382" s="13">
        <v>85.91</v>
      </c>
      <c r="K382" s="13">
        <v>90.205500000000001</v>
      </c>
      <c r="L382" s="13">
        <v>5</v>
      </c>
      <c r="M382" s="13" t="s">
        <v>433</v>
      </c>
      <c r="N382" s="13">
        <v>8.6</v>
      </c>
      <c r="O382" s="13">
        <f>(CATEGORIZATION!$K382-CATEGORIZATION!$J382)</f>
        <v>4.2955000000000041</v>
      </c>
    </row>
    <row r="383" spans="2:15" ht="15.75">
      <c r="B383" s="13" t="s">
        <v>826</v>
      </c>
      <c r="C383" s="76">
        <v>43516</v>
      </c>
      <c r="D383" s="13" t="s">
        <v>266</v>
      </c>
      <c r="E383" s="13" t="s">
        <v>135</v>
      </c>
      <c r="F383" s="13" t="s">
        <v>420</v>
      </c>
      <c r="G383" s="13" t="s">
        <v>494</v>
      </c>
      <c r="H383" s="13" t="s">
        <v>457</v>
      </c>
      <c r="I383" s="13" t="str">
        <f t="shared" si="5"/>
        <v>Food and beverages</v>
      </c>
      <c r="J383" s="13">
        <v>60.3</v>
      </c>
      <c r="K383" s="13">
        <v>63.314999999999998</v>
      </c>
      <c r="L383" s="13">
        <v>4</v>
      </c>
      <c r="M383" s="13" t="s">
        <v>422</v>
      </c>
      <c r="N383" s="13">
        <v>5.8</v>
      </c>
      <c r="O383" s="13">
        <f>(CATEGORIZATION!$K383-CATEGORIZATION!$J383)</f>
        <v>3.0150000000000006</v>
      </c>
    </row>
    <row r="384" spans="2:15" ht="15.75">
      <c r="B384" s="13" t="s">
        <v>827</v>
      </c>
      <c r="C384" s="76">
        <v>43479</v>
      </c>
      <c r="D384" s="13" t="s">
        <v>419</v>
      </c>
      <c r="E384" s="13" t="s">
        <v>131</v>
      </c>
      <c r="F384" s="13" t="s">
        <v>420</v>
      </c>
      <c r="G384" s="13" t="s">
        <v>494</v>
      </c>
      <c r="H384" s="13" t="s">
        <v>476</v>
      </c>
      <c r="I384" s="13" t="str">
        <f t="shared" si="5"/>
        <v>Food and beverages</v>
      </c>
      <c r="J384" s="13">
        <v>31.77</v>
      </c>
      <c r="K384" s="13">
        <v>33.358499999999999</v>
      </c>
      <c r="L384" s="13">
        <v>4</v>
      </c>
      <c r="M384" s="13" t="s">
        <v>417</v>
      </c>
      <c r="N384" s="13">
        <v>6.2</v>
      </c>
      <c r="O384" s="13">
        <f>(CATEGORIZATION!$K384-CATEGORIZATION!$J384)</f>
        <v>1.5884999999999998</v>
      </c>
    </row>
    <row r="385" spans="2:15" ht="15.75">
      <c r="B385" s="13" t="s">
        <v>828</v>
      </c>
      <c r="C385" s="76">
        <v>43550</v>
      </c>
      <c r="D385" s="13" t="s">
        <v>175</v>
      </c>
      <c r="E385" s="13" t="s">
        <v>134</v>
      </c>
      <c r="F385" s="13" t="s">
        <v>420</v>
      </c>
      <c r="G385" s="13" t="s">
        <v>415</v>
      </c>
      <c r="H385" s="13" t="s">
        <v>432</v>
      </c>
      <c r="I385" s="13" t="str">
        <f t="shared" si="5"/>
        <v>Health and beauty</v>
      </c>
      <c r="J385" s="13">
        <v>64.27</v>
      </c>
      <c r="K385" s="13">
        <v>67.483500000000006</v>
      </c>
      <c r="L385" s="13">
        <v>4</v>
      </c>
      <c r="M385" s="13" t="s">
        <v>422</v>
      </c>
      <c r="N385" s="13">
        <v>7.7</v>
      </c>
      <c r="O385" s="13">
        <f>(CATEGORIZATION!$K385-CATEGORIZATION!$J385)</f>
        <v>3.2135000000000105</v>
      </c>
    </row>
    <row r="386" spans="2:15" ht="15.75">
      <c r="B386" s="13" t="s">
        <v>829</v>
      </c>
      <c r="C386" s="76">
        <v>43468</v>
      </c>
      <c r="D386" s="13" t="s">
        <v>266</v>
      </c>
      <c r="E386" s="13" t="s">
        <v>135</v>
      </c>
      <c r="F386" s="13" t="s">
        <v>420</v>
      </c>
      <c r="G386" s="13" t="s">
        <v>494</v>
      </c>
      <c r="H386" s="13" t="s">
        <v>442</v>
      </c>
      <c r="I386" s="13" t="str">
        <f t="shared" si="5"/>
        <v>Health and beauty</v>
      </c>
      <c r="J386" s="13">
        <v>69.510000000000005</v>
      </c>
      <c r="K386" s="13">
        <v>72.985500000000002</v>
      </c>
      <c r="L386" s="13">
        <v>2</v>
      </c>
      <c r="M386" s="13" t="s">
        <v>417</v>
      </c>
      <c r="N386" s="13">
        <v>8.1</v>
      </c>
      <c r="O386" s="13">
        <f>(CATEGORIZATION!$K386-CATEGORIZATION!$J386)</f>
        <v>3.4754999999999967</v>
      </c>
    </row>
    <row r="387" spans="2:15" ht="15.75">
      <c r="B387" s="13" t="s">
        <v>830</v>
      </c>
      <c r="C387" s="76">
        <v>43647</v>
      </c>
      <c r="D387" s="13" t="s">
        <v>419</v>
      </c>
      <c r="E387" s="13" t="s">
        <v>131</v>
      </c>
      <c r="F387" s="13" t="s">
        <v>420</v>
      </c>
      <c r="G387" s="13" t="s">
        <v>494</v>
      </c>
      <c r="H387" s="13" t="s">
        <v>476</v>
      </c>
      <c r="I387" s="13" t="str">
        <f t="shared" si="5"/>
        <v>Food and beverages</v>
      </c>
      <c r="J387" s="13">
        <v>27.22</v>
      </c>
      <c r="K387" s="13">
        <v>28.581</v>
      </c>
      <c r="L387" s="13">
        <v>3</v>
      </c>
      <c r="M387" s="13" t="s">
        <v>422</v>
      </c>
      <c r="N387" s="13">
        <v>7.3</v>
      </c>
      <c r="O387" s="13">
        <f>(CATEGORIZATION!$K387-CATEGORIZATION!$J387)</f>
        <v>1.3610000000000007</v>
      </c>
    </row>
    <row r="388" spans="2:15" ht="15.75">
      <c r="B388" s="13" t="s">
        <v>831</v>
      </c>
      <c r="C388" s="76">
        <v>43467</v>
      </c>
      <c r="D388" s="13" t="s">
        <v>175</v>
      </c>
      <c r="E388" s="13" t="s">
        <v>134</v>
      </c>
      <c r="F388" s="13" t="s">
        <v>414</v>
      </c>
      <c r="G388" s="13" t="s">
        <v>415</v>
      </c>
      <c r="H388" s="13" t="s">
        <v>432</v>
      </c>
      <c r="I388" s="13" t="str">
        <f t="shared" ref="I388:I451" si="6">VLOOKUP(H388,$R$5:$S$32,2,FALSE)</f>
        <v>Health and beauty</v>
      </c>
      <c r="J388" s="13">
        <v>77.680000000000007</v>
      </c>
      <c r="K388" s="13">
        <v>81.563999999999993</v>
      </c>
      <c r="L388" s="13">
        <v>4</v>
      </c>
      <c r="M388" s="13" t="s">
        <v>422</v>
      </c>
      <c r="N388" s="13">
        <v>8.4</v>
      </c>
      <c r="O388" s="13">
        <f>(CATEGORIZATION!$K388-CATEGORIZATION!$J388)</f>
        <v>3.8839999999999861</v>
      </c>
    </row>
    <row r="389" spans="2:15" ht="15.75">
      <c r="B389" s="13" t="s">
        <v>832</v>
      </c>
      <c r="C389" s="76">
        <v>43484</v>
      </c>
      <c r="D389" s="13" t="s">
        <v>266</v>
      </c>
      <c r="E389" s="13" t="s">
        <v>135</v>
      </c>
      <c r="F389" s="13" t="s">
        <v>420</v>
      </c>
      <c r="G389" s="13" t="s">
        <v>494</v>
      </c>
      <c r="H389" s="13" t="s">
        <v>455</v>
      </c>
      <c r="I389" s="13" t="str">
        <f t="shared" si="6"/>
        <v>Sports</v>
      </c>
      <c r="J389" s="13">
        <v>63.06</v>
      </c>
      <c r="K389" s="13">
        <v>66.213000000000008</v>
      </c>
      <c r="L389" s="13">
        <v>3</v>
      </c>
      <c r="M389" s="13" t="s">
        <v>417</v>
      </c>
      <c r="N389" s="13">
        <v>7</v>
      </c>
      <c r="O389" s="13">
        <f>(CATEGORIZATION!$K389-CATEGORIZATION!$J389)</f>
        <v>3.1530000000000058</v>
      </c>
    </row>
    <row r="390" spans="2:15" ht="15.75">
      <c r="B390" s="13" t="s">
        <v>833</v>
      </c>
      <c r="C390" s="76">
        <v>43711</v>
      </c>
      <c r="D390" s="13" t="s">
        <v>175</v>
      </c>
      <c r="E390" s="13" t="s">
        <v>134</v>
      </c>
      <c r="F390" s="13" t="s">
        <v>420</v>
      </c>
      <c r="G390" s="13" t="s">
        <v>494</v>
      </c>
      <c r="H390" s="13" t="s">
        <v>446</v>
      </c>
      <c r="I390" s="13" t="str">
        <f t="shared" si="6"/>
        <v>Health and beauty</v>
      </c>
      <c r="J390" s="13">
        <v>51.71</v>
      </c>
      <c r="K390" s="13">
        <v>54.295499999999997</v>
      </c>
      <c r="L390" s="13">
        <v>4</v>
      </c>
      <c r="M390" s="13" t="s">
        <v>433</v>
      </c>
      <c r="N390" s="13">
        <v>9.8000000000000007</v>
      </c>
      <c r="O390" s="13">
        <f>(CATEGORIZATION!$K390-CATEGORIZATION!$J390)</f>
        <v>2.5854999999999961</v>
      </c>
    </row>
    <row r="391" spans="2:15" ht="15.75">
      <c r="B391" s="13" t="s">
        <v>834</v>
      </c>
      <c r="C391" s="76">
        <v>43551</v>
      </c>
      <c r="D391" s="13" t="s">
        <v>175</v>
      </c>
      <c r="E391" s="13" t="s">
        <v>134</v>
      </c>
      <c r="F391" s="13" t="s">
        <v>420</v>
      </c>
      <c r="G391" s="13" t="s">
        <v>415</v>
      </c>
      <c r="H391" s="13" t="s">
        <v>476</v>
      </c>
      <c r="I391" s="13" t="str">
        <f t="shared" si="6"/>
        <v>Food and beverages</v>
      </c>
      <c r="J391" s="13">
        <v>52.34</v>
      </c>
      <c r="K391" s="13">
        <v>54.957000000000001</v>
      </c>
      <c r="L391" s="13">
        <v>3</v>
      </c>
      <c r="M391" s="13" t="s">
        <v>422</v>
      </c>
      <c r="N391" s="13">
        <v>9.1999999999999993</v>
      </c>
      <c r="O391" s="13">
        <f>(CATEGORIZATION!$K391-CATEGORIZATION!$J391)</f>
        <v>2.6169999999999973</v>
      </c>
    </row>
    <row r="392" spans="2:15" ht="15.75">
      <c r="B392" s="13" t="s">
        <v>835</v>
      </c>
      <c r="C392" s="76">
        <v>43557</v>
      </c>
      <c r="D392" s="13" t="s">
        <v>175</v>
      </c>
      <c r="E392" s="13" t="s">
        <v>134</v>
      </c>
      <c r="F392" s="13" t="s">
        <v>420</v>
      </c>
      <c r="G392" s="13" t="s">
        <v>415</v>
      </c>
      <c r="H392" s="13" t="s">
        <v>455</v>
      </c>
      <c r="I392" s="13" t="str">
        <f t="shared" si="6"/>
        <v>Sports</v>
      </c>
      <c r="J392" s="13">
        <v>43.06</v>
      </c>
      <c r="K392" s="13">
        <v>45.213000000000001</v>
      </c>
      <c r="L392" s="13">
        <v>5</v>
      </c>
      <c r="M392" s="13" t="s">
        <v>417</v>
      </c>
      <c r="N392" s="13">
        <v>7.7</v>
      </c>
      <c r="O392" s="13">
        <f>(CATEGORIZATION!$K392-CATEGORIZATION!$J392)</f>
        <v>2.1529999999999987</v>
      </c>
    </row>
    <row r="393" spans="2:15" ht="15.75">
      <c r="B393" s="13" t="s">
        <v>836</v>
      </c>
      <c r="C393" s="76">
        <v>43558</v>
      </c>
      <c r="D393" s="13" t="s">
        <v>175</v>
      </c>
      <c r="E393" s="13" t="s">
        <v>134</v>
      </c>
      <c r="F393" s="13" t="s">
        <v>420</v>
      </c>
      <c r="G393" s="13" t="s">
        <v>494</v>
      </c>
      <c r="H393" s="13" t="s">
        <v>432</v>
      </c>
      <c r="I393" s="13" t="str">
        <f t="shared" si="6"/>
        <v>Health and beauty</v>
      </c>
      <c r="J393" s="13">
        <v>14.62</v>
      </c>
      <c r="K393" s="13">
        <v>15.350999999999999</v>
      </c>
      <c r="L393" s="13">
        <v>5</v>
      </c>
      <c r="M393" s="13" t="s">
        <v>422</v>
      </c>
      <c r="N393" s="13">
        <v>4.4000000000000004</v>
      </c>
      <c r="O393" s="13">
        <f>(CATEGORIZATION!$K393-CATEGORIZATION!$J393)</f>
        <v>0.73099999999999987</v>
      </c>
    </row>
    <row r="394" spans="2:15" ht="15.75">
      <c r="B394" s="13" t="s">
        <v>837</v>
      </c>
      <c r="C394" s="76">
        <v>43527</v>
      </c>
      <c r="D394" s="13" t="s">
        <v>419</v>
      </c>
      <c r="E394" s="13" t="s">
        <v>131</v>
      </c>
      <c r="F394" s="13" t="s">
        <v>414</v>
      </c>
      <c r="G394" s="13" t="s">
        <v>494</v>
      </c>
      <c r="H394" s="13" t="s">
        <v>432</v>
      </c>
      <c r="I394" s="13" t="str">
        <f t="shared" si="6"/>
        <v>Health and beauty</v>
      </c>
      <c r="J394" s="13">
        <v>46.53</v>
      </c>
      <c r="K394" s="13">
        <v>48.856500000000004</v>
      </c>
      <c r="L394" s="13">
        <v>6</v>
      </c>
      <c r="M394" s="13" t="s">
        <v>433</v>
      </c>
      <c r="N394" s="13">
        <v>4.3</v>
      </c>
      <c r="O394" s="13">
        <f>(CATEGORIZATION!$K394-CATEGORIZATION!$J394)</f>
        <v>2.3265000000000029</v>
      </c>
    </row>
    <row r="395" spans="2:15" ht="15.75">
      <c r="B395" s="13" t="s">
        <v>838</v>
      </c>
      <c r="C395" s="76">
        <v>43648</v>
      </c>
      <c r="D395" s="13" t="s">
        <v>175</v>
      </c>
      <c r="E395" s="13" t="s">
        <v>134</v>
      </c>
      <c r="F395" s="13" t="s">
        <v>414</v>
      </c>
      <c r="G395" s="13" t="s">
        <v>415</v>
      </c>
      <c r="H395" s="13" t="s">
        <v>455</v>
      </c>
      <c r="I395" s="13" t="str">
        <f t="shared" si="6"/>
        <v>Sports</v>
      </c>
      <c r="J395" s="13">
        <v>45.58</v>
      </c>
      <c r="K395" s="13">
        <v>47.859000000000002</v>
      </c>
      <c r="L395" s="13">
        <v>1</v>
      </c>
      <c r="M395" s="13" t="s">
        <v>422</v>
      </c>
      <c r="N395" s="13">
        <v>9.8000000000000007</v>
      </c>
      <c r="O395" s="13">
        <f>(CATEGORIZATION!$K395-CATEGORIZATION!$J395)</f>
        <v>2.2790000000000035</v>
      </c>
    </row>
    <row r="396" spans="2:15" ht="15.75">
      <c r="B396" s="13" t="s">
        <v>839</v>
      </c>
      <c r="C396" s="76">
        <v>43587</v>
      </c>
      <c r="D396" s="13" t="s">
        <v>175</v>
      </c>
      <c r="E396" s="13" t="s">
        <v>134</v>
      </c>
      <c r="F396" s="13" t="s">
        <v>414</v>
      </c>
      <c r="G396" s="13" t="s">
        <v>415</v>
      </c>
      <c r="H396" s="13" t="s">
        <v>444</v>
      </c>
      <c r="I396" s="13" t="str">
        <f t="shared" si="6"/>
        <v>Sports</v>
      </c>
      <c r="J396" s="13">
        <v>75.2</v>
      </c>
      <c r="K396" s="13">
        <v>78.959999999999994</v>
      </c>
      <c r="L396" s="13">
        <v>3</v>
      </c>
      <c r="M396" s="13" t="s">
        <v>417</v>
      </c>
      <c r="N396" s="13">
        <v>4.8</v>
      </c>
      <c r="O396" s="13">
        <f>(CATEGORIZATION!$K396-CATEGORIZATION!$J396)</f>
        <v>3.7599999999999909</v>
      </c>
    </row>
    <row r="397" spans="2:15" ht="15.75">
      <c r="B397" s="13" t="s">
        <v>840</v>
      </c>
      <c r="C397" s="76">
        <v>43539</v>
      </c>
      <c r="D397" s="13" t="s">
        <v>266</v>
      </c>
      <c r="E397" s="13" t="s">
        <v>135</v>
      </c>
      <c r="F397" s="13" t="s">
        <v>414</v>
      </c>
      <c r="G397" s="13" t="s">
        <v>494</v>
      </c>
      <c r="H397" s="13" t="s">
        <v>455</v>
      </c>
      <c r="I397" s="13" t="str">
        <f t="shared" si="6"/>
        <v>Sports</v>
      </c>
      <c r="J397" s="13">
        <v>96.8</v>
      </c>
      <c r="K397" s="13">
        <v>101.64</v>
      </c>
      <c r="L397" s="13">
        <v>3</v>
      </c>
      <c r="M397" s="13" t="s">
        <v>422</v>
      </c>
      <c r="N397" s="13">
        <v>5.3</v>
      </c>
      <c r="O397" s="13">
        <f>(CATEGORIZATION!$K397-CATEGORIZATION!$J397)</f>
        <v>4.8400000000000034</v>
      </c>
    </row>
    <row r="398" spans="2:15" ht="15.75">
      <c r="B398" s="13" t="s">
        <v>841</v>
      </c>
      <c r="C398" s="76">
        <v>43468</v>
      </c>
      <c r="D398" s="13" t="s">
        <v>266</v>
      </c>
      <c r="E398" s="13" t="s">
        <v>135</v>
      </c>
      <c r="F398" s="13" t="s">
        <v>420</v>
      </c>
      <c r="G398" s="13" t="s">
        <v>494</v>
      </c>
      <c r="H398" s="13" t="s">
        <v>442</v>
      </c>
      <c r="I398" s="13" t="str">
        <f t="shared" si="6"/>
        <v>Health and beauty</v>
      </c>
      <c r="J398" s="13">
        <v>14.82</v>
      </c>
      <c r="K398" s="13">
        <v>15.561</v>
      </c>
      <c r="L398" s="13">
        <v>3</v>
      </c>
      <c r="M398" s="13" t="s">
        <v>433</v>
      </c>
      <c r="N398" s="13">
        <v>8.6999999999999993</v>
      </c>
      <c r="O398" s="13">
        <f>(CATEGORIZATION!$K398-CATEGORIZATION!$J398)</f>
        <v>0.74099999999999966</v>
      </c>
    </row>
    <row r="399" spans="2:15" ht="15.75">
      <c r="B399" s="13" t="s">
        <v>842</v>
      </c>
      <c r="C399" s="76">
        <v>43511</v>
      </c>
      <c r="D399" s="13" t="s">
        <v>175</v>
      </c>
      <c r="E399" s="13" t="s">
        <v>134</v>
      </c>
      <c r="F399" s="13" t="s">
        <v>420</v>
      </c>
      <c r="G399" s="13" t="s">
        <v>494</v>
      </c>
      <c r="H399" s="13" t="s">
        <v>476</v>
      </c>
      <c r="I399" s="13" t="str">
        <f t="shared" si="6"/>
        <v>Food and beverages</v>
      </c>
      <c r="J399" s="13">
        <v>52.2</v>
      </c>
      <c r="K399" s="13">
        <v>54.81</v>
      </c>
      <c r="L399" s="13">
        <v>3</v>
      </c>
      <c r="M399" s="13" t="s">
        <v>433</v>
      </c>
      <c r="N399" s="13">
        <v>9.5</v>
      </c>
      <c r="O399" s="13">
        <f>(CATEGORIZATION!$K399-CATEGORIZATION!$J399)</f>
        <v>2.6099999999999994</v>
      </c>
    </row>
    <row r="400" spans="2:15" ht="15.75">
      <c r="B400" s="13" t="s">
        <v>843</v>
      </c>
      <c r="C400" s="76">
        <v>43513</v>
      </c>
      <c r="D400" s="13" t="s">
        <v>419</v>
      </c>
      <c r="E400" s="13" t="s">
        <v>131</v>
      </c>
      <c r="F400" s="13" t="s">
        <v>420</v>
      </c>
      <c r="G400" s="13" t="s">
        <v>415</v>
      </c>
      <c r="H400" s="13" t="s">
        <v>463</v>
      </c>
      <c r="I400" s="13" t="str">
        <f t="shared" si="6"/>
        <v>Sports</v>
      </c>
      <c r="J400" s="13">
        <v>46.66</v>
      </c>
      <c r="K400" s="13">
        <v>48.993000000000002</v>
      </c>
      <c r="L400" s="13">
        <v>9</v>
      </c>
      <c r="M400" s="13" t="s">
        <v>417</v>
      </c>
      <c r="N400" s="13">
        <v>5.3</v>
      </c>
      <c r="O400" s="13">
        <f>(CATEGORIZATION!$K400-CATEGORIZATION!$J400)</f>
        <v>2.3330000000000055</v>
      </c>
    </row>
    <row r="401" spans="2:15" ht="15.75">
      <c r="B401" s="13" t="s">
        <v>844</v>
      </c>
      <c r="C401" s="76">
        <v>43488</v>
      </c>
      <c r="D401" s="13" t="s">
        <v>419</v>
      </c>
      <c r="E401" s="13" t="s">
        <v>131</v>
      </c>
      <c r="F401" s="13" t="s">
        <v>420</v>
      </c>
      <c r="G401" s="13" t="s">
        <v>494</v>
      </c>
      <c r="H401" s="13" t="s">
        <v>421</v>
      </c>
      <c r="I401" s="13" t="str">
        <f t="shared" si="6"/>
        <v>Electronic accessories</v>
      </c>
      <c r="J401" s="13">
        <v>83.08</v>
      </c>
      <c r="K401" s="13">
        <v>87.233999999999995</v>
      </c>
      <c r="L401" s="13">
        <v>1</v>
      </c>
      <c r="M401" s="13" t="s">
        <v>417</v>
      </c>
      <c r="N401" s="13">
        <v>6.4</v>
      </c>
      <c r="O401" s="13">
        <f>(CATEGORIZATION!$K401-CATEGORIZATION!$J401)</f>
        <v>4.1539999999999964</v>
      </c>
    </row>
    <row r="402" spans="2:15" ht="15.75">
      <c r="B402" s="13" t="s">
        <v>845</v>
      </c>
      <c r="C402" s="76">
        <v>43538</v>
      </c>
      <c r="D402" s="13" t="s">
        <v>419</v>
      </c>
      <c r="E402" s="13" t="s">
        <v>131</v>
      </c>
      <c r="F402" s="13" t="s">
        <v>420</v>
      </c>
      <c r="G402" s="13" t="s">
        <v>494</v>
      </c>
      <c r="H402" s="13" t="s">
        <v>476</v>
      </c>
      <c r="I402" s="13" t="str">
        <f t="shared" si="6"/>
        <v>Food and beverages</v>
      </c>
      <c r="J402" s="13">
        <v>77.56</v>
      </c>
      <c r="K402" s="13">
        <v>81.438000000000002</v>
      </c>
      <c r="L402" s="13">
        <v>10</v>
      </c>
      <c r="M402" s="13" t="s">
        <v>417</v>
      </c>
      <c r="N402" s="13">
        <v>6.9</v>
      </c>
      <c r="O402" s="13">
        <f>(CATEGORIZATION!$K402-CATEGORIZATION!$J402)</f>
        <v>3.8780000000000001</v>
      </c>
    </row>
    <row r="403" spans="2:15" ht="15.75">
      <c r="B403" s="13" t="s">
        <v>846</v>
      </c>
      <c r="C403" s="76">
        <v>43541</v>
      </c>
      <c r="D403" s="13" t="s">
        <v>266</v>
      </c>
      <c r="E403" s="13" t="s">
        <v>135</v>
      </c>
      <c r="F403" s="13" t="s">
        <v>420</v>
      </c>
      <c r="G403" s="13" t="s">
        <v>415</v>
      </c>
      <c r="H403" s="13" t="s">
        <v>463</v>
      </c>
      <c r="I403" s="13" t="str">
        <f t="shared" si="6"/>
        <v>Sports</v>
      </c>
      <c r="J403" s="13">
        <v>54.51</v>
      </c>
      <c r="K403" s="13">
        <v>57.235500000000002</v>
      </c>
      <c r="L403" s="13">
        <v>6</v>
      </c>
      <c r="M403" s="13" t="s">
        <v>417</v>
      </c>
      <c r="N403" s="13">
        <v>7.8</v>
      </c>
      <c r="O403" s="13">
        <f>(CATEGORIZATION!$K403-CATEGORIZATION!$J403)</f>
        <v>2.7255000000000038</v>
      </c>
    </row>
    <row r="404" spans="2:15" ht="15.75">
      <c r="B404" s="13" t="s">
        <v>847</v>
      </c>
      <c r="C404" s="76">
        <v>43552</v>
      </c>
      <c r="D404" s="13" t="s">
        <v>419</v>
      </c>
      <c r="E404" s="13" t="s">
        <v>131</v>
      </c>
      <c r="F404" s="13" t="s">
        <v>414</v>
      </c>
      <c r="G404" s="13" t="s">
        <v>415</v>
      </c>
      <c r="H404" s="13" t="s">
        <v>476</v>
      </c>
      <c r="I404" s="13" t="str">
        <f t="shared" si="6"/>
        <v>Food and beverages</v>
      </c>
      <c r="J404" s="13">
        <v>49.79</v>
      </c>
      <c r="K404" s="13">
        <v>52.279499999999999</v>
      </c>
      <c r="L404" s="13">
        <v>4</v>
      </c>
      <c r="M404" s="13" t="s">
        <v>433</v>
      </c>
      <c r="N404" s="13">
        <v>6.4</v>
      </c>
      <c r="O404" s="13">
        <f>(CATEGORIZATION!$K404-CATEGORIZATION!$J404)</f>
        <v>2.4894999999999996</v>
      </c>
    </row>
    <row r="405" spans="2:15" ht="15.75">
      <c r="B405" s="13" t="s">
        <v>848</v>
      </c>
      <c r="C405" s="76">
        <v>43482</v>
      </c>
      <c r="D405" s="13" t="s">
        <v>266</v>
      </c>
      <c r="E405" s="13" t="s">
        <v>135</v>
      </c>
      <c r="F405" s="13" t="s">
        <v>414</v>
      </c>
      <c r="G405" s="13" t="s">
        <v>494</v>
      </c>
      <c r="H405" s="13" t="s">
        <v>476</v>
      </c>
      <c r="I405" s="13" t="str">
        <f t="shared" si="6"/>
        <v>Food and beverages</v>
      </c>
      <c r="J405" s="13">
        <v>57.89</v>
      </c>
      <c r="K405" s="13">
        <v>60.784500000000001</v>
      </c>
      <c r="L405" s="13">
        <v>2</v>
      </c>
      <c r="M405" s="13" t="s">
        <v>417</v>
      </c>
      <c r="N405" s="13">
        <v>8.9</v>
      </c>
      <c r="O405" s="13">
        <f>(CATEGORIZATION!$K405-CATEGORIZATION!$J405)</f>
        <v>2.8945000000000007</v>
      </c>
    </row>
    <row r="406" spans="2:15" ht="15.75">
      <c r="B406" s="13" t="s">
        <v>849</v>
      </c>
      <c r="C406" s="76">
        <v>43648</v>
      </c>
      <c r="D406" s="13" t="s">
        <v>175</v>
      </c>
      <c r="E406" s="13" t="s">
        <v>134</v>
      </c>
      <c r="F406" s="13" t="s">
        <v>420</v>
      </c>
      <c r="G406" s="13" t="s">
        <v>415</v>
      </c>
      <c r="H406" s="13" t="s">
        <v>421</v>
      </c>
      <c r="I406" s="13" t="str">
        <f t="shared" si="6"/>
        <v>Electronic accessories</v>
      </c>
      <c r="J406" s="13">
        <v>28.96</v>
      </c>
      <c r="K406" s="13">
        <v>30.408000000000001</v>
      </c>
      <c r="L406" s="13">
        <v>1</v>
      </c>
      <c r="M406" s="13" t="s">
        <v>433</v>
      </c>
      <c r="N406" s="13">
        <v>6.2</v>
      </c>
      <c r="O406" s="13">
        <f>(CATEGORIZATION!$K406-CATEGORIZATION!$J406)</f>
        <v>1.4480000000000004</v>
      </c>
    </row>
    <row r="407" spans="2:15" ht="15.75">
      <c r="B407" s="13" t="s">
        <v>850</v>
      </c>
      <c r="C407" s="76">
        <v>43711</v>
      </c>
      <c r="D407" s="13" t="s">
        <v>419</v>
      </c>
      <c r="E407" s="13" t="s">
        <v>131</v>
      </c>
      <c r="F407" s="13" t="s">
        <v>414</v>
      </c>
      <c r="G407" s="13" t="s">
        <v>415</v>
      </c>
      <c r="H407" s="13" t="s">
        <v>476</v>
      </c>
      <c r="I407" s="13" t="str">
        <f t="shared" si="6"/>
        <v>Food and beverages</v>
      </c>
      <c r="J407" s="13">
        <v>98.97</v>
      </c>
      <c r="K407" s="13">
        <v>103.91849999999999</v>
      </c>
      <c r="L407" s="13">
        <v>9</v>
      </c>
      <c r="M407" s="13" t="s">
        <v>422</v>
      </c>
      <c r="N407" s="13">
        <v>6.7</v>
      </c>
      <c r="O407" s="13">
        <f>(CATEGORIZATION!$K407-CATEGORIZATION!$J407)</f>
        <v>4.9484999999999957</v>
      </c>
    </row>
    <row r="408" spans="2:15" ht="15.75">
      <c r="B408" s="13" t="s">
        <v>851</v>
      </c>
      <c r="C408" s="76">
        <v>43484</v>
      </c>
      <c r="D408" s="13" t="s">
        <v>419</v>
      </c>
      <c r="E408" s="13" t="s">
        <v>131</v>
      </c>
      <c r="F408" s="13" t="s">
        <v>414</v>
      </c>
      <c r="G408" s="13" t="s">
        <v>494</v>
      </c>
      <c r="H408" s="13" t="s">
        <v>463</v>
      </c>
      <c r="I408" s="13" t="str">
        <f t="shared" si="6"/>
        <v>Sports</v>
      </c>
      <c r="J408" s="13">
        <v>80.930000000000007</v>
      </c>
      <c r="K408" s="13">
        <v>84.976500000000001</v>
      </c>
      <c r="L408" s="13">
        <v>1</v>
      </c>
      <c r="M408" s="13" t="s">
        <v>433</v>
      </c>
      <c r="N408" s="13">
        <v>9</v>
      </c>
      <c r="O408" s="13">
        <f>(CATEGORIZATION!$K408-CATEGORIZATION!$J408)</f>
        <v>4.0464999999999947</v>
      </c>
    </row>
    <row r="409" spans="2:15" ht="15.75">
      <c r="B409" s="13" t="s">
        <v>852</v>
      </c>
      <c r="C409" s="76">
        <v>43526</v>
      </c>
      <c r="D409" s="13" t="s">
        <v>175</v>
      </c>
      <c r="E409" s="13" t="s">
        <v>134</v>
      </c>
      <c r="F409" s="13" t="s">
        <v>414</v>
      </c>
      <c r="G409" s="13" t="s">
        <v>494</v>
      </c>
      <c r="H409" s="13" t="s">
        <v>457</v>
      </c>
      <c r="I409" s="13" t="str">
        <f t="shared" si="6"/>
        <v>Food and beverages</v>
      </c>
      <c r="J409" s="13">
        <v>67.45</v>
      </c>
      <c r="K409" s="13">
        <v>70.822500000000005</v>
      </c>
      <c r="L409" s="13">
        <v>10</v>
      </c>
      <c r="M409" s="13" t="s">
        <v>417</v>
      </c>
      <c r="N409" s="13">
        <v>4.2</v>
      </c>
      <c r="O409" s="13">
        <f>(CATEGORIZATION!$K409-CATEGORIZATION!$J409)</f>
        <v>3.3725000000000023</v>
      </c>
    </row>
    <row r="410" spans="2:15" ht="15.75">
      <c r="B410" s="13" t="s">
        <v>853</v>
      </c>
      <c r="C410" s="76">
        <v>43544</v>
      </c>
      <c r="D410" s="13" t="s">
        <v>175</v>
      </c>
      <c r="E410" s="13" t="s">
        <v>134</v>
      </c>
      <c r="F410" s="13" t="s">
        <v>414</v>
      </c>
      <c r="G410" s="13" t="s">
        <v>415</v>
      </c>
      <c r="H410" s="13" t="s">
        <v>463</v>
      </c>
      <c r="I410" s="13" t="str">
        <f t="shared" si="6"/>
        <v>Sports</v>
      </c>
      <c r="J410" s="13">
        <v>38.72</v>
      </c>
      <c r="K410" s="13">
        <v>40.655999999999999</v>
      </c>
      <c r="L410" s="13">
        <v>9</v>
      </c>
      <c r="M410" s="13" t="s">
        <v>417</v>
      </c>
      <c r="N410" s="13">
        <v>4.2</v>
      </c>
      <c r="O410" s="13">
        <f>(CATEGORIZATION!$K410-CATEGORIZATION!$J410)</f>
        <v>1.9359999999999999</v>
      </c>
    </row>
    <row r="411" spans="2:15" ht="15.75">
      <c r="B411" s="13" t="s">
        <v>854</v>
      </c>
      <c r="C411" s="76">
        <v>43478</v>
      </c>
      <c r="D411" s="13" t="s">
        <v>266</v>
      </c>
      <c r="E411" s="13" t="s">
        <v>135</v>
      </c>
      <c r="F411" s="13" t="s">
        <v>414</v>
      </c>
      <c r="G411" s="13" t="s">
        <v>494</v>
      </c>
      <c r="H411" s="13" t="s">
        <v>463</v>
      </c>
      <c r="I411" s="13" t="str">
        <f t="shared" si="6"/>
        <v>Sports</v>
      </c>
      <c r="J411" s="13">
        <v>72.599999999999994</v>
      </c>
      <c r="K411" s="13">
        <v>76.23</v>
      </c>
      <c r="L411" s="13">
        <v>6</v>
      </c>
      <c r="M411" s="13" t="s">
        <v>422</v>
      </c>
      <c r="N411" s="13">
        <v>6.9</v>
      </c>
      <c r="O411" s="13">
        <f>(CATEGORIZATION!$K411-CATEGORIZATION!$J411)</f>
        <v>3.6300000000000097</v>
      </c>
    </row>
    <row r="412" spans="2:15" ht="15.75">
      <c r="B412" s="13" t="s">
        <v>855</v>
      </c>
      <c r="C412" s="76">
        <v>43538</v>
      </c>
      <c r="D412" s="13" t="s">
        <v>419</v>
      </c>
      <c r="E412" s="13" t="s">
        <v>131</v>
      </c>
      <c r="F412" s="13" t="s">
        <v>414</v>
      </c>
      <c r="G412" s="13" t="s">
        <v>494</v>
      </c>
      <c r="H412" s="13" t="s">
        <v>421</v>
      </c>
      <c r="I412" s="13" t="str">
        <f t="shared" si="6"/>
        <v>Electronic accessories</v>
      </c>
      <c r="J412" s="13">
        <v>87.91</v>
      </c>
      <c r="K412" s="13">
        <v>92.305499999999995</v>
      </c>
      <c r="L412" s="13">
        <v>5</v>
      </c>
      <c r="M412" s="13" t="s">
        <v>417</v>
      </c>
      <c r="N412" s="13">
        <v>4.4000000000000004</v>
      </c>
      <c r="O412" s="13">
        <f>(CATEGORIZATION!$K412-CATEGORIZATION!$J412)</f>
        <v>4.3954999999999984</v>
      </c>
    </row>
    <row r="413" spans="2:15" ht="15.75">
      <c r="B413" s="13" t="s">
        <v>856</v>
      </c>
      <c r="C413" s="76">
        <v>43488</v>
      </c>
      <c r="D413" s="13" t="s">
        <v>175</v>
      </c>
      <c r="E413" s="13" t="s">
        <v>134</v>
      </c>
      <c r="F413" s="13" t="s">
        <v>414</v>
      </c>
      <c r="G413" s="13" t="s">
        <v>494</v>
      </c>
      <c r="H413" s="13" t="s">
        <v>457</v>
      </c>
      <c r="I413" s="13" t="str">
        <f t="shared" si="6"/>
        <v>Food and beverages</v>
      </c>
      <c r="J413" s="13">
        <v>98.53</v>
      </c>
      <c r="K413" s="13">
        <v>103.45650000000001</v>
      </c>
      <c r="L413" s="13">
        <v>6</v>
      </c>
      <c r="M413" s="13" t="s">
        <v>433</v>
      </c>
      <c r="N413" s="13">
        <v>4</v>
      </c>
      <c r="O413" s="13">
        <f>(CATEGORIZATION!$K413-CATEGORIZATION!$J413)</f>
        <v>4.9265000000000043</v>
      </c>
    </row>
    <row r="414" spans="2:15" ht="15.75">
      <c r="B414" s="13" t="s">
        <v>857</v>
      </c>
      <c r="C414" s="76">
        <v>43552</v>
      </c>
      <c r="D414" s="13" t="s">
        <v>175</v>
      </c>
      <c r="E414" s="13" t="s">
        <v>134</v>
      </c>
      <c r="F414" s="13" t="s">
        <v>420</v>
      </c>
      <c r="G414" s="13" t="s">
        <v>415</v>
      </c>
      <c r="H414" s="13" t="s">
        <v>457</v>
      </c>
      <c r="I414" s="13" t="str">
        <f t="shared" si="6"/>
        <v>Food and beverages</v>
      </c>
      <c r="J414" s="13">
        <v>71.680000000000007</v>
      </c>
      <c r="K414" s="13">
        <v>75.263999999999996</v>
      </c>
      <c r="L414" s="13">
        <v>3</v>
      </c>
      <c r="M414" s="13" t="s">
        <v>433</v>
      </c>
      <c r="N414" s="13">
        <v>9.1999999999999993</v>
      </c>
      <c r="O414" s="13">
        <f>(CATEGORIZATION!$K414-CATEGORIZATION!$J414)</f>
        <v>3.583999999999989</v>
      </c>
    </row>
    <row r="415" spans="2:15" ht="15.75">
      <c r="B415" s="13" t="s">
        <v>858</v>
      </c>
      <c r="C415" s="76">
        <v>43544</v>
      </c>
      <c r="D415" s="13" t="s">
        <v>175</v>
      </c>
      <c r="E415" s="13" t="s">
        <v>134</v>
      </c>
      <c r="F415" s="13" t="s">
        <v>414</v>
      </c>
      <c r="G415" s="13" t="s">
        <v>415</v>
      </c>
      <c r="H415" s="13" t="s">
        <v>457</v>
      </c>
      <c r="I415" s="13" t="str">
        <f t="shared" si="6"/>
        <v>Food and beverages</v>
      </c>
      <c r="J415" s="13">
        <v>91.61</v>
      </c>
      <c r="K415" s="13">
        <v>96.1905</v>
      </c>
      <c r="L415" s="13">
        <v>1</v>
      </c>
      <c r="M415" s="13" t="s">
        <v>422</v>
      </c>
      <c r="N415" s="13">
        <v>9.8000000000000007</v>
      </c>
      <c r="O415" s="13">
        <f>(CATEGORIZATION!$K415-CATEGORIZATION!$J415)</f>
        <v>4.5805000000000007</v>
      </c>
    </row>
    <row r="416" spans="2:15" ht="15.75">
      <c r="B416" s="13" t="s">
        <v>859</v>
      </c>
      <c r="C416" s="76">
        <v>43491</v>
      </c>
      <c r="D416" s="13" t="s">
        <v>266</v>
      </c>
      <c r="E416" s="13" t="s">
        <v>135</v>
      </c>
      <c r="F416" s="13" t="s">
        <v>414</v>
      </c>
      <c r="G416" s="13" t="s">
        <v>415</v>
      </c>
      <c r="H416" s="13" t="s">
        <v>457</v>
      </c>
      <c r="I416" s="13" t="str">
        <f t="shared" si="6"/>
        <v>Food and beverages</v>
      </c>
      <c r="J416" s="13">
        <v>78.88</v>
      </c>
      <c r="K416" s="13">
        <v>82.823999999999998</v>
      </c>
      <c r="L416" s="13">
        <v>2</v>
      </c>
      <c r="M416" s="13" t="s">
        <v>422</v>
      </c>
      <c r="N416" s="13">
        <v>9.1</v>
      </c>
      <c r="O416" s="13">
        <f>(CATEGORIZATION!$K416-CATEGORIZATION!$J416)</f>
        <v>3.9440000000000026</v>
      </c>
    </row>
    <row r="417" spans="2:15" ht="15.75">
      <c r="B417" s="13" t="s">
        <v>860</v>
      </c>
      <c r="C417" s="76">
        <v>43711</v>
      </c>
      <c r="D417" s="13" t="s">
        <v>175</v>
      </c>
      <c r="E417" s="13" t="s">
        <v>134</v>
      </c>
      <c r="F417" s="13" t="s">
        <v>420</v>
      </c>
      <c r="G417" s="13" t="s">
        <v>494</v>
      </c>
      <c r="H417" s="13" t="s">
        <v>463</v>
      </c>
      <c r="I417" s="13" t="str">
        <f t="shared" si="6"/>
        <v>Sports</v>
      </c>
      <c r="J417" s="13">
        <v>60.87</v>
      </c>
      <c r="K417" s="13">
        <v>63.913499999999999</v>
      </c>
      <c r="L417" s="13">
        <v>2</v>
      </c>
      <c r="M417" s="13" t="s">
        <v>417</v>
      </c>
      <c r="N417" s="13">
        <v>8.6999999999999993</v>
      </c>
      <c r="O417" s="13">
        <f>(CATEGORIZATION!$K417-CATEGORIZATION!$J417)</f>
        <v>3.0435000000000016</v>
      </c>
    </row>
    <row r="418" spans="2:15" ht="15.75">
      <c r="B418" s="13" t="s">
        <v>861</v>
      </c>
      <c r="C418" s="76">
        <v>43538</v>
      </c>
      <c r="D418" s="13" t="s">
        <v>266</v>
      </c>
      <c r="E418" s="13" t="s">
        <v>135</v>
      </c>
      <c r="F418" s="13" t="s">
        <v>414</v>
      </c>
      <c r="G418" s="13" t="s">
        <v>494</v>
      </c>
      <c r="H418" s="13" t="s">
        <v>432</v>
      </c>
      <c r="I418" s="13" t="str">
        <f t="shared" si="6"/>
        <v>Health and beauty</v>
      </c>
      <c r="J418" s="13">
        <v>82.58</v>
      </c>
      <c r="K418" s="13">
        <v>86.709000000000003</v>
      </c>
      <c r="L418" s="13">
        <v>10</v>
      </c>
      <c r="M418" s="13" t="s">
        <v>422</v>
      </c>
      <c r="N418" s="13">
        <v>5</v>
      </c>
      <c r="O418" s="13">
        <f>(CATEGORIZATION!$K418-CATEGORIZATION!$J418)</f>
        <v>4.1290000000000049</v>
      </c>
    </row>
    <row r="419" spans="2:15" ht="15.75">
      <c r="B419" s="13" t="s">
        <v>862</v>
      </c>
      <c r="C419" s="76">
        <v>43484</v>
      </c>
      <c r="D419" s="13" t="s">
        <v>175</v>
      </c>
      <c r="E419" s="13" t="s">
        <v>134</v>
      </c>
      <c r="F419" s="13" t="s">
        <v>420</v>
      </c>
      <c r="G419" s="13" t="s">
        <v>494</v>
      </c>
      <c r="H419" s="13" t="s">
        <v>469</v>
      </c>
      <c r="I419" s="13" t="str">
        <f t="shared" si="6"/>
        <v>Sports</v>
      </c>
      <c r="J419" s="13">
        <v>64.19</v>
      </c>
      <c r="K419" s="13">
        <v>67.399500000000003</v>
      </c>
      <c r="L419" s="13">
        <v>10</v>
      </c>
      <c r="M419" s="13" t="s">
        <v>433</v>
      </c>
      <c r="N419" s="13">
        <v>6.7</v>
      </c>
      <c r="O419" s="13">
        <f>(CATEGORIZATION!$K419-CATEGORIZATION!$J419)</f>
        <v>3.2095000000000056</v>
      </c>
    </row>
    <row r="420" spans="2:15" ht="15.75">
      <c r="B420" s="13" t="s">
        <v>863</v>
      </c>
      <c r="C420" s="76">
        <v>43588</v>
      </c>
      <c r="D420" s="13" t="s">
        <v>175</v>
      </c>
      <c r="E420" s="13" t="s">
        <v>134</v>
      </c>
      <c r="F420" s="13" t="s">
        <v>420</v>
      </c>
      <c r="G420" s="13" t="s">
        <v>494</v>
      </c>
      <c r="H420" s="13" t="s">
        <v>421</v>
      </c>
      <c r="I420" s="13" t="str">
        <f t="shared" si="6"/>
        <v>Electronic accessories</v>
      </c>
      <c r="J420" s="13">
        <v>78.31</v>
      </c>
      <c r="K420" s="13">
        <v>82.225499999999997</v>
      </c>
      <c r="L420" s="13">
        <v>3</v>
      </c>
      <c r="M420" s="13" t="s">
        <v>417</v>
      </c>
      <c r="N420" s="13">
        <v>5.4</v>
      </c>
      <c r="O420" s="13">
        <f>(CATEGORIZATION!$K420-CATEGORIZATION!$J420)</f>
        <v>3.9154999999999944</v>
      </c>
    </row>
    <row r="421" spans="2:15" ht="15.75">
      <c r="B421" s="13" t="s">
        <v>864</v>
      </c>
      <c r="C421" s="76">
        <v>43480</v>
      </c>
      <c r="D421" s="13" t="s">
        <v>175</v>
      </c>
      <c r="E421" s="13" t="s">
        <v>134</v>
      </c>
      <c r="F421" s="13" t="s">
        <v>414</v>
      </c>
      <c r="G421" s="13" t="s">
        <v>494</v>
      </c>
      <c r="H421" s="13" t="s">
        <v>457</v>
      </c>
      <c r="I421" s="13" t="str">
        <f t="shared" si="6"/>
        <v>Food and beverages</v>
      </c>
      <c r="J421" s="13">
        <v>83.77</v>
      </c>
      <c r="K421" s="13">
        <v>87.958500000000001</v>
      </c>
      <c r="L421" s="13">
        <v>2</v>
      </c>
      <c r="M421" s="13" t="s">
        <v>433</v>
      </c>
      <c r="N421" s="13">
        <v>7</v>
      </c>
      <c r="O421" s="13">
        <f>(CATEGORIZATION!$K421-CATEGORIZATION!$J421)</f>
        <v>4.1885000000000048</v>
      </c>
    </row>
    <row r="422" spans="2:15" ht="15.75">
      <c r="B422" s="13" t="s">
        <v>865</v>
      </c>
      <c r="C422" s="76">
        <v>43544</v>
      </c>
      <c r="D422" s="13" t="s">
        <v>266</v>
      </c>
      <c r="E422" s="13" t="s">
        <v>135</v>
      </c>
      <c r="F422" s="13" t="s">
        <v>414</v>
      </c>
      <c r="G422" s="13" t="s">
        <v>494</v>
      </c>
      <c r="H422" s="13" t="s">
        <v>457</v>
      </c>
      <c r="I422" s="13" t="str">
        <f t="shared" si="6"/>
        <v>Food and beverages</v>
      </c>
      <c r="J422" s="13">
        <v>79.91</v>
      </c>
      <c r="K422" s="13">
        <v>83.905500000000004</v>
      </c>
      <c r="L422" s="13">
        <v>3</v>
      </c>
      <c r="M422" s="13" t="s">
        <v>433</v>
      </c>
      <c r="N422" s="13">
        <v>5</v>
      </c>
      <c r="O422" s="13">
        <f>(CATEGORIZATION!$K422-CATEGORIZATION!$J422)</f>
        <v>3.9955000000000069</v>
      </c>
    </row>
    <row r="423" spans="2:15" ht="15.75">
      <c r="B423" s="13" t="s">
        <v>866</v>
      </c>
      <c r="C423" s="76">
        <v>43480</v>
      </c>
      <c r="D423" s="13" t="s">
        <v>266</v>
      </c>
      <c r="E423" s="13" t="s">
        <v>135</v>
      </c>
      <c r="F423" s="13" t="s">
        <v>414</v>
      </c>
      <c r="G423" s="13" t="s">
        <v>494</v>
      </c>
      <c r="H423" s="13" t="s">
        <v>446</v>
      </c>
      <c r="I423" s="13" t="str">
        <f t="shared" si="6"/>
        <v>Health and beauty</v>
      </c>
      <c r="J423" s="13">
        <v>66.47</v>
      </c>
      <c r="K423" s="13">
        <v>69.793499999999995</v>
      </c>
      <c r="L423" s="13">
        <v>10</v>
      </c>
      <c r="M423" s="13" t="s">
        <v>433</v>
      </c>
      <c r="N423" s="13">
        <v>5</v>
      </c>
      <c r="O423" s="13">
        <f>(CATEGORIZATION!$K423-CATEGORIZATION!$J423)</f>
        <v>3.3234999999999957</v>
      </c>
    </row>
    <row r="424" spans="2:15" ht="15.75">
      <c r="B424" s="13" t="s">
        <v>867</v>
      </c>
      <c r="C424" s="76">
        <v>43527</v>
      </c>
      <c r="D424" s="13" t="s">
        <v>175</v>
      </c>
      <c r="E424" s="13" t="s">
        <v>134</v>
      </c>
      <c r="F424" s="13" t="s">
        <v>420</v>
      </c>
      <c r="G424" s="13" t="s">
        <v>494</v>
      </c>
      <c r="H424" s="13" t="s">
        <v>432</v>
      </c>
      <c r="I424" s="13" t="str">
        <f t="shared" si="6"/>
        <v>Health and beauty</v>
      </c>
      <c r="J424" s="13">
        <v>28.95</v>
      </c>
      <c r="K424" s="13">
        <v>30.397500000000001</v>
      </c>
      <c r="L424" s="13">
        <v>7</v>
      </c>
      <c r="M424" s="13" t="s">
        <v>433</v>
      </c>
      <c r="N424" s="13">
        <v>6</v>
      </c>
      <c r="O424" s="13">
        <f>(CATEGORIZATION!$K424-CATEGORIZATION!$J424)</f>
        <v>1.4475000000000016</v>
      </c>
    </row>
    <row r="425" spans="2:15" ht="15.75">
      <c r="B425" s="13" t="s">
        <v>868</v>
      </c>
      <c r="C425" s="76">
        <v>43543</v>
      </c>
      <c r="D425" s="13" t="s">
        <v>419</v>
      </c>
      <c r="E425" s="13" t="s">
        <v>131</v>
      </c>
      <c r="F425" s="13" t="s">
        <v>420</v>
      </c>
      <c r="G425" s="13" t="s">
        <v>415</v>
      </c>
      <c r="H425" s="13" t="s">
        <v>499</v>
      </c>
      <c r="I425" s="13" t="str">
        <f t="shared" si="6"/>
        <v>Electronic accessories</v>
      </c>
      <c r="J425" s="13">
        <v>46.2</v>
      </c>
      <c r="K425" s="13">
        <v>48.51</v>
      </c>
      <c r="L425" s="13">
        <v>1</v>
      </c>
      <c r="M425" s="13" t="s">
        <v>422</v>
      </c>
      <c r="N425" s="13">
        <v>6.3</v>
      </c>
      <c r="O425" s="13">
        <f>(CATEGORIZATION!$K425-CATEGORIZATION!$J425)</f>
        <v>2.3099999999999952</v>
      </c>
    </row>
    <row r="426" spans="2:15" ht="15.75">
      <c r="B426" s="13" t="s">
        <v>869</v>
      </c>
      <c r="C426" s="76">
        <v>43680</v>
      </c>
      <c r="D426" s="13" t="s">
        <v>266</v>
      </c>
      <c r="E426" s="13" t="s">
        <v>135</v>
      </c>
      <c r="F426" s="13" t="s">
        <v>414</v>
      </c>
      <c r="G426" s="13" t="s">
        <v>415</v>
      </c>
      <c r="H426" s="13" t="s">
        <v>457</v>
      </c>
      <c r="I426" s="13" t="str">
        <f t="shared" si="6"/>
        <v>Food and beverages</v>
      </c>
      <c r="J426" s="13">
        <v>17.63</v>
      </c>
      <c r="K426" s="13">
        <v>18.511500000000002</v>
      </c>
      <c r="L426" s="13">
        <v>5</v>
      </c>
      <c r="M426" s="13" t="s">
        <v>422</v>
      </c>
      <c r="N426" s="13">
        <v>8.5</v>
      </c>
      <c r="O426" s="13">
        <f>(CATEGORIZATION!$K426-CATEGORIZATION!$J426)</f>
        <v>0.88150000000000261</v>
      </c>
    </row>
    <row r="427" spans="2:15" ht="15.75">
      <c r="B427" s="13" t="s">
        <v>870</v>
      </c>
      <c r="C427" s="76">
        <v>43519</v>
      </c>
      <c r="D427" s="13" t="s">
        <v>266</v>
      </c>
      <c r="E427" s="13" t="s">
        <v>135</v>
      </c>
      <c r="F427" s="13" t="s">
        <v>414</v>
      </c>
      <c r="G427" s="13" t="s">
        <v>415</v>
      </c>
      <c r="H427" s="13" t="s">
        <v>457</v>
      </c>
      <c r="I427" s="13" t="str">
        <f t="shared" si="6"/>
        <v>Food and beverages</v>
      </c>
      <c r="J427" s="13">
        <v>98.79</v>
      </c>
      <c r="K427" s="13">
        <v>103.72949999999999</v>
      </c>
      <c r="L427" s="13">
        <v>3</v>
      </c>
      <c r="M427" s="13" t="s">
        <v>417</v>
      </c>
      <c r="N427" s="13">
        <v>6.4</v>
      </c>
      <c r="O427" s="13">
        <f>(CATEGORIZATION!$K427-CATEGORIZATION!$J427)</f>
        <v>4.9394999999999811</v>
      </c>
    </row>
    <row r="428" spans="2:15" ht="15.75">
      <c r="B428" s="13" t="s">
        <v>871</v>
      </c>
      <c r="C428" s="76">
        <v>43543</v>
      </c>
      <c r="D428" s="13" t="s">
        <v>419</v>
      </c>
      <c r="E428" s="13" t="s">
        <v>131</v>
      </c>
      <c r="F428" s="13" t="s">
        <v>414</v>
      </c>
      <c r="G428" s="13" t="s">
        <v>415</v>
      </c>
      <c r="H428" s="13" t="s">
        <v>430</v>
      </c>
      <c r="I428" s="13" t="str">
        <f t="shared" si="6"/>
        <v>Electronic accessories</v>
      </c>
      <c r="J428" s="13">
        <v>88.55</v>
      </c>
      <c r="K428" s="13">
        <v>92.977500000000006</v>
      </c>
      <c r="L428" s="13">
        <v>8</v>
      </c>
      <c r="M428" s="13" t="s">
        <v>417</v>
      </c>
      <c r="N428" s="13">
        <v>4.7</v>
      </c>
      <c r="O428" s="13">
        <f>(CATEGORIZATION!$K428-CATEGORIZATION!$J428)</f>
        <v>4.4275000000000091</v>
      </c>
    </row>
    <row r="429" spans="2:15" ht="15.75">
      <c r="B429" s="13" t="s">
        <v>872</v>
      </c>
      <c r="C429" s="76">
        <v>43551</v>
      </c>
      <c r="D429" s="13" t="s">
        <v>266</v>
      </c>
      <c r="E429" s="13" t="s">
        <v>135</v>
      </c>
      <c r="F429" s="13" t="s">
        <v>414</v>
      </c>
      <c r="G429" s="13" t="s">
        <v>494</v>
      </c>
      <c r="H429" s="13" t="s">
        <v>430</v>
      </c>
      <c r="I429" s="13" t="str">
        <f t="shared" si="6"/>
        <v>Electronic accessories</v>
      </c>
      <c r="J429" s="13">
        <v>55.67</v>
      </c>
      <c r="K429" s="13">
        <v>58.453499999999998</v>
      </c>
      <c r="L429" s="13">
        <v>2</v>
      </c>
      <c r="M429" s="13" t="s">
        <v>417</v>
      </c>
      <c r="N429" s="13">
        <v>6</v>
      </c>
      <c r="O429" s="13">
        <f>(CATEGORIZATION!$K429-CATEGORIZATION!$J429)</f>
        <v>2.7834999999999965</v>
      </c>
    </row>
    <row r="430" spans="2:15" ht="15.75">
      <c r="B430" s="13" t="s">
        <v>873</v>
      </c>
      <c r="C430" s="76">
        <v>43554</v>
      </c>
      <c r="D430" s="13" t="s">
        <v>419</v>
      </c>
      <c r="E430" s="13" t="s">
        <v>131</v>
      </c>
      <c r="F430" s="13" t="s">
        <v>414</v>
      </c>
      <c r="G430" s="13" t="s">
        <v>415</v>
      </c>
      <c r="H430" s="13" t="s">
        <v>457</v>
      </c>
      <c r="I430" s="13" t="str">
        <f t="shared" si="6"/>
        <v>Food and beverages</v>
      </c>
      <c r="J430" s="13">
        <v>72.52</v>
      </c>
      <c r="K430" s="13">
        <v>76.146000000000001</v>
      </c>
      <c r="L430" s="13">
        <v>8</v>
      </c>
      <c r="M430" s="13" t="s">
        <v>433</v>
      </c>
      <c r="N430" s="13">
        <v>4</v>
      </c>
      <c r="O430" s="13">
        <f>(CATEGORIZATION!$K430-CATEGORIZATION!$J430)</f>
        <v>3.6260000000000048</v>
      </c>
    </row>
    <row r="431" spans="2:15" ht="15.75">
      <c r="B431" s="13" t="s">
        <v>874</v>
      </c>
      <c r="C431" s="76">
        <v>43512</v>
      </c>
      <c r="D431" s="13" t="s">
        <v>419</v>
      </c>
      <c r="E431" s="13" t="s">
        <v>131</v>
      </c>
      <c r="F431" s="13" t="s">
        <v>414</v>
      </c>
      <c r="G431" s="13" t="s">
        <v>494</v>
      </c>
      <c r="H431" s="13" t="s">
        <v>430</v>
      </c>
      <c r="I431" s="13" t="str">
        <f t="shared" si="6"/>
        <v>Electronic accessories</v>
      </c>
      <c r="J431" s="13">
        <v>12.05</v>
      </c>
      <c r="K431" s="13">
        <v>12.6525</v>
      </c>
      <c r="L431" s="13">
        <v>5</v>
      </c>
      <c r="M431" s="13" t="s">
        <v>417</v>
      </c>
      <c r="N431" s="13">
        <v>5.5</v>
      </c>
      <c r="O431" s="13">
        <f>(CATEGORIZATION!$K431-CATEGORIZATION!$J431)</f>
        <v>0.60249999999999915</v>
      </c>
    </row>
    <row r="432" spans="2:15" ht="15.75">
      <c r="B432" s="13" t="s">
        <v>875</v>
      </c>
      <c r="C432" s="76">
        <v>43554</v>
      </c>
      <c r="D432" s="13" t="s">
        <v>419</v>
      </c>
      <c r="E432" s="13" t="s">
        <v>131</v>
      </c>
      <c r="F432" s="13" t="s">
        <v>420</v>
      </c>
      <c r="G432" s="13" t="s">
        <v>494</v>
      </c>
      <c r="H432" s="13" t="s">
        <v>432</v>
      </c>
      <c r="I432" s="13" t="str">
        <f t="shared" si="6"/>
        <v>Health and beauty</v>
      </c>
      <c r="J432" s="13">
        <v>70.209999999999994</v>
      </c>
      <c r="K432" s="13">
        <v>73.720500000000001</v>
      </c>
      <c r="L432" s="13">
        <v>6</v>
      </c>
      <c r="M432" s="13" t="s">
        <v>422</v>
      </c>
      <c r="N432" s="13">
        <v>7.4</v>
      </c>
      <c r="O432" s="13">
        <f>(CATEGORIZATION!$K432-CATEGORIZATION!$J432)</f>
        <v>3.5105000000000075</v>
      </c>
    </row>
    <row r="433" spans="2:15" ht="15.75">
      <c r="B433" s="13" t="s">
        <v>876</v>
      </c>
      <c r="C433" s="76">
        <v>43481</v>
      </c>
      <c r="D433" s="13" t="s">
        <v>419</v>
      </c>
      <c r="E433" s="13" t="s">
        <v>131</v>
      </c>
      <c r="F433" s="13" t="s">
        <v>414</v>
      </c>
      <c r="G433" s="13" t="s">
        <v>415</v>
      </c>
      <c r="H433" s="13" t="s">
        <v>469</v>
      </c>
      <c r="I433" s="13" t="str">
        <f t="shared" si="6"/>
        <v>Sports</v>
      </c>
      <c r="J433" s="13">
        <v>15.49</v>
      </c>
      <c r="K433" s="13">
        <v>16.264500000000002</v>
      </c>
      <c r="L433" s="13">
        <v>2</v>
      </c>
      <c r="M433" s="13" t="s">
        <v>422</v>
      </c>
      <c r="N433" s="13">
        <v>6.3</v>
      </c>
      <c r="O433" s="13">
        <f>(CATEGORIZATION!$K433-CATEGORIZATION!$J433)</f>
        <v>0.77450000000000152</v>
      </c>
    </row>
    <row r="434" spans="2:15" ht="15.75">
      <c r="B434" s="13" t="s">
        <v>877</v>
      </c>
      <c r="C434" s="76">
        <v>43520</v>
      </c>
      <c r="D434" s="13" t="s">
        <v>419</v>
      </c>
      <c r="E434" s="13" t="s">
        <v>131</v>
      </c>
      <c r="F434" s="13" t="s">
        <v>420</v>
      </c>
      <c r="G434" s="13" t="s">
        <v>494</v>
      </c>
      <c r="H434" s="13" t="s">
        <v>430</v>
      </c>
      <c r="I434" s="13" t="str">
        <f t="shared" si="6"/>
        <v>Electronic accessories</v>
      </c>
      <c r="J434" s="13">
        <v>24.74</v>
      </c>
      <c r="K434" s="13">
        <v>25.976999999999997</v>
      </c>
      <c r="L434" s="13">
        <v>10</v>
      </c>
      <c r="M434" s="13" t="s">
        <v>422</v>
      </c>
      <c r="N434" s="13">
        <v>7.1</v>
      </c>
      <c r="O434" s="13">
        <f>(CATEGORIZATION!$K434-CATEGORIZATION!$J434)</f>
        <v>1.2369999999999983</v>
      </c>
    </row>
    <row r="435" spans="2:15" ht="15.75">
      <c r="B435" s="13" t="s">
        <v>878</v>
      </c>
      <c r="C435" s="76">
        <v>43480</v>
      </c>
      <c r="D435" s="13" t="s">
        <v>266</v>
      </c>
      <c r="E435" s="13" t="s">
        <v>135</v>
      </c>
      <c r="F435" s="13" t="s">
        <v>420</v>
      </c>
      <c r="G435" s="13" t="s">
        <v>494</v>
      </c>
      <c r="H435" s="13" t="s">
        <v>430</v>
      </c>
      <c r="I435" s="13" t="str">
        <f t="shared" si="6"/>
        <v>Electronic accessories</v>
      </c>
      <c r="J435" s="13">
        <v>75.66</v>
      </c>
      <c r="K435" s="13">
        <v>79.442999999999998</v>
      </c>
      <c r="L435" s="13">
        <v>5</v>
      </c>
      <c r="M435" s="13" t="s">
        <v>417</v>
      </c>
      <c r="N435" s="13">
        <v>7.8</v>
      </c>
      <c r="O435" s="13">
        <f>(CATEGORIZATION!$K435-CATEGORIZATION!$J435)</f>
        <v>3.7830000000000013</v>
      </c>
    </row>
    <row r="436" spans="2:15" ht="15.75">
      <c r="B436" s="13" t="s">
        <v>879</v>
      </c>
      <c r="C436" s="76">
        <v>43487</v>
      </c>
      <c r="D436" s="13" t="s">
        <v>266</v>
      </c>
      <c r="E436" s="13" t="s">
        <v>135</v>
      </c>
      <c r="F436" s="13" t="s">
        <v>420</v>
      </c>
      <c r="G436" s="13" t="s">
        <v>415</v>
      </c>
      <c r="H436" s="13" t="s">
        <v>465</v>
      </c>
      <c r="I436" s="13" t="str">
        <f t="shared" si="6"/>
        <v>Health and beauty</v>
      </c>
      <c r="J436" s="13">
        <v>55.81</v>
      </c>
      <c r="K436" s="13">
        <v>58.600500000000004</v>
      </c>
      <c r="L436" s="13">
        <v>6</v>
      </c>
      <c r="M436" s="13" t="s">
        <v>422</v>
      </c>
      <c r="N436" s="13">
        <v>9.9</v>
      </c>
      <c r="O436" s="13">
        <f>(CATEGORIZATION!$K436-CATEGORIZATION!$J436)</f>
        <v>2.7905000000000015</v>
      </c>
    </row>
    <row r="437" spans="2:15" ht="15.75">
      <c r="B437" s="13" t="s">
        <v>880</v>
      </c>
      <c r="C437" s="76">
        <v>43619</v>
      </c>
      <c r="D437" s="13" t="s">
        <v>266</v>
      </c>
      <c r="E437" s="13" t="s">
        <v>135</v>
      </c>
      <c r="F437" s="13" t="s">
        <v>414</v>
      </c>
      <c r="G437" s="13" t="s">
        <v>494</v>
      </c>
      <c r="H437" s="13" t="s">
        <v>469</v>
      </c>
      <c r="I437" s="13" t="str">
        <f t="shared" si="6"/>
        <v>Sports</v>
      </c>
      <c r="J437" s="13">
        <v>37.32</v>
      </c>
      <c r="K437" s="13">
        <v>39.186</v>
      </c>
      <c r="L437" s="13">
        <v>9</v>
      </c>
      <c r="M437" s="13" t="s">
        <v>417</v>
      </c>
      <c r="N437" s="13">
        <v>5.0999999999999996</v>
      </c>
      <c r="O437" s="13">
        <f>(CATEGORIZATION!$K437-CATEGORIZATION!$J437)</f>
        <v>1.8659999999999997</v>
      </c>
    </row>
    <row r="438" spans="2:15" ht="15.75">
      <c r="B438" s="13" t="s">
        <v>881</v>
      </c>
      <c r="C438" s="76">
        <v>43538</v>
      </c>
      <c r="D438" s="13" t="s">
        <v>175</v>
      </c>
      <c r="E438" s="13" t="s">
        <v>134</v>
      </c>
      <c r="F438" s="13" t="s">
        <v>420</v>
      </c>
      <c r="G438" s="13" t="s">
        <v>415</v>
      </c>
      <c r="H438" s="13" t="s">
        <v>430</v>
      </c>
      <c r="I438" s="13" t="str">
        <f t="shared" si="6"/>
        <v>Electronic accessories</v>
      </c>
      <c r="J438" s="13">
        <v>15.69</v>
      </c>
      <c r="K438" s="13">
        <v>16.474499999999999</v>
      </c>
      <c r="L438" s="13">
        <v>3</v>
      </c>
      <c r="M438" s="13" t="s">
        <v>433</v>
      </c>
      <c r="N438" s="13">
        <v>5.8</v>
      </c>
      <c r="O438" s="13">
        <f>(CATEGORIZATION!$K438-CATEGORIZATION!$J438)</f>
        <v>0.78449999999999953</v>
      </c>
    </row>
    <row r="439" spans="2:15" ht="15.75">
      <c r="B439" s="13" t="s">
        <v>882</v>
      </c>
      <c r="C439" s="76">
        <v>43523</v>
      </c>
      <c r="D439" s="13" t="s">
        <v>419</v>
      </c>
      <c r="E439" s="13" t="s">
        <v>131</v>
      </c>
      <c r="F439" s="13" t="s">
        <v>420</v>
      </c>
      <c r="G439" s="13" t="s">
        <v>415</v>
      </c>
      <c r="H439" s="13" t="s">
        <v>430</v>
      </c>
      <c r="I439" s="13" t="str">
        <f t="shared" si="6"/>
        <v>Electronic accessories</v>
      </c>
      <c r="J439" s="13">
        <v>99.69</v>
      </c>
      <c r="K439" s="13">
        <v>104.67449999999999</v>
      </c>
      <c r="L439" s="13">
        <v>1</v>
      </c>
      <c r="M439" s="13" t="s">
        <v>433</v>
      </c>
      <c r="N439" s="13">
        <v>8</v>
      </c>
      <c r="O439" s="13">
        <f>(CATEGORIZATION!$K439-CATEGORIZATION!$J439)</f>
        <v>4.984499999999997</v>
      </c>
    </row>
    <row r="440" spans="2:15" ht="15.75">
      <c r="B440" s="13" t="s">
        <v>883</v>
      </c>
      <c r="C440" s="76">
        <v>43494</v>
      </c>
      <c r="D440" s="13" t="s">
        <v>175</v>
      </c>
      <c r="E440" s="13" t="s">
        <v>134</v>
      </c>
      <c r="F440" s="13" t="s">
        <v>414</v>
      </c>
      <c r="G440" s="13" t="s">
        <v>415</v>
      </c>
      <c r="H440" s="13" t="s">
        <v>469</v>
      </c>
      <c r="I440" s="13" t="str">
        <f t="shared" si="6"/>
        <v>Sports</v>
      </c>
      <c r="J440" s="13">
        <v>27.93</v>
      </c>
      <c r="K440" s="13">
        <v>29.326499999999999</v>
      </c>
      <c r="L440" s="13">
        <v>5</v>
      </c>
      <c r="M440" s="13" t="s">
        <v>422</v>
      </c>
      <c r="N440" s="13">
        <v>5.9</v>
      </c>
      <c r="O440" s="13">
        <f>(CATEGORIZATION!$K440-CATEGORIZATION!$J440)</f>
        <v>1.3964999999999996</v>
      </c>
    </row>
    <row r="441" spans="2:15" ht="15.75">
      <c r="B441" s="13" t="s">
        <v>884</v>
      </c>
      <c r="C441" s="76">
        <v>43526</v>
      </c>
      <c r="D441" s="13" t="s">
        <v>266</v>
      </c>
      <c r="E441" s="13" t="s">
        <v>135</v>
      </c>
      <c r="F441" s="13" t="s">
        <v>420</v>
      </c>
      <c r="G441" s="13" t="s">
        <v>415</v>
      </c>
      <c r="H441" s="13" t="s">
        <v>469</v>
      </c>
      <c r="I441" s="13" t="str">
        <f t="shared" si="6"/>
        <v>Sports</v>
      </c>
      <c r="J441" s="13">
        <v>42.97</v>
      </c>
      <c r="K441" s="13">
        <v>45.118500000000004</v>
      </c>
      <c r="L441" s="13">
        <v>3</v>
      </c>
      <c r="M441" s="13" t="s">
        <v>422</v>
      </c>
      <c r="N441" s="13">
        <v>9.3000000000000007</v>
      </c>
      <c r="O441" s="13">
        <f>(CATEGORIZATION!$K441-CATEGORIZATION!$J441)</f>
        <v>2.1485000000000056</v>
      </c>
    </row>
    <row r="442" spans="2:15" ht="15.75">
      <c r="B442" s="13" t="s">
        <v>885</v>
      </c>
      <c r="C442" s="76">
        <v>43481</v>
      </c>
      <c r="D442" s="13" t="s">
        <v>419</v>
      </c>
      <c r="E442" s="13" t="s">
        <v>131</v>
      </c>
      <c r="F442" s="13" t="s">
        <v>414</v>
      </c>
      <c r="G442" s="13" t="s">
        <v>494</v>
      </c>
      <c r="H442" s="13" t="s">
        <v>469</v>
      </c>
      <c r="I442" s="13" t="str">
        <f t="shared" si="6"/>
        <v>Sports</v>
      </c>
      <c r="J442" s="13">
        <v>17.14</v>
      </c>
      <c r="K442" s="13">
        <v>17.997</v>
      </c>
      <c r="L442" s="13">
        <v>7</v>
      </c>
      <c r="M442" s="13" t="s">
        <v>433</v>
      </c>
      <c r="N442" s="13">
        <v>7.9</v>
      </c>
      <c r="O442" s="13">
        <f>(CATEGORIZATION!$K442-CATEGORIZATION!$J442)</f>
        <v>0.85699999999999932</v>
      </c>
    </row>
    <row r="443" spans="2:15" ht="15.75">
      <c r="B443" s="13" t="s">
        <v>886</v>
      </c>
      <c r="C443" s="76">
        <v>43801</v>
      </c>
      <c r="D443" s="13" t="s">
        <v>419</v>
      </c>
      <c r="E443" s="13" t="s">
        <v>131</v>
      </c>
      <c r="F443" s="13" t="s">
        <v>414</v>
      </c>
      <c r="G443" s="13" t="s">
        <v>415</v>
      </c>
      <c r="H443" s="13" t="s">
        <v>457</v>
      </c>
      <c r="I443" s="13" t="str">
        <f t="shared" si="6"/>
        <v>Food and beverages</v>
      </c>
      <c r="J443" s="13">
        <v>87.1</v>
      </c>
      <c r="K443" s="13">
        <v>91.454999999999998</v>
      </c>
      <c r="L443" s="13">
        <v>10</v>
      </c>
      <c r="M443" s="13" t="s">
        <v>433</v>
      </c>
      <c r="N443" s="13">
        <v>9.9</v>
      </c>
      <c r="O443" s="13">
        <f>(CATEGORIZATION!$K443-CATEGORIZATION!$J443)</f>
        <v>4.355000000000004</v>
      </c>
    </row>
    <row r="444" spans="2:15" ht="15.75">
      <c r="B444" s="13" t="s">
        <v>887</v>
      </c>
      <c r="C444" s="76">
        <v>43517</v>
      </c>
      <c r="D444" s="13" t="s">
        <v>419</v>
      </c>
      <c r="E444" s="13" t="s">
        <v>131</v>
      </c>
      <c r="F444" s="13" t="s">
        <v>420</v>
      </c>
      <c r="G444" s="13" t="s">
        <v>415</v>
      </c>
      <c r="H444" s="13" t="s">
        <v>469</v>
      </c>
      <c r="I444" s="13" t="str">
        <f t="shared" si="6"/>
        <v>Sports</v>
      </c>
      <c r="J444" s="13">
        <v>98.8</v>
      </c>
      <c r="K444" s="13">
        <v>103.74</v>
      </c>
      <c r="L444" s="13">
        <v>2</v>
      </c>
      <c r="M444" s="13" t="s">
        <v>422</v>
      </c>
      <c r="N444" s="13">
        <v>7.7</v>
      </c>
      <c r="O444" s="13">
        <f>(CATEGORIZATION!$K444-CATEGORIZATION!$J444)</f>
        <v>4.9399999999999977</v>
      </c>
    </row>
    <row r="445" spans="2:15" ht="15.75">
      <c r="B445" s="13" t="s">
        <v>888</v>
      </c>
      <c r="C445" s="76">
        <v>43516</v>
      </c>
      <c r="D445" s="13" t="s">
        <v>266</v>
      </c>
      <c r="E445" s="13" t="s">
        <v>135</v>
      </c>
      <c r="F445" s="13" t="s">
        <v>414</v>
      </c>
      <c r="G445" s="13" t="s">
        <v>494</v>
      </c>
      <c r="H445" s="13" t="s">
        <v>457</v>
      </c>
      <c r="I445" s="13" t="str">
        <f t="shared" si="6"/>
        <v>Food and beverages</v>
      </c>
      <c r="J445" s="13">
        <v>57.74</v>
      </c>
      <c r="K445" s="13">
        <v>60.627000000000002</v>
      </c>
      <c r="L445" s="13">
        <v>3</v>
      </c>
      <c r="M445" s="13" t="s">
        <v>417</v>
      </c>
      <c r="N445" s="13">
        <v>7.7</v>
      </c>
      <c r="O445" s="13">
        <f>(CATEGORIZATION!$K445-CATEGORIZATION!$J445)</f>
        <v>2.8870000000000005</v>
      </c>
    </row>
    <row r="446" spans="2:15" ht="15.75">
      <c r="B446" s="13" t="s">
        <v>889</v>
      </c>
      <c r="C446" s="76">
        <v>43519</v>
      </c>
      <c r="D446" s="13" t="s">
        <v>266</v>
      </c>
      <c r="E446" s="13" t="s">
        <v>135</v>
      </c>
      <c r="F446" s="13" t="s">
        <v>420</v>
      </c>
      <c r="G446" s="13" t="s">
        <v>415</v>
      </c>
      <c r="H446" s="13" t="s">
        <v>442</v>
      </c>
      <c r="I446" s="13" t="str">
        <f t="shared" si="6"/>
        <v>Health and beauty</v>
      </c>
      <c r="J446" s="13">
        <v>17.97</v>
      </c>
      <c r="K446" s="13">
        <v>18.868500000000001</v>
      </c>
      <c r="L446" s="13">
        <v>4</v>
      </c>
      <c r="M446" s="13" t="s">
        <v>417</v>
      </c>
      <c r="N446" s="13">
        <v>6.4</v>
      </c>
      <c r="O446" s="13">
        <f>(CATEGORIZATION!$K446-CATEGORIZATION!$J446)</f>
        <v>0.89850000000000207</v>
      </c>
    </row>
    <row r="447" spans="2:15" ht="15.75">
      <c r="B447" s="13" t="s">
        <v>890</v>
      </c>
      <c r="C447" s="76">
        <v>43512</v>
      </c>
      <c r="D447" s="13" t="s">
        <v>419</v>
      </c>
      <c r="E447" s="13" t="s">
        <v>131</v>
      </c>
      <c r="F447" s="13" t="s">
        <v>414</v>
      </c>
      <c r="G447" s="13" t="s">
        <v>415</v>
      </c>
      <c r="H447" s="13" t="s">
        <v>465</v>
      </c>
      <c r="I447" s="13" t="str">
        <f t="shared" si="6"/>
        <v>Health and beauty</v>
      </c>
      <c r="J447" s="13">
        <v>47.71</v>
      </c>
      <c r="K447" s="13">
        <v>50.095499999999994</v>
      </c>
      <c r="L447" s="13">
        <v>6</v>
      </c>
      <c r="M447" s="13" t="s">
        <v>417</v>
      </c>
      <c r="N447" s="13">
        <v>4.4000000000000004</v>
      </c>
      <c r="O447" s="13">
        <f>(CATEGORIZATION!$K447-CATEGORIZATION!$J447)</f>
        <v>2.3854999999999933</v>
      </c>
    </row>
    <row r="448" spans="2:15" ht="15.75">
      <c r="B448" s="13" t="s">
        <v>891</v>
      </c>
      <c r="C448" s="76">
        <v>43482</v>
      </c>
      <c r="D448" s="13" t="s">
        <v>266</v>
      </c>
      <c r="E448" s="13" t="s">
        <v>135</v>
      </c>
      <c r="F448" s="13" t="s">
        <v>420</v>
      </c>
      <c r="G448" s="13" t="s">
        <v>415</v>
      </c>
      <c r="H448" s="13" t="s">
        <v>892</v>
      </c>
      <c r="I448" s="13" t="str">
        <f t="shared" si="6"/>
        <v>Sports</v>
      </c>
      <c r="J448" s="13">
        <v>40.619999999999997</v>
      </c>
      <c r="K448" s="13">
        <v>42.651000000000003</v>
      </c>
      <c r="L448" s="13">
        <v>2</v>
      </c>
      <c r="M448" s="13" t="s">
        <v>433</v>
      </c>
      <c r="N448" s="13">
        <v>4.0999999999999996</v>
      </c>
      <c r="O448" s="13">
        <f>(CATEGORIZATION!$K448-CATEGORIZATION!$J448)</f>
        <v>2.0310000000000059</v>
      </c>
    </row>
    <row r="449" spans="2:15" ht="15.75">
      <c r="B449" s="13" t="s">
        <v>893</v>
      </c>
      <c r="C449" s="76">
        <v>43554</v>
      </c>
      <c r="D449" s="13" t="s">
        <v>266</v>
      </c>
      <c r="E449" s="13" t="s">
        <v>135</v>
      </c>
      <c r="F449" s="13" t="s">
        <v>414</v>
      </c>
      <c r="G449" s="13" t="s">
        <v>494</v>
      </c>
      <c r="H449" s="13" t="s">
        <v>457</v>
      </c>
      <c r="I449" s="13" t="str">
        <f t="shared" si="6"/>
        <v>Food and beverages</v>
      </c>
      <c r="J449" s="13">
        <v>93.4</v>
      </c>
      <c r="K449" s="13">
        <v>98.07</v>
      </c>
      <c r="L449" s="13">
        <v>2</v>
      </c>
      <c r="M449" s="13" t="s">
        <v>422</v>
      </c>
      <c r="N449" s="13">
        <v>5.5</v>
      </c>
      <c r="O449" s="13">
        <f>(CATEGORIZATION!$K449-CATEGORIZATION!$J449)</f>
        <v>4.6699999999999875</v>
      </c>
    </row>
    <row r="450" spans="2:15" ht="15.75">
      <c r="B450" s="13" t="s">
        <v>894</v>
      </c>
      <c r="C450" s="76">
        <v>43499</v>
      </c>
      <c r="D450" s="13" t="s">
        <v>266</v>
      </c>
      <c r="E450" s="13" t="s">
        <v>135</v>
      </c>
      <c r="F450" s="13" t="s">
        <v>420</v>
      </c>
      <c r="G450" s="13" t="s">
        <v>415</v>
      </c>
      <c r="H450" s="13" t="s">
        <v>446</v>
      </c>
      <c r="I450" s="13" t="str">
        <f t="shared" si="6"/>
        <v>Health and beauty</v>
      </c>
      <c r="J450" s="13">
        <v>73.41</v>
      </c>
      <c r="K450" s="13">
        <v>77.080500000000001</v>
      </c>
      <c r="L450" s="13">
        <v>3</v>
      </c>
      <c r="M450" s="13" t="s">
        <v>417</v>
      </c>
      <c r="N450" s="13">
        <v>4</v>
      </c>
      <c r="O450" s="13">
        <f>(CATEGORIZATION!$K450-CATEGORIZATION!$J450)</f>
        <v>3.6705000000000041</v>
      </c>
    </row>
    <row r="451" spans="2:15" ht="15.75">
      <c r="B451" s="13" t="s">
        <v>895</v>
      </c>
      <c r="C451" s="76">
        <v>43511</v>
      </c>
      <c r="D451" s="13" t="s">
        <v>419</v>
      </c>
      <c r="E451" s="13" t="s">
        <v>131</v>
      </c>
      <c r="F451" s="13" t="s">
        <v>420</v>
      </c>
      <c r="G451" s="13" t="s">
        <v>494</v>
      </c>
      <c r="H451" s="13" t="s">
        <v>442</v>
      </c>
      <c r="I451" s="13" t="str">
        <f t="shared" si="6"/>
        <v>Health and beauty</v>
      </c>
      <c r="J451" s="13">
        <v>33.64</v>
      </c>
      <c r="K451" s="13">
        <v>35.322000000000003</v>
      </c>
      <c r="L451" s="13">
        <v>8</v>
      </c>
      <c r="M451" s="13" t="s">
        <v>433</v>
      </c>
      <c r="N451" s="13">
        <v>9.3000000000000007</v>
      </c>
      <c r="O451" s="13">
        <f>(CATEGORIZATION!$K451-CATEGORIZATION!$J451)</f>
        <v>1.6820000000000022</v>
      </c>
    </row>
    <row r="452" spans="2:15" ht="15.75">
      <c r="B452" s="13" t="s">
        <v>896</v>
      </c>
      <c r="C452" s="76">
        <v>43468</v>
      </c>
      <c r="D452" s="13" t="s">
        <v>175</v>
      </c>
      <c r="E452" s="13" t="s">
        <v>134</v>
      </c>
      <c r="F452" s="13" t="s">
        <v>420</v>
      </c>
      <c r="G452" s="13" t="s">
        <v>415</v>
      </c>
      <c r="H452" s="13" t="s">
        <v>430</v>
      </c>
      <c r="I452" s="13" t="str">
        <f t="shared" ref="I452:I515" si="7">VLOOKUP(H452,$R$5:$S$32,2,FALSE)</f>
        <v>Electronic accessories</v>
      </c>
      <c r="J452" s="13">
        <v>45.48</v>
      </c>
      <c r="K452" s="13">
        <v>47.754000000000005</v>
      </c>
      <c r="L452" s="13">
        <v>10</v>
      </c>
      <c r="M452" s="13" t="s">
        <v>433</v>
      </c>
      <c r="N452" s="13">
        <v>4.8</v>
      </c>
      <c r="O452" s="13">
        <f>(CATEGORIZATION!$K452-CATEGORIZATION!$J452)</f>
        <v>2.274000000000008</v>
      </c>
    </row>
    <row r="453" spans="2:15" ht="15.75">
      <c r="B453" s="13" t="s">
        <v>897</v>
      </c>
      <c r="C453" s="76">
        <v>43515</v>
      </c>
      <c r="D453" s="13" t="s">
        <v>266</v>
      </c>
      <c r="E453" s="13" t="s">
        <v>135</v>
      </c>
      <c r="F453" s="13" t="s">
        <v>414</v>
      </c>
      <c r="G453" s="13" t="s">
        <v>415</v>
      </c>
      <c r="H453" s="13" t="s">
        <v>892</v>
      </c>
      <c r="I453" s="13" t="str">
        <f t="shared" si="7"/>
        <v>Sports</v>
      </c>
      <c r="J453" s="13">
        <v>64.08</v>
      </c>
      <c r="K453" s="13">
        <v>67.284000000000006</v>
      </c>
      <c r="L453" s="13">
        <v>7</v>
      </c>
      <c r="M453" s="13" t="s">
        <v>433</v>
      </c>
      <c r="N453" s="13">
        <v>7.3</v>
      </c>
      <c r="O453" s="13">
        <f>(CATEGORIZATION!$K453-CATEGORIZATION!$J453)</f>
        <v>3.2040000000000077</v>
      </c>
    </row>
    <row r="454" spans="2:15" ht="15.75">
      <c r="B454" s="13" t="s">
        <v>898</v>
      </c>
      <c r="C454" s="76">
        <v>43519</v>
      </c>
      <c r="D454" s="13" t="s">
        <v>175</v>
      </c>
      <c r="E454" s="13" t="s">
        <v>134</v>
      </c>
      <c r="F454" s="13" t="s">
        <v>414</v>
      </c>
      <c r="G454" s="13" t="s">
        <v>415</v>
      </c>
      <c r="H454" s="13" t="s">
        <v>457</v>
      </c>
      <c r="I454" s="13" t="str">
        <f t="shared" si="7"/>
        <v>Food and beverages</v>
      </c>
      <c r="J454" s="13">
        <v>73.47</v>
      </c>
      <c r="K454" s="13">
        <v>77.143500000000003</v>
      </c>
      <c r="L454" s="13">
        <v>4</v>
      </c>
      <c r="M454" s="13" t="s">
        <v>422</v>
      </c>
      <c r="N454" s="13">
        <v>6</v>
      </c>
      <c r="O454" s="13">
        <f>(CATEGORIZATION!$K454-CATEGORIZATION!$J454)</f>
        <v>3.6735000000000042</v>
      </c>
    </row>
    <row r="455" spans="2:15" ht="15.75">
      <c r="B455" s="13" t="s">
        <v>899</v>
      </c>
      <c r="C455" s="76">
        <v>43648</v>
      </c>
      <c r="D455" s="13" t="s">
        <v>419</v>
      </c>
      <c r="E455" s="13" t="s">
        <v>131</v>
      </c>
      <c r="F455" s="13" t="s">
        <v>420</v>
      </c>
      <c r="G455" s="13" t="s">
        <v>494</v>
      </c>
      <c r="H455" s="13" t="s">
        <v>442</v>
      </c>
      <c r="I455" s="13" t="str">
        <f t="shared" si="7"/>
        <v>Health and beauty</v>
      </c>
      <c r="J455" s="13">
        <v>58.95</v>
      </c>
      <c r="K455" s="13">
        <v>61.897500000000001</v>
      </c>
      <c r="L455" s="13">
        <v>10</v>
      </c>
      <c r="M455" s="13" t="s">
        <v>417</v>
      </c>
      <c r="N455" s="13">
        <v>8.1</v>
      </c>
      <c r="O455" s="13">
        <f>(CATEGORIZATION!$K455-CATEGORIZATION!$J455)</f>
        <v>2.947499999999998</v>
      </c>
    </row>
    <row r="456" spans="2:15" ht="15.75">
      <c r="B456" s="13" t="s">
        <v>900</v>
      </c>
      <c r="C456" s="76">
        <v>43770</v>
      </c>
      <c r="D456" s="13" t="s">
        <v>175</v>
      </c>
      <c r="E456" s="13" t="s">
        <v>134</v>
      </c>
      <c r="F456" s="13" t="s">
        <v>414</v>
      </c>
      <c r="G456" s="13" t="s">
        <v>494</v>
      </c>
      <c r="H456" s="13" t="s">
        <v>457</v>
      </c>
      <c r="I456" s="13" t="str">
        <f t="shared" si="7"/>
        <v>Food and beverages</v>
      </c>
      <c r="J456" s="13">
        <v>48.5</v>
      </c>
      <c r="K456" s="13">
        <v>50.925000000000004</v>
      </c>
      <c r="L456" s="13">
        <v>6</v>
      </c>
      <c r="M456" s="13" t="s">
        <v>417</v>
      </c>
      <c r="N456" s="13">
        <v>9.4</v>
      </c>
      <c r="O456" s="13">
        <f>(CATEGORIZATION!$K456-CATEGORIZATION!$J456)</f>
        <v>2.4250000000000043</v>
      </c>
    </row>
    <row r="457" spans="2:15" ht="15.75">
      <c r="B457" s="13" t="s">
        <v>901</v>
      </c>
      <c r="C457" s="76">
        <v>43801</v>
      </c>
      <c r="D457" s="13" t="s">
        <v>266</v>
      </c>
      <c r="E457" s="13" t="s">
        <v>135</v>
      </c>
      <c r="F457" s="13" t="s">
        <v>414</v>
      </c>
      <c r="G457" s="13" t="s">
        <v>415</v>
      </c>
      <c r="H457" s="13" t="s">
        <v>430</v>
      </c>
      <c r="I457" s="13" t="str">
        <f t="shared" si="7"/>
        <v>Electronic accessories</v>
      </c>
      <c r="J457" s="13">
        <v>39.479999999999997</v>
      </c>
      <c r="K457" s="13">
        <v>41.454000000000001</v>
      </c>
      <c r="L457" s="13">
        <v>1</v>
      </c>
      <c r="M457" s="13" t="s">
        <v>422</v>
      </c>
      <c r="N457" s="13">
        <v>6.5</v>
      </c>
      <c r="O457" s="13">
        <f>(CATEGORIZATION!$K457-CATEGORIZATION!$J457)</f>
        <v>1.9740000000000038</v>
      </c>
    </row>
    <row r="458" spans="2:15" ht="15.75">
      <c r="B458" s="13" t="s">
        <v>902</v>
      </c>
      <c r="C458" s="76">
        <v>43479</v>
      </c>
      <c r="D458" s="13" t="s">
        <v>266</v>
      </c>
      <c r="E458" s="13" t="s">
        <v>135</v>
      </c>
      <c r="F458" s="13" t="s">
        <v>420</v>
      </c>
      <c r="G458" s="13" t="s">
        <v>415</v>
      </c>
      <c r="H458" s="13" t="s">
        <v>892</v>
      </c>
      <c r="I458" s="13" t="str">
        <f t="shared" si="7"/>
        <v>Sports</v>
      </c>
      <c r="J458" s="13">
        <v>34.81</v>
      </c>
      <c r="K458" s="13">
        <v>36.5505</v>
      </c>
      <c r="L458" s="13">
        <v>1</v>
      </c>
      <c r="M458" s="13" t="s">
        <v>433</v>
      </c>
      <c r="N458" s="13">
        <v>7</v>
      </c>
      <c r="O458" s="13">
        <f>(CATEGORIZATION!$K458-CATEGORIZATION!$J458)</f>
        <v>1.7404999999999973</v>
      </c>
    </row>
    <row r="459" spans="2:15" ht="15.75">
      <c r="B459" s="13" t="s">
        <v>903</v>
      </c>
      <c r="C459" s="76">
        <v>43489</v>
      </c>
      <c r="D459" s="13" t="s">
        <v>266</v>
      </c>
      <c r="E459" s="13" t="s">
        <v>135</v>
      </c>
      <c r="F459" s="13" t="s">
        <v>414</v>
      </c>
      <c r="G459" s="13" t="s">
        <v>415</v>
      </c>
      <c r="H459" s="13" t="s">
        <v>892</v>
      </c>
      <c r="I459" s="13" t="str">
        <f t="shared" si="7"/>
        <v>Sports</v>
      </c>
      <c r="J459" s="13">
        <v>23.08</v>
      </c>
      <c r="K459" s="13">
        <v>24.233999999999998</v>
      </c>
      <c r="L459" s="13">
        <v>6</v>
      </c>
      <c r="M459" s="13" t="s">
        <v>417</v>
      </c>
      <c r="N459" s="13">
        <v>4.9000000000000004</v>
      </c>
      <c r="O459" s="13">
        <f>(CATEGORIZATION!$K459-CATEGORIZATION!$J459)</f>
        <v>1.1539999999999999</v>
      </c>
    </row>
    <row r="460" spans="2:15" ht="15.75">
      <c r="B460" s="13" t="s">
        <v>904</v>
      </c>
      <c r="C460" s="76">
        <v>43678</v>
      </c>
      <c r="D460" s="13" t="s">
        <v>266</v>
      </c>
      <c r="E460" s="13" t="s">
        <v>135</v>
      </c>
      <c r="F460" s="13" t="s">
        <v>414</v>
      </c>
      <c r="G460" s="13" t="s">
        <v>415</v>
      </c>
      <c r="H460" s="13" t="s">
        <v>892</v>
      </c>
      <c r="I460" s="13" t="str">
        <f t="shared" si="7"/>
        <v>Sports</v>
      </c>
      <c r="J460" s="13">
        <v>64.83</v>
      </c>
      <c r="K460" s="13">
        <v>68.0715</v>
      </c>
      <c r="L460" s="13">
        <v>2</v>
      </c>
      <c r="M460" s="13" t="s">
        <v>433</v>
      </c>
      <c r="N460" s="13">
        <v>8</v>
      </c>
      <c r="O460" s="13">
        <f>(CATEGORIZATION!$K460-CATEGORIZATION!$J460)</f>
        <v>3.241500000000002</v>
      </c>
    </row>
    <row r="461" spans="2:15" ht="15.75">
      <c r="B461" s="13" t="s">
        <v>905</v>
      </c>
      <c r="C461" s="76">
        <v>43537</v>
      </c>
      <c r="D461" s="13" t="s">
        <v>419</v>
      </c>
      <c r="E461" s="13" t="s">
        <v>131</v>
      </c>
      <c r="F461" s="13" t="s">
        <v>414</v>
      </c>
      <c r="G461" s="13" t="s">
        <v>494</v>
      </c>
      <c r="H461" s="13" t="s">
        <v>892</v>
      </c>
      <c r="I461" s="13" t="str">
        <f t="shared" si="7"/>
        <v>Sports</v>
      </c>
      <c r="J461" s="13">
        <v>72.88</v>
      </c>
      <c r="K461" s="13">
        <v>76.524000000000001</v>
      </c>
      <c r="L461" s="13">
        <v>2</v>
      </c>
      <c r="M461" s="13" t="s">
        <v>422</v>
      </c>
      <c r="N461" s="13">
        <v>6.1</v>
      </c>
      <c r="O461" s="13">
        <f>(CATEGORIZATION!$K461-CATEGORIZATION!$J461)</f>
        <v>3.6440000000000055</v>
      </c>
    </row>
    <row r="462" spans="2:15" ht="15.75">
      <c r="B462" s="13" t="s">
        <v>906</v>
      </c>
      <c r="C462" s="76">
        <v>43511</v>
      </c>
      <c r="D462" s="13" t="s">
        <v>175</v>
      </c>
      <c r="E462" s="13" t="s">
        <v>134</v>
      </c>
      <c r="F462" s="13" t="s">
        <v>420</v>
      </c>
      <c r="G462" s="13" t="s">
        <v>415</v>
      </c>
      <c r="H462" s="13" t="s">
        <v>457</v>
      </c>
      <c r="I462" s="13" t="str">
        <f t="shared" si="7"/>
        <v>Food and beverages</v>
      </c>
      <c r="J462" s="13">
        <v>67.099999999999994</v>
      </c>
      <c r="K462" s="13">
        <v>70.454999999999998</v>
      </c>
      <c r="L462" s="13">
        <v>3</v>
      </c>
      <c r="M462" s="13" t="s">
        <v>422</v>
      </c>
      <c r="N462" s="13">
        <v>7.5</v>
      </c>
      <c r="O462" s="13">
        <f>(CATEGORIZATION!$K462-CATEGORIZATION!$J462)</f>
        <v>3.355000000000004</v>
      </c>
    </row>
    <row r="463" spans="2:15" ht="15.75">
      <c r="B463" s="13" t="s">
        <v>907</v>
      </c>
      <c r="C463" s="76">
        <v>43490</v>
      </c>
      <c r="D463" s="13" t="s">
        <v>419</v>
      </c>
      <c r="E463" s="13" t="s">
        <v>131</v>
      </c>
      <c r="F463" s="13" t="s">
        <v>414</v>
      </c>
      <c r="G463" s="13" t="s">
        <v>415</v>
      </c>
      <c r="H463" s="13" t="s">
        <v>892</v>
      </c>
      <c r="I463" s="13" t="str">
        <f t="shared" si="7"/>
        <v>Sports</v>
      </c>
      <c r="J463" s="13">
        <v>70.19</v>
      </c>
      <c r="K463" s="13">
        <v>73.6995</v>
      </c>
      <c r="L463" s="13">
        <v>9</v>
      </c>
      <c r="M463" s="13" t="s">
        <v>422</v>
      </c>
      <c r="N463" s="13">
        <v>6.7</v>
      </c>
      <c r="O463" s="13">
        <f>(CATEGORIZATION!$K463-CATEGORIZATION!$J463)</f>
        <v>3.5095000000000027</v>
      </c>
    </row>
    <row r="464" spans="2:15" ht="15.75">
      <c r="B464" s="13" t="s">
        <v>908</v>
      </c>
      <c r="C464" s="76">
        <v>43802</v>
      </c>
      <c r="D464" s="13" t="s">
        <v>419</v>
      </c>
      <c r="E464" s="13" t="s">
        <v>131</v>
      </c>
      <c r="F464" s="13" t="s">
        <v>414</v>
      </c>
      <c r="G464" s="13" t="s">
        <v>494</v>
      </c>
      <c r="H464" s="13" t="s">
        <v>457</v>
      </c>
      <c r="I464" s="13" t="str">
        <f t="shared" si="7"/>
        <v>Food and beverages</v>
      </c>
      <c r="J464" s="13">
        <v>55.04</v>
      </c>
      <c r="K464" s="13">
        <v>57.791999999999994</v>
      </c>
      <c r="L464" s="13">
        <v>7</v>
      </c>
      <c r="M464" s="13" t="s">
        <v>417</v>
      </c>
      <c r="N464" s="13">
        <v>5.2</v>
      </c>
      <c r="O464" s="13">
        <f>(CATEGORIZATION!$K464-CATEGORIZATION!$J464)</f>
        <v>2.7519999999999953</v>
      </c>
    </row>
    <row r="465" spans="2:15" ht="15.75">
      <c r="B465" s="13" t="s">
        <v>909</v>
      </c>
      <c r="C465" s="76">
        <v>43558</v>
      </c>
      <c r="D465" s="13" t="s">
        <v>175</v>
      </c>
      <c r="E465" s="13" t="s">
        <v>134</v>
      </c>
      <c r="F465" s="13" t="s">
        <v>414</v>
      </c>
      <c r="G465" s="13" t="s">
        <v>494</v>
      </c>
      <c r="H465" s="13" t="s">
        <v>442</v>
      </c>
      <c r="I465" s="13" t="str">
        <f t="shared" si="7"/>
        <v>Health and beauty</v>
      </c>
      <c r="J465" s="13">
        <v>48.63</v>
      </c>
      <c r="K465" s="13">
        <v>51.061500000000002</v>
      </c>
      <c r="L465" s="13">
        <v>10</v>
      </c>
      <c r="M465" s="13" t="s">
        <v>422</v>
      </c>
      <c r="N465" s="13">
        <v>8.8000000000000007</v>
      </c>
      <c r="O465" s="13">
        <f>(CATEGORIZATION!$K465-CATEGORIZATION!$J465)</f>
        <v>2.4314999999999998</v>
      </c>
    </row>
    <row r="466" spans="2:15" ht="15.75">
      <c r="B466" s="13" t="s">
        <v>910</v>
      </c>
      <c r="C466" s="76">
        <v>43481</v>
      </c>
      <c r="D466" s="13" t="s">
        <v>419</v>
      </c>
      <c r="E466" s="13" t="s">
        <v>131</v>
      </c>
      <c r="F466" s="13" t="s">
        <v>420</v>
      </c>
      <c r="G466" s="13" t="s">
        <v>415</v>
      </c>
      <c r="H466" s="13" t="s">
        <v>457</v>
      </c>
      <c r="I466" s="13" t="str">
        <f t="shared" si="7"/>
        <v>Food and beverages</v>
      </c>
      <c r="J466" s="13">
        <v>52.6</v>
      </c>
      <c r="K466" s="13">
        <v>55.23</v>
      </c>
      <c r="L466" s="13">
        <v>9</v>
      </c>
      <c r="M466" s="13" t="s">
        <v>422</v>
      </c>
      <c r="N466" s="13">
        <v>7.6</v>
      </c>
      <c r="O466" s="13">
        <f>(CATEGORIZATION!$K466-CATEGORIZATION!$J466)</f>
        <v>2.6299999999999955</v>
      </c>
    </row>
    <row r="467" spans="2:15" ht="15.75">
      <c r="B467" s="13" t="s">
        <v>911</v>
      </c>
      <c r="C467" s="76">
        <v>43466</v>
      </c>
      <c r="D467" s="13" t="s">
        <v>175</v>
      </c>
      <c r="E467" s="13" t="s">
        <v>134</v>
      </c>
      <c r="F467" s="13" t="s">
        <v>414</v>
      </c>
      <c r="G467" s="13" t="s">
        <v>415</v>
      </c>
      <c r="H467" s="13" t="s">
        <v>892</v>
      </c>
      <c r="I467" s="13" t="str">
        <f t="shared" si="7"/>
        <v>Sports</v>
      </c>
      <c r="J467" s="13">
        <v>27.04</v>
      </c>
      <c r="K467" s="13">
        <v>28.391999999999999</v>
      </c>
      <c r="L467" s="13">
        <v>4</v>
      </c>
      <c r="M467" s="13" t="s">
        <v>417</v>
      </c>
      <c r="N467" s="13">
        <v>6.9</v>
      </c>
      <c r="O467" s="13">
        <f>(CATEGORIZATION!$K467-CATEGORIZATION!$J467)</f>
        <v>1.3520000000000003</v>
      </c>
    </row>
    <row r="468" spans="2:15" ht="15.75">
      <c r="B468" s="13" t="s">
        <v>912</v>
      </c>
      <c r="C468" s="76">
        <v>43515</v>
      </c>
      <c r="D468" s="13" t="s">
        <v>175</v>
      </c>
      <c r="E468" s="13" t="s">
        <v>134</v>
      </c>
      <c r="F468" s="13" t="s">
        <v>414</v>
      </c>
      <c r="G468" s="13" t="s">
        <v>494</v>
      </c>
      <c r="H468" s="13" t="s">
        <v>421</v>
      </c>
      <c r="I468" s="13" t="str">
        <f t="shared" si="7"/>
        <v>Electronic accessories</v>
      </c>
      <c r="J468" s="13">
        <v>69.58</v>
      </c>
      <c r="K468" s="13">
        <v>73.058999999999997</v>
      </c>
      <c r="L468" s="13">
        <v>9</v>
      </c>
      <c r="M468" s="13" t="s">
        <v>433</v>
      </c>
      <c r="N468" s="13">
        <v>7.8</v>
      </c>
      <c r="O468" s="13">
        <f>(CATEGORIZATION!$K468-CATEGORIZATION!$J468)</f>
        <v>3.4789999999999992</v>
      </c>
    </row>
    <row r="469" spans="2:15" ht="15.75">
      <c r="B469" s="13" t="s">
        <v>913</v>
      </c>
      <c r="C469" s="76">
        <v>43551</v>
      </c>
      <c r="D469" s="13" t="s">
        <v>266</v>
      </c>
      <c r="E469" s="13" t="s">
        <v>135</v>
      </c>
      <c r="F469" s="13" t="s">
        <v>420</v>
      </c>
      <c r="G469" s="13" t="s">
        <v>494</v>
      </c>
      <c r="H469" s="13" t="s">
        <v>457</v>
      </c>
      <c r="I469" s="13" t="str">
        <f t="shared" si="7"/>
        <v>Food and beverages</v>
      </c>
      <c r="J469" s="13">
        <v>32.32</v>
      </c>
      <c r="K469" s="13">
        <v>33.936</v>
      </c>
      <c r="L469" s="13">
        <v>3</v>
      </c>
      <c r="M469" s="13" t="s">
        <v>433</v>
      </c>
      <c r="N469" s="13">
        <v>4.3</v>
      </c>
      <c r="O469" s="13">
        <f>(CATEGORIZATION!$K469-CATEGORIZATION!$J469)</f>
        <v>1.6159999999999997</v>
      </c>
    </row>
    <row r="470" spans="2:15" ht="15.75">
      <c r="B470" s="13" t="s">
        <v>914</v>
      </c>
      <c r="C470" s="76">
        <v>43617</v>
      </c>
      <c r="D470" s="13" t="s">
        <v>266</v>
      </c>
      <c r="E470" s="13" t="s">
        <v>135</v>
      </c>
      <c r="F470" s="13" t="s">
        <v>414</v>
      </c>
      <c r="G470" s="13" t="s">
        <v>494</v>
      </c>
      <c r="H470" s="13" t="s">
        <v>442</v>
      </c>
      <c r="I470" s="13" t="str">
        <f t="shared" si="7"/>
        <v>Health and beauty</v>
      </c>
      <c r="J470" s="13">
        <v>80.47</v>
      </c>
      <c r="K470" s="13">
        <v>84.493499999999997</v>
      </c>
      <c r="L470" s="13">
        <v>9</v>
      </c>
      <c r="M470" s="13" t="s">
        <v>422</v>
      </c>
      <c r="N470" s="13">
        <v>9.1999999999999993</v>
      </c>
      <c r="O470" s="13">
        <f>(CATEGORIZATION!$K470-CATEGORIZATION!$J470)</f>
        <v>4.0234999999999985</v>
      </c>
    </row>
    <row r="471" spans="2:15" ht="15.75">
      <c r="B471" s="13" t="s">
        <v>915</v>
      </c>
      <c r="C471" s="76">
        <v>43553</v>
      </c>
      <c r="D471" s="13" t="s">
        <v>266</v>
      </c>
      <c r="E471" s="13" t="s">
        <v>135</v>
      </c>
      <c r="F471" s="13" t="s">
        <v>420</v>
      </c>
      <c r="G471" s="13" t="s">
        <v>494</v>
      </c>
      <c r="H471" s="13" t="s">
        <v>442</v>
      </c>
      <c r="I471" s="13" t="str">
        <f t="shared" si="7"/>
        <v>Health and beauty</v>
      </c>
      <c r="J471" s="13">
        <v>71.77</v>
      </c>
      <c r="K471" s="13">
        <v>75.358500000000006</v>
      </c>
      <c r="L471" s="13">
        <v>7</v>
      </c>
      <c r="M471" s="13" t="s">
        <v>422</v>
      </c>
      <c r="N471" s="13">
        <v>8.9</v>
      </c>
      <c r="O471" s="13">
        <f>(CATEGORIZATION!$K471-CATEGORIZATION!$J471)</f>
        <v>3.5885000000000105</v>
      </c>
    </row>
    <row r="472" spans="2:15" ht="15.75">
      <c r="B472" s="13" t="s">
        <v>916</v>
      </c>
      <c r="C472" s="76">
        <v>43496</v>
      </c>
      <c r="D472" s="13" t="s">
        <v>266</v>
      </c>
      <c r="E472" s="13" t="s">
        <v>135</v>
      </c>
      <c r="F472" s="13" t="s">
        <v>420</v>
      </c>
      <c r="G472" s="13" t="s">
        <v>415</v>
      </c>
      <c r="H472" s="13" t="s">
        <v>421</v>
      </c>
      <c r="I472" s="13" t="str">
        <f t="shared" si="7"/>
        <v>Electronic accessories</v>
      </c>
      <c r="J472" s="13">
        <v>43</v>
      </c>
      <c r="K472" s="13">
        <v>45.15</v>
      </c>
      <c r="L472" s="13">
        <v>4</v>
      </c>
      <c r="M472" s="13" t="s">
        <v>417</v>
      </c>
      <c r="N472" s="13">
        <v>7.6</v>
      </c>
      <c r="O472" s="13">
        <f>(CATEGORIZATION!$K472-CATEGORIZATION!$J472)</f>
        <v>2.1499999999999986</v>
      </c>
    </row>
    <row r="473" spans="2:15" ht="15.75">
      <c r="B473" s="13" t="s">
        <v>917</v>
      </c>
      <c r="C473" s="76">
        <v>43486</v>
      </c>
      <c r="D473" s="13" t="s">
        <v>419</v>
      </c>
      <c r="E473" s="13" t="s">
        <v>131</v>
      </c>
      <c r="F473" s="13" t="s">
        <v>414</v>
      </c>
      <c r="G473" s="13" t="s">
        <v>494</v>
      </c>
      <c r="H473" s="13" t="s">
        <v>467</v>
      </c>
      <c r="I473" s="13" t="str">
        <f t="shared" si="7"/>
        <v>Food and beverages</v>
      </c>
      <c r="J473" s="13">
        <v>68.98</v>
      </c>
      <c r="K473" s="13">
        <v>72.429000000000002</v>
      </c>
      <c r="L473" s="13">
        <v>1</v>
      </c>
      <c r="M473" s="13" t="s">
        <v>422</v>
      </c>
      <c r="N473" s="13">
        <v>4.8</v>
      </c>
      <c r="O473" s="13">
        <f>(CATEGORIZATION!$K473-CATEGORIZATION!$J473)</f>
        <v>3.4489999999999981</v>
      </c>
    </row>
    <row r="474" spans="2:15" ht="15.75">
      <c r="B474" s="13" t="s">
        <v>918</v>
      </c>
      <c r="C474" s="76">
        <v>43482</v>
      </c>
      <c r="D474" s="13" t="s">
        <v>175</v>
      </c>
      <c r="E474" s="13" t="s">
        <v>134</v>
      </c>
      <c r="F474" s="13" t="s">
        <v>420</v>
      </c>
      <c r="G474" s="13" t="s">
        <v>494</v>
      </c>
      <c r="H474" s="13" t="s">
        <v>892</v>
      </c>
      <c r="I474" s="13" t="str">
        <f t="shared" si="7"/>
        <v>Sports</v>
      </c>
      <c r="J474" s="13">
        <v>25.7</v>
      </c>
      <c r="K474" s="13">
        <v>26.984999999999999</v>
      </c>
      <c r="L474" s="13">
        <v>3</v>
      </c>
      <c r="M474" s="13" t="s">
        <v>417</v>
      </c>
      <c r="N474" s="13">
        <v>6.1</v>
      </c>
      <c r="O474" s="13">
        <f>(CATEGORIZATION!$K474-CATEGORIZATION!$J474)</f>
        <v>1.2850000000000001</v>
      </c>
    </row>
    <row r="475" spans="2:15" ht="15.75">
      <c r="B475" s="13" t="s">
        <v>919</v>
      </c>
      <c r="C475" s="76">
        <v>43524</v>
      </c>
      <c r="D475" s="13" t="s">
        <v>175</v>
      </c>
      <c r="E475" s="13" t="s">
        <v>134</v>
      </c>
      <c r="F475" s="13" t="s">
        <v>414</v>
      </c>
      <c r="G475" s="13" t="s">
        <v>494</v>
      </c>
      <c r="H475" s="13" t="s">
        <v>920</v>
      </c>
      <c r="I475" s="13" t="str">
        <f t="shared" si="7"/>
        <v>Food and beverages</v>
      </c>
      <c r="J475" s="13">
        <v>80.62</v>
      </c>
      <c r="K475" s="13">
        <v>84.650999999999996</v>
      </c>
      <c r="L475" s="13">
        <v>6</v>
      </c>
      <c r="M475" s="13" t="s">
        <v>422</v>
      </c>
      <c r="N475" s="13">
        <v>9.1</v>
      </c>
      <c r="O475" s="13">
        <f>(CATEGORIZATION!$K475-CATEGORIZATION!$J475)</f>
        <v>4.0309999999999917</v>
      </c>
    </row>
    <row r="476" spans="2:15" ht="15.75">
      <c r="B476" s="13" t="s">
        <v>921</v>
      </c>
      <c r="C476" s="76">
        <v>43515</v>
      </c>
      <c r="D476" s="13" t="s">
        <v>419</v>
      </c>
      <c r="E476" s="13" t="s">
        <v>131</v>
      </c>
      <c r="F476" s="13" t="s">
        <v>420</v>
      </c>
      <c r="G476" s="13" t="s">
        <v>415</v>
      </c>
      <c r="H476" s="13" t="s">
        <v>421</v>
      </c>
      <c r="I476" s="13" t="str">
        <f t="shared" si="7"/>
        <v>Electronic accessories</v>
      </c>
      <c r="J476" s="13">
        <v>77.63</v>
      </c>
      <c r="K476" s="13">
        <v>81.511500000000012</v>
      </c>
      <c r="L476" s="13">
        <v>9</v>
      </c>
      <c r="M476" s="13" t="s">
        <v>417</v>
      </c>
      <c r="N476" s="13">
        <v>7.2</v>
      </c>
      <c r="O476" s="13">
        <f>(CATEGORIZATION!$K476-CATEGORIZATION!$J476)</f>
        <v>3.8815000000000168</v>
      </c>
    </row>
    <row r="477" spans="2:15" ht="15.75">
      <c r="B477" s="13" t="s">
        <v>922</v>
      </c>
      <c r="C477" s="76">
        <v>43557</v>
      </c>
      <c r="D477" s="13" t="s">
        <v>419</v>
      </c>
      <c r="E477" s="13" t="s">
        <v>131</v>
      </c>
      <c r="F477" s="13" t="s">
        <v>420</v>
      </c>
      <c r="G477" s="13" t="s">
        <v>415</v>
      </c>
      <c r="H477" s="13" t="s">
        <v>446</v>
      </c>
      <c r="I477" s="13" t="str">
        <f t="shared" si="7"/>
        <v>Health and beauty</v>
      </c>
      <c r="J477" s="13">
        <v>13.85</v>
      </c>
      <c r="K477" s="13">
        <v>14.542499999999999</v>
      </c>
      <c r="L477" s="13">
        <v>9</v>
      </c>
      <c r="M477" s="13" t="s">
        <v>417</v>
      </c>
      <c r="N477" s="13">
        <v>6</v>
      </c>
      <c r="O477" s="13">
        <f>(CATEGORIZATION!$K477-CATEGORIZATION!$J477)</f>
        <v>0.69249999999999901</v>
      </c>
    </row>
    <row r="478" spans="2:15" ht="15.75">
      <c r="B478" s="13" t="s">
        <v>923</v>
      </c>
      <c r="C478" s="76">
        <v>43618</v>
      </c>
      <c r="D478" s="13" t="s">
        <v>175</v>
      </c>
      <c r="E478" s="13" t="s">
        <v>134</v>
      </c>
      <c r="F478" s="13" t="s">
        <v>420</v>
      </c>
      <c r="G478" s="13" t="s">
        <v>415</v>
      </c>
      <c r="H478" s="13" t="s">
        <v>465</v>
      </c>
      <c r="I478" s="13" t="str">
        <f t="shared" si="7"/>
        <v>Health and beauty</v>
      </c>
      <c r="J478" s="13">
        <v>35.68</v>
      </c>
      <c r="K478" s="13">
        <v>37.463999999999999</v>
      </c>
      <c r="L478" s="13">
        <v>5</v>
      </c>
      <c r="M478" s="13" t="s">
        <v>433</v>
      </c>
      <c r="N478" s="13">
        <v>6.6</v>
      </c>
      <c r="O478" s="13">
        <f>(CATEGORIZATION!$K478-CATEGORIZATION!$J478)</f>
        <v>1.7839999999999989</v>
      </c>
    </row>
    <row r="479" spans="2:15" ht="15.75">
      <c r="B479" s="13" t="s">
        <v>924</v>
      </c>
      <c r="C479" s="76">
        <v>43484</v>
      </c>
      <c r="D479" s="13" t="s">
        <v>175</v>
      </c>
      <c r="E479" s="13" t="s">
        <v>134</v>
      </c>
      <c r="F479" s="13" t="s">
        <v>414</v>
      </c>
      <c r="G479" s="13" t="s">
        <v>494</v>
      </c>
      <c r="H479" s="13" t="s">
        <v>421</v>
      </c>
      <c r="I479" s="13" t="str">
        <f t="shared" si="7"/>
        <v>Electronic accessories</v>
      </c>
      <c r="J479" s="13">
        <v>11.94</v>
      </c>
      <c r="K479" s="13">
        <v>12.536999999999999</v>
      </c>
      <c r="L479" s="13">
        <v>3</v>
      </c>
      <c r="M479" s="13" t="s">
        <v>433</v>
      </c>
      <c r="N479" s="13">
        <v>8.1</v>
      </c>
      <c r="O479" s="13">
        <f>(CATEGORIZATION!$K479-CATEGORIZATION!$J479)</f>
        <v>0.59699999999999953</v>
      </c>
    </row>
    <row r="480" spans="2:15" ht="15.75">
      <c r="B480" s="13" t="s">
        <v>925</v>
      </c>
      <c r="C480" s="76">
        <v>43483</v>
      </c>
      <c r="D480" s="13" t="s">
        <v>419</v>
      </c>
      <c r="E480" s="13" t="s">
        <v>131</v>
      </c>
      <c r="F480" s="13" t="s">
        <v>414</v>
      </c>
      <c r="G480" s="13" t="s">
        <v>415</v>
      </c>
      <c r="H480" s="13" t="s">
        <v>892</v>
      </c>
      <c r="I480" s="13" t="str">
        <f t="shared" si="7"/>
        <v>Sports</v>
      </c>
      <c r="J480" s="13">
        <v>90.63</v>
      </c>
      <c r="K480" s="13">
        <v>95.16149999999999</v>
      </c>
      <c r="L480" s="13">
        <v>9</v>
      </c>
      <c r="M480" s="13" t="s">
        <v>422</v>
      </c>
      <c r="N480" s="13">
        <v>5.0999999999999996</v>
      </c>
      <c r="O480" s="13">
        <f>(CATEGORIZATION!$K480-CATEGORIZATION!$J480)</f>
        <v>4.5314999999999941</v>
      </c>
    </row>
    <row r="481" spans="2:15" ht="15.75">
      <c r="B481" s="13" t="s">
        <v>926</v>
      </c>
      <c r="C481" s="76">
        <v>43770</v>
      </c>
      <c r="D481" s="13" t="s">
        <v>419</v>
      </c>
      <c r="E481" s="13" t="s">
        <v>131</v>
      </c>
      <c r="F481" s="13" t="s">
        <v>414</v>
      </c>
      <c r="G481" s="13" t="s">
        <v>415</v>
      </c>
      <c r="H481" s="13" t="s">
        <v>920</v>
      </c>
      <c r="I481" s="13" t="str">
        <f t="shared" si="7"/>
        <v>Food and beverages</v>
      </c>
      <c r="J481" s="13">
        <v>36.770000000000003</v>
      </c>
      <c r="K481" s="13">
        <v>38.608499999999999</v>
      </c>
      <c r="L481" s="13">
        <v>7</v>
      </c>
      <c r="M481" s="13" t="s">
        <v>422</v>
      </c>
      <c r="N481" s="13">
        <v>7.4</v>
      </c>
      <c r="O481" s="13">
        <f>(CATEGORIZATION!$K481-CATEGORIZATION!$J481)</f>
        <v>1.8384999999999962</v>
      </c>
    </row>
    <row r="482" spans="2:15" ht="15.75">
      <c r="B482" s="13" t="s">
        <v>927</v>
      </c>
      <c r="C482" s="76">
        <v>43557</v>
      </c>
      <c r="D482" s="13" t="s">
        <v>266</v>
      </c>
      <c r="E482" s="13" t="s">
        <v>135</v>
      </c>
      <c r="F482" s="13" t="s">
        <v>414</v>
      </c>
      <c r="G482" s="13" t="s">
        <v>494</v>
      </c>
      <c r="H482" s="13" t="s">
        <v>920</v>
      </c>
      <c r="I482" s="13" t="str">
        <f t="shared" si="7"/>
        <v>Food and beverages</v>
      </c>
      <c r="J482" s="13">
        <v>23.34</v>
      </c>
      <c r="K482" s="13">
        <v>24.507000000000001</v>
      </c>
      <c r="L482" s="13">
        <v>4</v>
      </c>
      <c r="M482" s="13" t="s">
        <v>417</v>
      </c>
      <c r="N482" s="13">
        <v>7.4</v>
      </c>
      <c r="O482" s="13">
        <f>(CATEGORIZATION!$K482-CATEGORIZATION!$J482)</f>
        <v>1.1670000000000016</v>
      </c>
    </row>
    <row r="483" spans="2:15" ht="15.75">
      <c r="B483" s="13" t="s">
        <v>928</v>
      </c>
      <c r="C483" s="76">
        <v>43618</v>
      </c>
      <c r="D483" s="13" t="s">
        <v>419</v>
      </c>
      <c r="E483" s="13" t="s">
        <v>131</v>
      </c>
      <c r="F483" s="13" t="s">
        <v>414</v>
      </c>
      <c r="G483" s="13" t="s">
        <v>415</v>
      </c>
      <c r="H483" s="13" t="s">
        <v>446</v>
      </c>
      <c r="I483" s="13" t="str">
        <f t="shared" si="7"/>
        <v>Health and beauty</v>
      </c>
      <c r="J483" s="13">
        <v>28.5</v>
      </c>
      <c r="K483" s="13">
        <v>29.925000000000001</v>
      </c>
      <c r="L483" s="13">
        <v>8</v>
      </c>
      <c r="M483" s="13" t="s">
        <v>422</v>
      </c>
      <c r="N483" s="13">
        <v>6.6</v>
      </c>
      <c r="O483" s="13">
        <f>(CATEGORIZATION!$K483-CATEGORIZATION!$J483)</f>
        <v>1.4250000000000007</v>
      </c>
    </row>
    <row r="484" spans="2:15" ht="15.75">
      <c r="B484" s="13" t="s">
        <v>929</v>
      </c>
      <c r="C484" s="76">
        <v>43588</v>
      </c>
      <c r="D484" s="13" t="s">
        <v>266</v>
      </c>
      <c r="E484" s="13" t="s">
        <v>135</v>
      </c>
      <c r="F484" s="13" t="s">
        <v>420</v>
      </c>
      <c r="G484" s="13" t="s">
        <v>494</v>
      </c>
      <c r="H484" s="13" t="s">
        <v>892</v>
      </c>
      <c r="I484" s="13" t="str">
        <f t="shared" si="7"/>
        <v>Sports</v>
      </c>
      <c r="J484" s="13">
        <v>69.739999999999995</v>
      </c>
      <c r="K484" s="13">
        <v>73.227000000000004</v>
      </c>
      <c r="L484" s="13">
        <v>10</v>
      </c>
      <c r="M484" s="13" t="s">
        <v>433</v>
      </c>
      <c r="N484" s="13">
        <v>8.9</v>
      </c>
      <c r="O484" s="13">
        <f>(CATEGORIZATION!$K484-CATEGORIZATION!$J484)</f>
        <v>3.487000000000009</v>
      </c>
    </row>
    <row r="485" spans="2:15" ht="15.75">
      <c r="B485" s="13" t="s">
        <v>930</v>
      </c>
      <c r="C485" s="76">
        <v>43524</v>
      </c>
      <c r="D485" s="13" t="s">
        <v>175</v>
      </c>
      <c r="E485" s="13" t="s">
        <v>134</v>
      </c>
      <c r="F485" s="13" t="s">
        <v>420</v>
      </c>
      <c r="G485" s="13" t="s">
        <v>494</v>
      </c>
      <c r="H485" s="13" t="s">
        <v>465</v>
      </c>
      <c r="I485" s="13" t="str">
        <f t="shared" si="7"/>
        <v>Health and beauty</v>
      </c>
      <c r="J485" s="13">
        <v>56</v>
      </c>
      <c r="K485" s="13">
        <v>58.800000000000004</v>
      </c>
      <c r="L485" s="13">
        <v>3</v>
      </c>
      <c r="M485" s="13" t="s">
        <v>417</v>
      </c>
      <c r="N485" s="13">
        <v>4.8</v>
      </c>
      <c r="O485" s="13">
        <f>(CATEGORIZATION!$K485-CATEGORIZATION!$J485)</f>
        <v>2.8000000000000043</v>
      </c>
    </row>
    <row r="486" spans="2:15" ht="15.75">
      <c r="B486" s="13" t="s">
        <v>931</v>
      </c>
      <c r="C486" s="76">
        <v>43489</v>
      </c>
      <c r="D486" s="13" t="s">
        <v>266</v>
      </c>
      <c r="E486" s="13" t="s">
        <v>135</v>
      </c>
      <c r="F486" s="13" t="s">
        <v>420</v>
      </c>
      <c r="G486" s="13" t="s">
        <v>494</v>
      </c>
      <c r="H486" s="13" t="s">
        <v>499</v>
      </c>
      <c r="I486" s="13" t="str">
        <f t="shared" si="7"/>
        <v>Electronic accessories</v>
      </c>
      <c r="J486" s="13">
        <v>75.88</v>
      </c>
      <c r="K486" s="13">
        <v>79.673999999999992</v>
      </c>
      <c r="L486" s="13">
        <v>7</v>
      </c>
      <c r="M486" s="13" t="s">
        <v>417</v>
      </c>
      <c r="N486" s="13">
        <v>8.9</v>
      </c>
      <c r="O486" s="13">
        <f>(CATEGORIZATION!$K486-CATEGORIZATION!$J486)</f>
        <v>3.7939999999999969</v>
      </c>
    </row>
    <row r="487" spans="2:15" ht="15.75">
      <c r="B487" s="13" t="s">
        <v>932</v>
      </c>
      <c r="C487" s="76">
        <v>43468</v>
      </c>
      <c r="D487" s="13" t="s">
        <v>266</v>
      </c>
      <c r="E487" s="13" t="s">
        <v>135</v>
      </c>
      <c r="F487" s="13" t="s">
        <v>414</v>
      </c>
      <c r="G487" s="13" t="s">
        <v>494</v>
      </c>
      <c r="H487" s="13" t="s">
        <v>920</v>
      </c>
      <c r="I487" s="13" t="str">
        <f t="shared" si="7"/>
        <v>Food and beverages</v>
      </c>
      <c r="J487" s="13">
        <v>53.72</v>
      </c>
      <c r="K487" s="13">
        <v>56.405999999999999</v>
      </c>
      <c r="L487" s="13">
        <v>1</v>
      </c>
      <c r="M487" s="13" t="s">
        <v>417</v>
      </c>
      <c r="N487" s="13">
        <v>6.4</v>
      </c>
      <c r="O487" s="13">
        <f>(CATEGORIZATION!$K487-CATEGORIZATION!$J487)</f>
        <v>2.6859999999999999</v>
      </c>
    </row>
    <row r="488" spans="2:15" ht="15.75">
      <c r="B488" s="13" t="s">
        <v>933</v>
      </c>
      <c r="C488" s="76">
        <v>43741</v>
      </c>
      <c r="D488" s="13" t="s">
        <v>419</v>
      </c>
      <c r="E488" s="13" t="s">
        <v>131</v>
      </c>
      <c r="F488" s="13" t="s">
        <v>414</v>
      </c>
      <c r="G488" s="13" t="s">
        <v>494</v>
      </c>
      <c r="H488" s="13" t="s">
        <v>446</v>
      </c>
      <c r="I488" s="13" t="str">
        <f t="shared" si="7"/>
        <v>Health and beauty</v>
      </c>
      <c r="J488" s="13">
        <v>81.95</v>
      </c>
      <c r="K488" s="13">
        <v>86.047499999999999</v>
      </c>
      <c r="L488" s="13">
        <v>10</v>
      </c>
      <c r="M488" s="13" t="s">
        <v>433</v>
      </c>
      <c r="N488" s="13">
        <v>6</v>
      </c>
      <c r="O488" s="13">
        <f>(CATEGORIZATION!$K488-CATEGORIZATION!$J488)</f>
        <v>4.0974999999999966</v>
      </c>
    </row>
    <row r="489" spans="2:15" ht="15.75">
      <c r="B489" s="13" t="s">
        <v>934</v>
      </c>
      <c r="C489" s="76">
        <v>43494</v>
      </c>
      <c r="D489" s="13" t="s">
        <v>419</v>
      </c>
      <c r="E489" s="13" t="s">
        <v>131</v>
      </c>
      <c r="F489" s="13" t="s">
        <v>420</v>
      </c>
      <c r="G489" s="13" t="s">
        <v>494</v>
      </c>
      <c r="H489" s="13" t="s">
        <v>499</v>
      </c>
      <c r="I489" s="13" t="str">
        <f t="shared" si="7"/>
        <v>Electronic accessories</v>
      </c>
      <c r="J489" s="13">
        <v>58.76</v>
      </c>
      <c r="K489" s="13">
        <v>61.698</v>
      </c>
      <c r="L489" s="13">
        <v>10</v>
      </c>
      <c r="M489" s="13" t="s">
        <v>417</v>
      </c>
      <c r="N489" s="13">
        <v>9</v>
      </c>
      <c r="O489" s="13">
        <f>(CATEGORIZATION!$K489-CATEGORIZATION!$J489)</f>
        <v>2.9380000000000024</v>
      </c>
    </row>
    <row r="490" spans="2:15" ht="15.75">
      <c r="B490" s="13" t="s">
        <v>935</v>
      </c>
      <c r="C490" s="76">
        <v>43800</v>
      </c>
      <c r="D490" s="13" t="s">
        <v>266</v>
      </c>
      <c r="E490" s="13" t="s">
        <v>135</v>
      </c>
      <c r="F490" s="13" t="s">
        <v>414</v>
      </c>
      <c r="G490" s="13" t="s">
        <v>494</v>
      </c>
      <c r="H490" s="13" t="s">
        <v>430</v>
      </c>
      <c r="I490" s="13" t="str">
        <f t="shared" si="7"/>
        <v>Electronic accessories</v>
      </c>
      <c r="J490" s="13">
        <v>91.56</v>
      </c>
      <c r="K490" s="13">
        <v>96.138000000000005</v>
      </c>
      <c r="L490" s="13">
        <v>8</v>
      </c>
      <c r="M490" s="13" t="s">
        <v>417</v>
      </c>
      <c r="N490" s="13">
        <v>6</v>
      </c>
      <c r="O490" s="13">
        <f>(CATEGORIZATION!$K490-CATEGORIZATION!$J490)</f>
        <v>4.578000000000003</v>
      </c>
    </row>
    <row r="491" spans="2:15" ht="15.75">
      <c r="B491" s="13" t="s">
        <v>936</v>
      </c>
      <c r="C491" s="76">
        <v>43479</v>
      </c>
      <c r="D491" s="13" t="s">
        <v>419</v>
      </c>
      <c r="E491" s="13" t="s">
        <v>131</v>
      </c>
      <c r="F491" s="13" t="s">
        <v>420</v>
      </c>
      <c r="G491" s="13" t="s">
        <v>494</v>
      </c>
      <c r="H491" s="13" t="s">
        <v>476</v>
      </c>
      <c r="I491" s="13" t="str">
        <f t="shared" si="7"/>
        <v>Food and beverages</v>
      </c>
      <c r="J491" s="13">
        <v>84.83</v>
      </c>
      <c r="K491" s="13">
        <v>89.0715</v>
      </c>
      <c r="L491" s="13">
        <v>1</v>
      </c>
      <c r="M491" s="13" t="s">
        <v>417</v>
      </c>
      <c r="N491" s="13">
        <v>8.8000000000000007</v>
      </c>
      <c r="O491" s="13">
        <f>(CATEGORIZATION!$K491-CATEGORIZATION!$J491)</f>
        <v>4.241500000000002</v>
      </c>
    </row>
    <row r="492" spans="2:15" ht="15.75">
      <c r="B492" s="13" t="s">
        <v>937</v>
      </c>
      <c r="C492" s="76">
        <v>43801</v>
      </c>
      <c r="D492" s="13" t="s">
        <v>175</v>
      </c>
      <c r="E492" s="13" t="s">
        <v>134</v>
      </c>
      <c r="F492" s="13" t="s">
        <v>414</v>
      </c>
      <c r="G492" s="13" t="s">
        <v>415</v>
      </c>
      <c r="H492" s="13" t="s">
        <v>892</v>
      </c>
      <c r="I492" s="13" t="str">
        <f t="shared" si="7"/>
        <v>Sports</v>
      </c>
      <c r="J492" s="13">
        <v>71.63</v>
      </c>
      <c r="K492" s="13">
        <v>75.211500000000001</v>
      </c>
      <c r="L492" s="13">
        <v>2</v>
      </c>
      <c r="M492" s="13" t="s">
        <v>417</v>
      </c>
      <c r="N492" s="13">
        <v>8.8000000000000007</v>
      </c>
      <c r="O492" s="13">
        <f>(CATEGORIZATION!$K492-CATEGORIZATION!$J492)</f>
        <v>3.5815000000000055</v>
      </c>
    </row>
    <row r="493" spans="2:15" ht="15.75">
      <c r="B493" s="13" t="s">
        <v>938</v>
      </c>
      <c r="C493" s="76">
        <v>43497</v>
      </c>
      <c r="D493" s="13" t="s">
        <v>419</v>
      </c>
      <c r="E493" s="13" t="s">
        <v>131</v>
      </c>
      <c r="F493" s="13" t="s">
        <v>414</v>
      </c>
      <c r="G493" s="13" t="s">
        <v>415</v>
      </c>
      <c r="H493" s="13" t="s">
        <v>892</v>
      </c>
      <c r="I493" s="13" t="str">
        <f t="shared" si="7"/>
        <v>Sports</v>
      </c>
      <c r="J493" s="13">
        <v>31.67</v>
      </c>
      <c r="K493" s="13">
        <v>33.253500000000003</v>
      </c>
      <c r="L493" s="13">
        <v>8</v>
      </c>
      <c r="M493" s="13" t="s">
        <v>433</v>
      </c>
      <c r="N493" s="13">
        <v>5.6</v>
      </c>
      <c r="O493" s="13">
        <f>(CATEGORIZATION!$K493-CATEGORIZATION!$J493)</f>
        <v>1.5835000000000008</v>
      </c>
    </row>
    <row r="494" spans="2:15" ht="15.75">
      <c r="B494" s="13" t="s">
        <v>939</v>
      </c>
      <c r="C494" s="76">
        <v>43498</v>
      </c>
      <c r="D494" s="13" t="s">
        <v>419</v>
      </c>
      <c r="E494" s="13" t="s">
        <v>131</v>
      </c>
      <c r="F494" s="13" t="s">
        <v>414</v>
      </c>
      <c r="G494" s="13" t="s">
        <v>415</v>
      </c>
      <c r="H494" s="13" t="s">
        <v>476</v>
      </c>
      <c r="I494" s="13" t="str">
        <f t="shared" si="7"/>
        <v>Food and beverages</v>
      </c>
      <c r="J494" s="13">
        <v>38.42</v>
      </c>
      <c r="K494" s="13">
        <v>40.341000000000001</v>
      </c>
      <c r="L494" s="13">
        <v>1</v>
      </c>
      <c r="M494" s="13" t="s">
        <v>422</v>
      </c>
      <c r="N494" s="13">
        <v>8.6</v>
      </c>
      <c r="O494" s="13">
        <f>(CATEGORIZATION!$K494-CATEGORIZATION!$J494)</f>
        <v>1.9209999999999994</v>
      </c>
    </row>
    <row r="495" spans="2:15" ht="15.75">
      <c r="B495" s="13" t="s">
        <v>940</v>
      </c>
      <c r="C495" s="76">
        <v>43480</v>
      </c>
      <c r="D495" s="13" t="s">
        <v>419</v>
      </c>
      <c r="E495" s="13" t="s">
        <v>131</v>
      </c>
      <c r="F495" s="13" t="s">
        <v>414</v>
      </c>
      <c r="G495" s="13" t="s">
        <v>494</v>
      </c>
      <c r="H495" s="13" t="s">
        <v>465</v>
      </c>
      <c r="I495" s="13" t="str">
        <f t="shared" si="7"/>
        <v>Health and beauty</v>
      </c>
      <c r="J495" s="13">
        <v>81.23</v>
      </c>
      <c r="K495" s="13">
        <v>85.291499999999999</v>
      </c>
      <c r="L495" s="13">
        <v>7</v>
      </c>
      <c r="M495" s="13" t="s">
        <v>422</v>
      </c>
      <c r="N495" s="13">
        <v>9</v>
      </c>
      <c r="O495" s="13">
        <f>(CATEGORIZATION!$K495-CATEGORIZATION!$J495)</f>
        <v>4.0614999999999952</v>
      </c>
    </row>
    <row r="496" spans="2:15" ht="15.75">
      <c r="B496" s="13" t="s">
        <v>941</v>
      </c>
      <c r="C496" s="76">
        <v>43526</v>
      </c>
      <c r="D496" s="13" t="s">
        <v>175</v>
      </c>
      <c r="E496" s="13" t="s">
        <v>134</v>
      </c>
      <c r="F496" s="13" t="s">
        <v>420</v>
      </c>
      <c r="G496" s="13" t="s">
        <v>415</v>
      </c>
      <c r="H496" s="13" t="s">
        <v>476</v>
      </c>
      <c r="I496" s="13" t="str">
        <f t="shared" si="7"/>
        <v>Food and beverages</v>
      </c>
      <c r="J496" s="13">
        <v>27.28</v>
      </c>
      <c r="K496" s="13">
        <v>28.643999999999998</v>
      </c>
      <c r="L496" s="13">
        <v>5</v>
      </c>
      <c r="M496" s="13" t="s">
        <v>433</v>
      </c>
      <c r="N496" s="13">
        <v>8.6</v>
      </c>
      <c r="O496" s="13">
        <f>(CATEGORIZATION!$K496-CATEGORIZATION!$J496)</f>
        <v>1.3639999999999972</v>
      </c>
    </row>
    <row r="497" spans="2:15" ht="15.75">
      <c r="B497" s="13" t="s">
        <v>942</v>
      </c>
      <c r="C497" s="76">
        <v>43518</v>
      </c>
      <c r="D497" s="13" t="s">
        <v>175</v>
      </c>
      <c r="E497" s="13" t="s">
        <v>134</v>
      </c>
      <c r="F497" s="13" t="s">
        <v>414</v>
      </c>
      <c r="G497" s="13" t="s">
        <v>415</v>
      </c>
      <c r="H497" s="13" t="s">
        <v>499</v>
      </c>
      <c r="I497" s="13" t="str">
        <f t="shared" si="7"/>
        <v>Electronic accessories</v>
      </c>
      <c r="J497" s="13">
        <v>17.420000000000002</v>
      </c>
      <c r="K497" s="13">
        <v>18.291</v>
      </c>
      <c r="L497" s="13">
        <v>10</v>
      </c>
      <c r="M497" s="13" t="s">
        <v>417</v>
      </c>
      <c r="N497" s="13">
        <v>7</v>
      </c>
      <c r="O497" s="13">
        <f>(CATEGORIZATION!$K497-CATEGORIZATION!$J497)</f>
        <v>0.87099999999999866</v>
      </c>
    </row>
    <row r="498" spans="2:15" ht="15.75">
      <c r="B498" s="13" t="s">
        <v>943</v>
      </c>
      <c r="C498" s="76">
        <v>43513</v>
      </c>
      <c r="D498" s="13" t="s">
        <v>266</v>
      </c>
      <c r="E498" s="13" t="s">
        <v>135</v>
      </c>
      <c r="F498" s="13" t="s">
        <v>414</v>
      </c>
      <c r="G498" s="13" t="s">
        <v>415</v>
      </c>
      <c r="H498" s="13" t="s">
        <v>499</v>
      </c>
      <c r="I498" s="13" t="str">
        <f t="shared" si="7"/>
        <v>Electronic accessories</v>
      </c>
      <c r="J498" s="13">
        <v>35.74</v>
      </c>
      <c r="K498" s="13">
        <v>37.527000000000001</v>
      </c>
      <c r="L498" s="13">
        <v>8</v>
      </c>
      <c r="M498" s="13" t="s">
        <v>417</v>
      </c>
      <c r="N498" s="13">
        <v>4.9000000000000004</v>
      </c>
      <c r="O498" s="13">
        <f>(CATEGORIZATION!$K498-CATEGORIZATION!$J498)</f>
        <v>1.786999999999999</v>
      </c>
    </row>
    <row r="499" spans="2:15" ht="15.75">
      <c r="B499" s="13" t="s">
        <v>944</v>
      </c>
      <c r="C499" s="76">
        <v>43523</v>
      </c>
      <c r="D499" s="13" t="s">
        <v>175</v>
      </c>
      <c r="E499" s="13" t="s">
        <v>134</v>
      </c>
      <c r="F499" s="13" t="s">
        <v>414</v>
      </c>
      <c r="G499" s="13" t="s">
        <v>494</v>
      </c>
      <c r="H499" s="13" t="s">
        <v>476</v>
      </c>
      <c r="I499" s="13" t="str">
        <f t="shared" si="7"/>
        <v>Food and beverages</v>
      </c>
      <c r="J499" s="13">
        <v>18.850000000000001</v>
      </c>
      <c r="K499" s="13">
        <v>19.7925</v>
      </c>
      <c r="L499" s="13">
        <v>10</v>
      </c>
      <c r="M499" s="13" t="s">
        <v>417</v>
      </c>
      <c r="N499" s="13">
        <v>5.6</v>
      </c>
      <c r="O499" s="13">
        <f>(CATEGORIZATION!$K499-CATEGORIZATION!$J499)</f>
        <v>0.94249999999999901</v>
      </c>
    </row>
    <row r="500" spans="2:15" ht="15.75">
      <c r="B500" s="13" t="s">
        <v>945</v>
      </c>
      <c r="C500" s="76">
        <v>43549</v>
      </c>
      <c r="D500" s="13" t="s">
        <v>175</v>
      </c>
      <c r="E500" s="13" t="s">
        <v>134</v>
      </c>
      <c r="F500" s="13" t="s">
        <v>420</v>
      </c>
      <c r="G500" s="13" t="s">
        <v>415</v>
      </c>
      <c r="H500" s="13" t="s">
        <v>476</v>
      </c>
      <c r="I500" s="13" t="str">
        <f t="shared" si="7"/>
        <v>Food and beverages</v>
      </c>
      <c r="J500" s="13">
        <v>55.39</v>
      </c>
      <c r="K500" s="13">
        <v>58.159500000000001</v>
      </c>
      <c r="L500" s="13">
        <v>4</v>
      </c>
      <c r="M500" s="13" t="s">
        <v>417</v>
      </c>
      <c r="N500" s="13">
        <v>8</v>
      </c>
      <c r="O500" s="13">
        <f>(CATEGORIZATION!$K500-CATEGORIZATION!$J500)</f>
        <v>2.7695000000000007</v>
      </c>
    </row>
    <row r="501" spans="2:15" ht="15.75">
      <c r="B501" s="13" t="s">
        <v>946</v>
      </c>
      <c r="C501" s="76">
        <v>43771</v>
      </c>
      <c r="D501" s="13" t="s">
        <v>266</v>
      </c>
      <c r="E501" s="13" t="s">
        <v>135</v>
      </c>
      <c r="F501" s="13" t="s">
        <v>414</v>
      </c>
      <c r="G501" s="13" t="s">
        <v>415</v>
      </c>
      <c r="H501" s="13" t="s">
        <v>476</v>
      </c>
      <c r="I501" s="13" t="str">
        <f t="shared" si="7"/>
        <v>Food and beverages</v>
      </c>
      <c r="J501" s="13">
        <v>77.2</v>
      </c>
      <c r="K501" s="13">
        <v>81.06</v>
      </c>
      <c r="L501" s="13">
        <v>10</v>
      </c>
      <c r="M501" s="13" t="s">
        <v>433</v>
      </c>
      <c r="N501" s="13">
        <v>5.6</v>
      </c>
      <c r="O501" s="13">
        <f>(CATEGORIZATION!$K501-CATEGORIZATION!$J501)</f>
        <v>3.8599999999999994</v>
      </c>
    </row>
    <row r="502" spans="2:15" ht="15.75">
      <c r="B502" s="13" t="s">
        <v>947</v>
      </c>
      <c r="C502" s="76">
        <v>43496</v>
      </c>
      <c r="D502" s="13" t="s">
        <v>266</v>
      </c>
      <c r="E502" s="13" t="s">
        <v>135</v>
      </c>
      <c r="F502" s="13" t="s">
        <v>420</v>
      </c>
      <c r="G502" s="13" t="s">
        <v>494</v>
      </c>
      <c r="H502" s="13" t="s">
        <v>499</v>
      </c>
      <c r="I502" s="13" t="str">
        <f t="shared" si="7"/>
        <v>Electronic accessories</v>
      </c>
      <c r="J502" s="13">
        <v>72.13</v>
      </c>
      <c r="K502" s="13">
        <v>75.736500000000007</v>
      </c>
      <c r="L502" s="13">
        <v>10</v>
      </c>
      <c r="M502" s="13" t="s">
        <v>433</v>
      </c>
      <c r="N502" s="13">
        <v>4.2</v>
      </c>
      <c r="O502" s="13">
        <f>(CATEGORIZATION!$K502-CATEGORIZATION!$J502)</f>
        <v>3.6065000000000111</v>
      </c>
    </row>
    <row r="503" spans="2:15" ht="15.75">
      <c r="B503" s="13" t="s">
        <v>948</v>
      </c>
      <c r="C503" s="76">
        <v>43550</v>
      </c>
      <c r="D503" s="13" t="s">
        <v>175</v>
      </c>
      <c r="E503" s="13" t="s">
        <v>134</v>
      </c>
      <c r="F503" s="13" t="s">
        <v>414</v>
      </c>
      <c r="G503" s="13" t="s">
        <v>415</v>
      </c>
      <c r="H503" s="13" t="s">
        <v>442</v>
      </c>
      <c r="I503" s="13" t="str">
        <f t="shared" si="7"/>
        <v>Health and beauty</v>
      </c>
      <c r="J503" s="13">
        <v>10.69</v>
      </c>
      <c r="K503" s="13">
        <v>11.224500000000001</v>
      </c>
      <c r="L503" s="13">
        <v>5</v>
      </c>
      <c r="M503" s="13" t="s">
        <v>417</v>
      </c>
      <c r="N503" s="13">
        <v>7.6</v>
      </c>
      <c r="O503" s="13">
        <f>(CATEGORIZATION!$K503-CATEGORIZATION!$J503)</f>
        <v>0.53450000000000131</v>
      </c>
    </row>
    <row r="504" spans="2:15" ht="15.75">
      <c r="B504" s="13" t="s">
        <v>949</v>
      </c>
      <c r="C504" s="76">
        <v>43485</v>
      </c>
      <c r="D504" s="13" t="s">
        <v>175</v>
      </c>
      <c r="E504" s="13" t="s">
        <v>134</v>
      </c>
      <c r="F504" s="13" t="s">
        <v>414</v>
      </c>
      <c r="G504" s="13" t="s">
        <v>494</v>
      </c>
      <c r="H504" s="13" t="s">
        <v>442</v>
      </c>
      <c r="I504" s="13" t="str">
        <f t="shared" si="7"/>
        <v>Health and beauty</v>
      </c>
      <c r="J504" s="13">
        <v>55.5</v>
      </c>
      <c r="K504" s="13">
        <v>58.274999999999999</v>
      </c>
      <c r="L504" s="13">
        <v>4</v>
      </c>
      <c r="M504" s="13" t="s">
        <v>433</v>
      </c>
      <c r="N504" s="13">
        <v>6.6</v>
      </c>
      <c r="O504" s="13">
        <f>(CATEGORIZATION!$K504-CATEGORIZATION!$J504)</f>
        <v>2.7749999999999986</v>
      </c>
    </row>
    <row r="505" spans="2:15" ht="15.75">
      <c r="B505" s="13" t="s">
        <v>950</v>
      </c>
      <c r="C505" s="76">
        <v>43509</v>
      </c>
      <c r="D505" s="13" t="s">
        <v>266</v>
      </c>
      <c r="E505" s="13" t="s">
        <v>135</v>
      </c>
      <c r="F505" s="13" t="s">
        <v>420</v>
      </c>
      <c r="G505" s="13" t="s">
        <v>494</v>
      </c>
      <c r="H505" s="13" t="s">
        <v>892</v>
      </c>
      <c r="I505" s="13" t="str">
        <f t="shared" si="7"/>
        <v>Sports</v>
      </c>
      <c r="J505" s="13">
        <v>13.69</v>
      </c>
      <c r="K505" s="13">
        <v>14.374499999999999</v>
      </c>
      <c r="L505" s="13">
        <v>6</v>
      </c>
      <c r="M505" s="13" t="s">
        <v>422</v>
      </c>
      <c r="N505" s="13">
        <v>6.3</v>
      </c>
      <c r="O505" s="13">
        <f>(CATEGORIZATION!$K505-CATEGORIZATION!$J505)</f>
        <v>0.68449999999999989</v>
      </c>
    </row>
    <row r="506" spans="2:15" ht="15.75">
      <c r="B506" s="13" t="s">
        <v>951</v>
      </c>
      <c r="C506" s="76">
        <v>43540</v>
      </c>
      <c r="D506" s="13" t="s">
        <v>266</v>
      </c>
      <c r="E506" s="13" t="s">
        <v>135</v>
      </c>
      <c r="F506" s="13" t="s">
        <v>420</v>
      </c>
      <c r="G506" s="13" t="s">
        <v>415</v>
      </c>
      <c r="H506" s="13" t="s">
        <v>499</v>
      </c>
      <c r="I506" s="13" t="str">
        <f t="shared" si="7"/>
        <v>Electronic accessories</v>
      </c>
      <c r="J506" s="13">
        <v>95.64</v>
      </c>
      <c r="K506" s="13">
        <v>100.422</v>
      </c>
      <c r="L506" s="13">
        <v>4</v>
      </c>
      <c r="M506" s="13" t="s">
        <v>422</v>
      </c>
      <c r="N506" s="13">
        <v>7.9</v>
      </c>
      <c r="O506" s="13">
        <f>(CATEGORIZATION!$K506-CATEGORIZATION!$J506)</f>
        <v>4.7819999999999965</v>
      </c>
    </row>
    <row r="507" spans="2:15" ht="15.75">
      <c r="B507" s="13" t="s">
        <v>952</v>
      </c>
      <c r="C507" s="76">
        <v>43522</v>
      </c>
      <c r="D507" s="13" t="s">
        <v>266</v>
      </c>
      <c r="E507" s="13" t="s">
        <v>135</v>
      </c>
      <c r="F507" s="13" t="s">
        <v>414</v>
      </c>
      <c r="G507" s="13" t="s">
        <v>415</v>
      </c>
      <c r="H507" s="13" t="s">
        <v>471</v>
      </c>
      <c r="I507" s="13" t="str">
        <f t="shared" si="7"/>
        <v>Sports</v>
      </c>
      <c r="J507" s="13">
        <v>95.54</v>
      </c>
      <c r="K507" s="13">
        <v>100.31699999999999</v>
      </c>
      <c r="L507" s="13">
        <v>4</v>
      </c>
      <c r="M507" s="13" t="s">
        <v>417</v>
      </c>
      <c r="N507" s="13">
        <v>4.5</v>
      </c>
      <c r="O507" s="13">
        <f>(CATEGORIZATION!$K507-CATEGORIZATION!$J507)</f>
        <v>4.7769999999999868</v>
      </c>
    </row>
    <row r="508" spans="2:15" ht="15.75">
      <c r="B508" s="13" t="s">
        <v>953</v>
      </c>
      <c r="C508" s="76">
        <v>43523</v>
      </c>
      <c r="D508" s="13" t="s">
        <v>419</v>
      </c>
      <c r="E508" s="13" t="s">
        <v>131</v>
      </c>
      <c r="F508" s="13" t="s">
        <v>414</v>
      </c>
      <c r="G508" s="13" t="s">
        <v>415</v>
      </c>
      <c r="H508" s="13" t="s">
        <v>442</v>
      </c>
      <c r="I508" s="13" t="str">
        <f t="shared" si="7"/>
        <v>Health and beauty</v>
      </c>
      <c r="J508" s="13">
        <v>85.87</v>
      </c>
      <c r="K508" s="13">
        <v>90.163499999999999</v>
      </c>
      <c r="L508" s="13">
        <v>7</v>
      </c>
      <c r="M508" s="13" t="s">
        <v>433</v>
      </c>
      <c r="N508" s="13">
        <v>8</v>
      </c>
      <c r="O508" s="13">
        <f>(CATEGORIZATION!$K508-CATEGORIZATION!$J508)</f>
        <v>4.2934999999999945</v>
      </c>
    </row>
    <row r="509" spans="2:15" ht="15.75">
      <c r="B509" s="13" t="s">
        <v>954</v>
      </c>
      <c r="C509" s="76">
        <v>43513</v>
      </c>
      <c r="D509" s="13" t="s">
        <v>419</v>
      </c>
      <c r="E509" s="13" t="s">
        <v>131</v>
      </c>
      <c r="F509" s="13" t="s">
        <v>414</v>
      </c>
      <c r="G509" s="13" t="s">
        <v>415</v>
      </c>
      <c r="H509" s="13" t="s">
        <v>471</v>
      </c>
      <c r="I509" s="13" t="str">
        <f t="shared" si="7"/>
        <v>Sports</v>
      </c>
      <c r="J509" s="13">
        <v>67.989999999999995</v>
      </c>
      <c r="K509" s="13">
        <v>71.389499999999998</v>
      </c>
      <c r="L509" s="13">
        <v>7</v>
      </c>
      <c r="M509" s="13" t="s">
        <v>417</v>
      </c>
      <c r="N509" s="13">
        <v>5.7</v>
      </c>
      <c r="O509" s="13">
        <f>(CATEGORIZATION!$K509-CATEGORIZATION!$J509)</f>
        <v>3.3995000000000033</v>
      </c>
    </row>
    <row r="510" spans="2:15" ht="15.75">
      <c r="B510" s="13" t="s">
        <v>955</v>
      </c>
      <c r="C510" s="76">
        <v>43618</v>
      </c>
      <c r="D510" s="13" t="s">
        <v>419</v>
      </c>
      <c r="E510" s="13" t="s">
        <v>131</v>
      </c>
      <c r="F510" s="13" t="s">
        <v>420</v>
      </c>
      <c r="G510" s="13" t="s">
        <v>415</v>
      </c>
      <c r="H510" s="13" t="s">
        <v>476</v>
      </c>
      <c r="I510" s="13" t="str">
        <f t="shared" si="7"/>
        <v>Food and beverages</v>
      </c>
      <c r="J510" s="13">
        <v>52.42</v>
      </c>
      <c r="K510" s="13">
        <v>55.040999999999997</v>
      </c>
      <c r="L510" s="13">
        <v>1</v>
      </c>
      <c r="M510" s="13" t="s">
        <v>433</v>
      </c>
      <c r="N510" s="13">
        <v>6.3</v>
      </c>
      <c r="O510" s="13">
        <f>(CATEGORIZATION!$K510-CATEGORIZATION!$J510)</f>
        <v>2.6209999999999951</v>
      </c>
    </row>
    <row r="511" spans="2:15" ht="15.75">
      <c r="B511" s="13" t="s">
        <v>956</v>
      </c>
      <c r="C511" s="76">
        <v>43482</v>
      </c>
      <c r="D511" s="13" t="s">
        <v>419</v>
      </c>
      <c r="E511" s="13" t="s">
        <v>131</v>
      </c>
      <c r="F511" s="13" t="s">
        <v>414</v>
      </c>
      <c r="G511" s="13" t="s">
        <v>494</v>
      </c>
      <c r="H511" s="13" t="s">
        <v>476</v>
      </c>
      <c r="I511" s="13" t="str">
        <f t="shared" si="7"/>
        <v>Food and beverages</v>
      </c>
      <c r="J511" s="13">
        <v>65.650000000000006</v>
      </c>
      <c r="K511" s="13">
        <v>68.932500000000005</v>
      </c>
      <c r="L511" s="13">
        <v>2</v>
      </c>
      <c r="M511" s="13" t="s">
        <v>422</v>
      </c>
      <c r="N511" s="13">
        <v>6</v>
      </c>
      <c r="O511" s="13">
        <f>(CATEGORIZATION!$K511-CATEGORIZATION!$J511)</f>
        <v>3.2824999999999989</v>
      </c>
    </row>
    <row r="512" spans="2:15" ht="15.75">
      <c r="B512" s="13" t="s">
        <v>957</v>
      </c>
      <c r="C512" s="76">
        <v>43487</v>
      </c>
      <c r="D512" s="13" t="s">
        <v>266</v>
      </c>
      <c r="E512" s="13" t="s">
        <v>135</v>
      </c>
      <c r="F512" s="13" t="s">
        <v>420</v>
      </c>
      <c r="G512" s="13" t="s">
        <v>415</v>
      </c>
      <c r="H512" s="13" t="s">
        <v>476</v>
      </c>
      <c r="I512" s="13" t="str">
        <f t="shared" si="7"/>
        <v>Food and beverages</v>
      </c>
      <c r="J512" s="13">
        <v>28.86</v>
      </c>
      <c r="K512" s="13">
        <v>30.302999999999997</v>
      </c>
      <c r="L512" s="13">
        <v>5</v>
      </c>
      <c r="M512" s="13" t="s">
        <v>433</v>
      </c>
      <c r="N512" s="13">
        <v>8</v>
      </c>
      <c r="O512" s="13">
        <f>(CATEGORIZATION!$K512-CATEGORIZATION!$J512)</f>
        <v>1.4429999999999978</v>
      </c>
    </row>
    <row r="513" spans="2:15" ht="15.75">
      <c r="B513" s="13" t="s">
        <v>958</v>
      </c>
      <c r="C513" s="76">
        <v>43588</v>
      </c>
      <c r="D513" s="13" t="s">
        <v>419</v>
      </c>
      <c r="E513" s="13" t="s">
        <v>131</v>
      </c>
      <c r="F513" s="13" t="s">
        <v>414</v>
      </c>
      <c r="G513" s="13" t="s">
        <v>494</v>
      </c>
      <c r="H513" s="13" t="s">
        <v>442</v>
      </c>
      <c r="I513" s="13" t="str">
        <f t="shared" si="7"/>
        <v>Health and beauty</v>
      </c>
      <c r="J513" s="13">
        <v>65.31</v>
      </c>
      <c r="K513" s="13">
        <v>68.575500000000005</v>
      </c>
      <c r="L513" s="13">
        <v>7</v>
      </c>
      <c r="M513" s="13" t="s">
        <v>433</v>
      </c>
      <c r="N513" s="13">
        <v>4.2</v>
      </c>
      <c r="O513" s="13">
        <f>(CATEGORIZATION!$K513-CATEGORIZATION!$J513)</f>
        <v>3.265500000000003</v>
      </c>
    </row>
    <row r="514" spans="2:15" ht="15.75">
      <c r="B514" s="13" t="s">
        <v>959</v>
      </c>
      <c r="C514" s="76">
        <v>43525</v>
      </c>
      <c r="D514" s="13" t="s">
        <v>266</v>
      </c>
      <c r="E514" s="13" t="s">
        <v>135</v>
      </c>
      <c r="F514" s="13" t="s">
        <v>420</v>
      </c>
      <c r="G514" s="13" t="s">
        <v>494</v>
      </c>
      <c r="H514" s="13" t="s">
        <v>471</v>
      </c>
      <c r="I514" s="13" t="str">
        <f t="shared" si="7"/>
        <v>Sports</v>
      </c>
      <c r="J514" s="13">
        <v>93.38</v>
      </c>
      <c r="K514" s="13">
        <v>98.049000000000007</v>
      </c>
      <c r="L514" s="13">
        <v>1</v>
      </c>
      <c r="M514" s="13" t="s">
        <v>422</v>
      </c>
      <c r="N514" s="13">
        <v>9.6</v>
      </c>
      <c r="O514" s="13">
        <f>(CATEGORIZATION!$K514-CATEGORIZATION!$J514)</f>
        <v>4.6690000000000111</v>
      </c>
    </row>
    <row r="515" spans="2:15" ht="15.75">
      <c r="B515" s="13" t="s">
        <v>960</v>
      </c>
      <c r="C515" s="76">
        <v>43544</v>
      </c>
      <c r="D515" s="13" t="s">
        <v>419</v>
      </c>
      <c r="E515" s="13" t="s">
        <v>131</v>
      </c>
      <c r="F515" s="13" t="s">
        <v>414</v>
      </c>
      <c r="G515" s="13" t="s">
        <v>494</v>
      </c>
      <c r="H515" s="13" t="s">
        <v>471</v>
      </c>
      <c r="I515" s="13" t="str">
        <f t="shared" si="7"/>
        <v>Sports</v>
      </c>
      <c r="J515" s="13">
        <v>25.25</v>
      </c>
      <c r="K515" s="13">
        <v>26.512499999999999</v>
      </c>
      <c r="L515" s="13">
        <v>5</v>
      </c>
      <c r="M515" s="13" t="s">
        <v>422</v>
      </c>
      <c r="N515" s="13">
        <v>6.1</v>
      </c>
      <c r="O515" s="13">
        <f>(CATEGORIZATION!$K515-CATEGORIZATION!$J515)</f>
        <v>1.2624999999999993</v>
      </c>
    </row>
    <row r="516" spans="2:15" ht="15.75">
      <c r="B516" s="13" t="s">
        <v>961</v>
      </c>
      <c r="C516" s="76">
        <v>43496</v>
      </c>
      <c r="D516" s="13" t="s">
        <v>266</v>
      </c>
      <c r="E516" s="13" t="s">
        <v>135</v>
      </c>
      <c r="F516" s="13" t="s">
        <v>414</v>
      </c>
      <c r="G516" s="13" t="s">
        <v>494</v>
      </c>
      <c r="H516" s="13" t="s">
        <v>430</v>
      </c>
      <c r="I516" s="13" t="str">
        <f t="shared" ref="I516:I579" si="8">VLOOKUP(H516,$R$5:$S$32,2,FALSE)</f>
        <v>Electronic accessories</v>
      </c>
      <c r="J516" s="13">
        <v>87.87</v>
      </c>
      <c r="K516" s="13">
        <v>92.263499999999993</v>
      </c>
      <c r="L516" s="13">
        <v>9</v>
      </c>
      <c r="M516" s="13" t="s">
        <v>417</v>
      </c>
      <c r="N516" s="13">
        <v>5.6</v>
      </c>
      <c r="O516" s="13">
        <f>(CATEGORIZATION!$K516-CATEGORIZATION!$J516)</f>
        <v>4.3934999999999889</v>
      </c>
    </row>
    <row r="517" spans="2:15" ht="15.75">
      <c r="B517" s="13" t="s">
        <v>962</v>
      </c>
      <c r="C517" s="76">
        <v>43515</v>
      </c>
      <c r="D517" s="13" t="s">
        <v>419</v>
      </c>
      <c r="E517" s="13" t="s">
        <v>131</v>
      </c>
      <c r="F517" s="13" t="s">
        <v>420</v>
      </c>
      <c r="G517" s="13" t="s">
        <v>494</v>
      </c>
      <c r="H517" s="13" t="s">
        <v>442</v>
      </c>
      <c r="I517" s="13" t="str">
        <f t="shared" si="8"/>
        <v>Health and beauty</v>
      </c>
      <c r="J517" s="13">
        <v>21.8</v>
      </c>
      <c r="K517" s="13">
        <v>22.89</v>
      </c>
      <c r="L517" s="13">
        <v>8</v>
      </c>
      <c r="M517" s="13" t="s">
        <v>422</v>
      </c>
      <c r="N517" s="13">
        <v>8.3000000000000007</v>
      </c>
      <c r="O517" s="13">
        <f>(CATEGORIZATION!$K517-CATEGORIZATION!$J517)</f>
        <v>1.0899999999999999</v>
      </c>
    </row>
    <row r="518" spans="2:15" ht="15.75">
      <c r="B518" s="13" t="s">
        <v>963</v>
      </c>
      <c r="C518" s="76">
        <v>43771</v>
      </c>
      <c r="D518" s="13" t="s">
        <v>175</v>
      </c>
      <c r="E518" s="13" t="s">
        <v>134</v>
      </c>
      <c r="F518" s="13" t="s">
        <v>420</v>
      </c>
      <c r="G518" s="13" t="s">
        <v>415</v>
      </c>
      <c r="H518" s="13" t="s">
        <v>471</v>
      </c>
      <c r="I518" s="13" t="str">
        <f t="shared" si="8"/>
        <v>Sports</v>
      </c>
      <c r="J518" s="13">
        <v>94.76</v>
      </c>
      <c r="K518" s="13">
        <v>99.498000000000005</v>
      </c>
      <c r="L518" s="13">
        <v>4</v>
      </c>
      <c r="M518" s="13" t="s">
        <v>417</v>
      </c>
      <c r="N518" s="13">
        <v>7.8</v>
      </c>
      <c r="O518" s="13">
        <f>(CATEGORIZATION!$K518-CATEGORIZATION!$J518)</f>
        <v>4.7379999999999995</v>
      </c>
    </row>
    <row r="519" spans="2:15" ht="15.75">
      <c r="B519" s="13" t="s">
        <v>964</v>
      </c>
      <c r="C519" s="76">
        <v>43520</v>
      </c>
      <c r="D519" s="13" t="s">
        <v>419</v>
      </c>
      <c r="E519" s="13" t="s">
        <v>131</v>
      </c>
      <c r="F519" s="13" t="s">
        <v>414</v>
      </c>
      <c r="G519" s="13" t="s">
        <v>415</v>
      </c>
      <c r="H519" s="13" t="s">
        <v>442</v>
      </c>
      <c r="I519" s="13" t="str">
        <f t="shared" si="8"/>
        <v>Health and beauty</v>
      </c>
      <c r="J519" s="13">
        <v>10.16</v>
      </c>
      <c r="K519" s="13">
        <v>10.668000000000001</v>
      </c>
      <c r="L519" s="13">
        <v>5</v>
      </c>
      <c r="M519" s="13" t="s">
        <v>417</v>
      </c>
      <c r="N519" s="13">
        <v>4.0999999999999996</v>
      </c>
      <c r="O519" s="13">
        <f>(CATEGORIZATION!$K519-CATEGORIZATION!$J519)</f>
        <v>0.5080000000000009</v>
      </c>
    </row>
    <row r="520" spans="2:15" ht="15.75">
      <c r="B520" s="13" t="s">
        <v>965</v>
      </c>
      <c r="C520" s="76">
        <v>43557</v>
      </c>
      <c r="D520" s="13" t="s">
        <v>175</v>
      </c>
      <c r="E520" s="13" t="s">
        <v>134</v>
      </c>
      <c r="F520" s="13" t="s">
        <v>420</v>
      </c>
      <c r="G520" s="13" t="s">
        <v>494</v>
      </c>
      <c r="H520" s="13" t="s">
        <v>499</v>
      </c>
      <c r="I520" s="13" t="str">
        <f t="shared" si="8"/>
        <v>Electronic accessories</v>
      </c>
      <c r="J520" s="13">
        <v>74.58</v>
      </c>
      <c r="K520" s="13">
        <v>78.308999999999997</v>
      </c>
      <c r="L520" s="13">
        <v>7</v>
      </c>
      <c r="M520" s="13" t="s">
        <v>433</v>
      </c>
      <c r="N520" s="13">
        <v>9</v>
      </c>
      <c r="O520" s="13">
        <f>(CATEGORIZATION!$K520-CATEGORIZATION!$J520)</f>
        <v>3.7289999999999992</v>
      </c>
    </row>
    <row r="521" spans="2:15" ht="15.75">
      <c r="B521" s="13" t="s">
        <v>966</v>
      </c>
      <c r="C521" s="76">
        <v>43515</v>
      </c>
      <c r="D521" s="13" t="s">
        <v>419</v>
      </c>
      <c r="E521" s="13" t="s">
        <v>131</v>
      </c>
      <c r="F521" s="13" t="s">
        <v>420</v>
      </c>
      <c r="G521" s="13" t="s">
        <v>494</v>
      </c>
      <c r="H521" s="13" t="s">
        <v>499</v>
      </c>
      <c r="I521" s="13" t="str">
        <f t="shared" si="8"/>
        <v>Electronic accessories</v>
      </c>
      <c r="J521" s="13">
        <v>71.89</v>
      </c>
      <c r="K521" s="13">
        <v>75.484499999999997</v>
      </c>
      <c r="L521" s="13">
        <v>8</v>
      </c>
      <c r="M521" s="13" t="s">
        <v>417</v>
      </c>
      <c r="N521" s="13">
        <v>5.5</v>
      </c>
      <c r="O521" s="13">
        <f>(CATEGORIZATION!$K521-CATEGORIZATION!$J521)</f>
        <v>3.5944999999999965</v>
      </c>
    </row>
    <row r="522" spans="2:15" ht="15.75">
      <c r="B522" s="13" t="s">
        <v>967</v>
      </c>
      <c r="C522" s="76">
        <v>43488</v>
      </c>
      <c r="D522" s="13" t="s">
        <v>419</v>
      </c>
      <c r="E522" s="13" t="s">
        <v>131</v>
      </c>
      <c r="F522" s="13" t="s">
        <v>420</v>
      </c>
      <c r="G522" s="13" t="s">
        <v>415</v>
      </c>
      <c r="H522" s="13" t="s">
        <v>465</v>
      </c>
      <c r="I522" s="13" t="str">
        <f t="shared" si="8"/>
        <v>Health and beauty</v>
      </c>
      <c r="J522" s="13">
        <v>10.99</v>
      </c>
      <c r="K522" s="13">
        <v>11.5395</v>
      </c>
      <c r="L522" s="13">
        <v>5</v>
      </c>
      <c r="M522" s="13" t="s">
        <v>433</v>
      </c>
      <c r="N522" s="13">
        <v>9.3000000000000007</v>
      </c>
      <c r="O522" s="13">
        <f>(CATEGORIZATION!$K522-CATEGORIZATION!$J522)</f>
        <v>0.5495000000000001</v>
      </c>
    </row>
    <row r="523" spans="2:15" ht="15.75">
      <c r="B523" s="13" t="s">
        <v>968</v>
      </c>
      <c r="C523" s="76">
        <v>43479</v>
      </c>
      <c r="D523" s="13" t="s">
        <v>419</v>
      </c>
      <c r="E523" s="13" t="s">
        <v>131</v>
      </c>
      <c r="F523" s="13" t="s">
        <v>414</v>
      </c>
      <c r="G523" s="13" t="s">
        <v>494</v>
      </c>
      <c r="H523" s="13" t="s">
        <v>446</v>
      </c>
      <c r="I523" s="13" t="str">
        <f t="shared" si="8"/>
        <v>Health and beauty</v>
      </c>
      <c r="J523" s="13">
        <v>60.47</v>
      </c>
      <c r="K523" s="13">
        <v>63.493500000000004</v>
      </c>
      <c r="L523" s="13">
        <v>3</v>
      </c>
      <c r="M523" s="13" t="s">
        <v>433</v>
      </c>
      <c r="N523" s="13">
        <v>5.6</v>
      </c>
      <c r="O523" s="13">
        <f>(CATEGORIZATION!$K523-CATEGORIZATION!$J523)</f>
        <v>3.0235000000000056</v>
      </c>
    </row>
    <row r="524" spans="2:15" ht="15.75">
      <c r="B524" s="13" t="s">
        <v>969</v>
      </c>
      <c r="C524" s="76">
        <v>43482</v>
      </c>
      <c r="D524" s="13" t="s">
        <v>175</v>
      </c>
      <c r="E524" s="13" t="s">
        <v>134</v>
      </c>
      <c r="F524" s="13" t="s">
        <v>420</v>
      </c>
      <c r="G524" s="13" t="s">
        <v>494</v>
      </c>
      <c r="H524" s="13" t="s">
        <v>471</v>
      </c>
      <c r="I524" s="13" t="str">
        <f t="shared" si="8"/>
        <v>Sports</v>
      </c>
      <c r="J524" s="13">
        <v>58.91</v>
      </c>
      <c r="K524" s="13">
        <v>61.855499999999999</v>
      </c>
      <c r="L524" s="13">
        <v>7</v>
      </c>
      <c r="M524" s="13" t="s">
        <v>417</v>
      </c>
      <c r="N524" s="13">
        <v>9.6999999999999993</v>
      </c>
      <c r="O524" s="13">
        <f>(CATEGORIZATION!$K524-CATEGORIZATION!$J524)</f>
        <v>2.9455000000000027</v>
      </c>
    </row>
    <row r="525" spans="2:15" ht="15.75">
      <c r="B525" s="13" t="s">
        <v>970</v>
      </c>
      <c r="C525" s="76">
        <v>43511</v>
      </c>
      <c r="D525" s="13" t="s">
        <v>419</v>
      </c>
      <c r="E525" s="13" t="s">
        <v>131</v>
      </c>
      <c r="F525" s="13" t="s">
        <v>414</v>
      </c>
      <c r="G525" s="13" t="s">
        <v>494</v>
      </c>
      <c r="H525" s="13" t="s">
        <v>465</v>
      </c>
      <c r="I525" s="13" t="str">
        <f t="shared" si="8"/>
        <v>Health and beauty</v>
      </c>
      <c r="J525" s="13">
        <v>68.55</v>
      </c>
      <c r="K525" s="13">
        <v>71.977500000000006</v>
      </c>
      <c r="L525" s="13">
        <v>4</v>
      </c>
      <c r="M525" s="13" t="s">
        <v>433</v>
      </c>
      <c r="N525" s="13">
        <v>9.1999999999999993</v>
      </c>
      <c r="O525" s="13">
        <f>(CATEGORIZATION!$K525-CATEGORIZATION!$J525)</f>
        <v>3.4275000000000091</v>
      </c>
    </row>
    <row r="526" spans="2:15" ht="15.75">
      <c r="B526" s="13" t="s">
        <v>971</v>
      </c>
      <c r="C526" s="76">
        <v>43523</v>
      </c>
      <c r="D526" s="13" t="s">
        <v>175</v>
      </c>
      <c r="E526" s="13" t="s">
        <v>134</v>
      </c>
      <c r="F526" s="13" t="s">
        <v>414</v>
      </c>
      <c r="G526" s="13" t="s">
        <v>494</v>
      </c>
      <c r="H526" s="13" t="s">
        <v>499</v>
      </c>
      <c r="I526" s="13" t="str">
        <f t="shared" si="8"/>
        <v>Electronic accessories</v>
      </c>
      <c r="J526" s="13">
        <v>92.6</v>
      </c>
      <c r="K526" s="13">
        <v>97.23</v>
      </c>
      <c r="L526" s="13">
        <v>7</v>
      </c>
      <c r="M526" s="13" t="s">
        <v>433</v>
      </c>
      <c r="N526" s="13">
        <v>9.3000000000000007</v>
      </c>
      <c r="O526" s="13">
        <f>(CATEGORIZATION!$K526-CATEGORIZATION!$J526)</f>
        <v>4.6300000000000097</v>
      </c>
    </row>
    <row r="527" spans="2:15" ht="15.75">
      <c r="B527" s="13" t="s">
        <v>972</v>
      </c>
      <c r="C527" s="76">
        <v>43522</v>
      </c>
      <c r="D527" s="13" t="s">
        <v>175</v>
      </c>
      <c r="E527" s="13" t="s">
        <v>134</v>
      </c>
      <c r="F527" s="13" t="s">
        <v>420</v>
      </c>
      <c r="G527" s="13" t="s">
        <v>415</v>
      </c>
      <c r="H527" s="13" t="s">
        <v>499</v>
      </c>
      <c r="I527" s="13" t="str">
        <f t="shared" si="8"/>
        <v>Electronic accessories</v>
      </c>
      <c r="J527" s="13">
        <v>46.61</v>
      </c>
      <c r="K527" s="13">
        <v>48.9405</v>
      </c>
      <c r="L527" s="13">
        <v>2</v>
      </c>
      <c r="M527" s="13" t="s">
        <v>433</v>
      </c>
      <c r="N527" s="13">
        <v>6.6</v>
      </c>
      <c r="O527" s="13">
        <f>(CATEGORIZATION!$K527-CATEGORIZATION!$J527)</f>
        <v>2.3305000000000007</v>
      </c>
    </row>
    <row r="528" spans="2:15" ht="15.75">
      <c r="B528" s="13" t="s">
        <v>973</v>
      </c>
      <c r="C528" s="76">
        <v>43518</v>
      </c>
      <c r="D528" s="13" t="s">
        <v>175</v>
      </c>
      <c r="E528" s="13" t="s">
        <v>134</v>
      </c>
      <c r="F528" s="13" t="s">
        <v>414</v>
      </c>
      <c r="G528" s="13" t="s">
        <v>415</v>
      </c>
      <c r="H528" s="13" t="s">
        <v>471</v>
      </c>
      <c r="I528" s="13" t="str">
        <f t="shared" si="8"/>
        <v>Sports</v>
      </c>
      <c r="J528" s="13">
        <v>24.49</v>
      </c>
      <c r="K528" s="13">
        <v>25.714499999999997</v>
      </c>
      <c r="L528" s="13">
        <v>10</v>
      </c>
      <c r="M528" s="13" t="s">
        <v>422</v>
      </c>
      <c r="N528" s="13">
        <v>8.1</v>
      </c>
      <c r="O528" s="13">
        <f>(CATEGORIZATION!$K528-CATEGORIZATION!$J528)</f>
        <v>1.224499999999999</v>
      </c>
    </row>
    <row r="529" spans="2:15" ht="15.75">
      <c r="B529" s="13" t="s">
        <v>974</v>
      </c>
      <c r="C529" s="76">
        <v>43539</v>
      </c>
      <c r="D529" s="13" t="s">
        <v>266</v>
      </c>
      <c r="E529" s="13" t="s">
        <v>135</v>
      </c>
      <c r="F529" s="13" t="s">
        <v>420</v>
      </c>
      <c r="G529" s="13" t="s">
        <v>494</v>
      </c>
      <c r="H529" s="13" t="s">
        <v>446</v>
      </c>
      <c r="I529" s="13" t="str">
        <f t="shared" si="8"/>
        <v>Health and beauty</v>
      </c>
      <c r="J529" s="13">
        <v>92.78</v>
      </c>
      <c r="K529" s="13">
        <v>97.418999999999997</v>
      </c>
      <c r="L529" s="13">
        <v>1</v>
      </c>
      <c r="M529" s="13" t="s">
        <v>433</v>
      </c>
      <c r="N529" s="13">
        <v>9.8000000000000007</v>
      </c>
      <c r="O529" s="13">
        <f>(CATEGORIZATION!$K529-CATEGORIZATION!$J529)</f>
        <v>4.6389999999999958</v>
      </c>
    </row>
    <row r="530" spans="2:15" ht="15.75">
      <c r="B530" s="13" t="s">
        <v>975</v>
      </c>
      <c r="C530" s="76">
        <v>43800</v>
      </c>
      <c r="D530" s="13" t="s">
        <v>266</v>
      </c>
      <c r="E530" s="13" t="s">
        <v>135</v>
      </c>
      <c r="F530" s="13" t="s">
        <v>420</v>
      </c>
      <c r="G530" s="13" t="s">
        <v>494</v>
      </c>
      <c r="H530" s="13" t="s">
        <v>471</v>
      </c>
      <c r="I530" s="13" t="str">
        <f t="shared" si="8"/>
        <v>Sports</v>
      </c>
      <c r="J530" s="13">
        <v>23.01</v>
      </c>
      <c r="K530" s="13">
        <v>24.160499999999999</v>
      </c>
      <c r="L530" s="13">
        <v>6</v>
      </c>
      <c r="M530" s="13" t="s">
        <v>417</v>
      </c>
      <c r="N530" s="13">
        <v>7.9</v>
      </c>
      <c r="O530" s="13">
        <f>(CATEGORIZATION!$K530-CATEGORIZATION!$J530)</f>
        <v>1.1504999999999974</v>
      </c>
    </row>
    <row r="531" spans="2:15" ht="15.75">
      <c r="B531" s="13" t="s">
        <v>976</v>
      </c>
      <c r="C531" s="76">
        <v>43527</v>
      </c>
      <c r="D531" s="13" t="s">
        <v>419</v>
      </c>
      <c r="E531" s="13" t="s">
        <v>131</v>
      </c>
      <c r="F531" s="13" t="s">
        <v>414</v>
      </c>
      <c r="G531" s="13" t="s">
        <v>415</v>
      </c>
      <c r="H531" s="13" t="s">
        <v>499</v>
      </c>
      <c r="I531" s="13" t="str">
        <f t="shared" si="8"/>
        <v>Electronic accessories</v>
      </c>
      <c r="J531" s="13">
        <v>30.2</v>
      </c>
      <c r="K531" s="13">
        <v>31.71</v>
      </c>
      <c r="L531" s="13">
        <v>8</v>
      </c>
      <c r="M531" s="13" t="s">
        <v>417</v>
      </c>
      <c r="N531" s="13">
        <v>5.0999999999999996</v>
      </c>
      <c r="O531" s="13">
        <f>(CATEGORIZATION!$K531-CATEGORIZATION!$J531)</f>
        <v>1.5100000000000016</v>
      </c>
    </row>
    <row r="532" spans="2:15" ht="15.75">
      <c r="B532" s="13" t="s">
        <v>977</v>
      </c>
      <c r="C532" s="76">
        <v>43519</v>
      </c>
      <c r="D532" s="13" t="s">
        <v>266</v>
      </c>
      <c r="E532" s="13" t="s">
        <v>135</v>
      </c>
      <c r="F532" s="13" t="s">
        <v>414</v>
      </c>
      <c r="G532" s="13" t="s">
        <v>415</v>
      </c>
      <c r="H532" s="13" t="s">
        <v>430</v>
      </c>
      <c r="I532" s="13" t="str">
        <f t="shared" si="8"/>
        <v>Electronic accessories</v>
      </c>
      <c r="J532" s="13">
        <v>75.59</v>
      </c>
      <c r="K532" s="13">
        <v>79.369500000000002</v>
      </c>
      <c r="L532" s="13">
        <v>9</v>
      </c>
      <c r="M532" s="13" t="s">
        <v>422</v>
      </c>
      <c r="N532" s="13">
        <v>8</v>
      </c>
      <c r="O532" s="13">
        <f>(CATEGORIZATION!$K532-CATEGORIZATION!$J532)</f>
        <v>3.7794999999999987</v>
      </c>
    </row>
    <row r="533" spans="2:15" ht="15.75">
      <c r="B533" s="13" t="s">
        <v>978</v>
      </c>
      <c r="C533" s="76">
        <v>43481</v>
      </c>
      <c r="D533" s="13" t="s">
        <v>175</v>
      </c>
      <c r="E533" s="13" t="s">
        <v>134</v>
      </c>
      <c r="F533" s="13" t="s">
        <v>420</v>
      </c>
      <c r="G533" s="13" t="s">
        <v>415</v>
      </c>
      <c r="H533" s="13" t="s">
        <v>471</v>
      </c>
      <c r="I533" s="13" t="str">
        <f t="shared" si="8"/>
        <v>Sports</v>
      </c>
      <c r="J533" s="13">
        <v>93.18</v>
      </c>
      <c r="K533" s="13">
        <v>97.838999999999999</v>
      </c>
      <c r="L533" s="13">
        <v>2</v>
      </c>
      <c r="M533" s="13" t="s">
        <v>433</v>
      </c>
      <c r="N533" s="13">
        <v>8.5</v>
      </c>
      <c r="O533" s="13">
        <f>(CATEGORIZATION!$K533-CATEGORIZATION!$J533)</f>
        <v>4.6589999999999918</v>
      </c>
    </row>
    <row r="534" spans="2:15" ht="15.75">
      <c r="B534" s="13" t="s">
        <v>979</v>
      </c>
      <c r="C534" s="76">
        <v>43678</v>
      </c>
      <c r="D534" s="13" t="s">
        <v>175</v>
      </c>
      <c r="E534" s="13" t="s">
        <v>134</v>
      </c>
      <c r="F534" s="13" t="s">
        <v>420</v>
      </c>
      <c r="G534" s="13" t="s">
        <v>415</v>
      </c>
      <c r="H534" s="13" t="s">
        <v>421</v>
      </c>
      <c r="I534" s="13" t="str">
        <f t="shared" si="8"/>
        <v>Electronic accessories</v>
      </c>
      <c r="J534" s="13">
        <v>50.23</v>
      </c>
      <c r="K534" s="13">
        <v>52.741500000000002</v>
      </c>
      <c r="L534" s="13">
        <v>4</v>
      </c>
      <c r="M534" s="13" t="s">
        <v>422</v>
      </c>
      <c r="N534" s="13">
        <v>9</v>
      </c>
      <c r="O534" s="13">
        <f>(CATEGORIZATION!$K534-CATEGORIZATION!$J534)</f>
        <v>2.5115000000000052</v>
      </c>
    </row>
    <row r="535" spans="2:15" ht="15.75">
      <c r="B535" s="13" t="s">
        <v>980</v>
      </c>
      <c r="C535" s="76">
        <v>43479</v>
      </c>
      <c r="D535" s="13" t="s">
        <v>266</v>
      </c>
      <c r="E535" s="13" t="s">
        <v>135</v>
      </c>
      <c r="F535" s="13" t="s">
        <v>420</v>
      </c>
      <c r="G535" s="13" t="s">
        <v>415</v>
      </c>
      <c r="H535" s="13" t="s">
        <v>424</v>
      </c>
      <c r="I535" s="13" t="str">
        <f t="shared" si="8"/>
        <v>Health and beauty</v>
      </c>
      <c r="J535" s="13">
        <v>17.75</v>
      </c>
      <c r="K535" s="13">
        <v>18.637499999999999</v>
      </c>
      <c r="L535" s="13">
        <v>1</v>
      </c>
      <c r="M535" s="13" t="s">
        <v>422</v>
      </c>
      <c r="N535" s="13">
        <v>8.6</v>
      </c>
      <c r="O535" s="13">
        <f>(CATEGORIZATION!$K535-CATEGORIZATION!$J535)</f>
        <v>0.88749999999999929</v>
      </c>
    </row>
    <row r="536" spans="2:15" ht="15.75">
      <c r="B536" s="13" t="s">
        <v>981</v>
      </c>
      <c r="C536" s="76">
        <v>43539</v>
      </c>
      <c r="D536" s="13" t="s">
        <v>266</v>
      </c>
      <c r="E536" s="13" t="s">
        <v>135</v>
      </c>
      <c r="F536" s="13" t="s">
        <v>420</v>
      </c>
      <c r="G536" s="13" t="s">
        <v>494</v>
      </c>
      <c r="H536" s="13" t="s">
        <v>465</v>
      </c>
      <c r="I536" s="13" t="str">
        <f t="shared" si="8"/>
        <v>Health and beauty</v>
      </c>
      <c r="J536" s="13">
        <v>10.75</v>
      </c>
      <c r="K536" s="13">
        <v>11.2875</v>
      </c>
      <c r="L536" s="13">
        <v>8</v>
      </c>
      <c r="M536" s="13" t="s">
        <v>417</v>
      </c>
      <c r="N536" s="13">
        <v>6.2</v>
      </c>
      <c r="O536" s="13">
        <f>(CATEGORIZATION!$K536-CATEGORIZATION!$J536)</f>
        <v>0.53749999999999964</v>
      </c>
    </row>
    <row r="537" spans="2:15" ht="15.75">
      <c r="B537" s="13" t="s">
        <v>982</v>
      </c>
      <c r="C537" s="76">
        <v>43520</v>
      </c>
      <c r="D537" s="13" t="s">
        <v>175</v>
      </c>
      <c r="E537" s="13" t="s">
        <v>134</v>
      </c>
      <c r="F537" s="13" t="s">
        <v>420</v>
      </c>
      <c r="G537" s="13" t="s">
        <v>415</v>
      </c>
      <c r="H537" s="13" t="s">
        <v>421</v>
      </c>
      <c r="I537" s="13" t="str">
        <f t="shared" si="8"/>
        <v>Electronic accessories</v>
      </c>
      <c r="J537" s="13">
        <v>40.26</v>
      </c>
      <c r="K537" s="13">
        <v>42.273000000000003</v>
      </c>
      <c r="L537" s="13">
        <v>10</v>
      </c>
      <c r="M537" s="13" t="s">
        <v>433</v>
      </c>
      <c r="N537" s="13">
        <v>5</v>
      </c>
      <c r="O537" s="13">
        <f>(CATEGORIZATION!$K537-CATEGORIZATION!$J537)</f>
        <v>2.0130000000000052</v>
      </c>
    </row>
    <row r="538" spans="2:15" ht="15.75">
      <c r="B538" s="13" t="s">
        <v>983</v>
      </c>
      <c r="C538" s="76">
        <v>43679</v>
      </c>
      <c r="D538" s="13" t="s">
        <v>419</v>
      </c>
      <c r="E538" s="13" t="s">
        <v>131</v>
      </c>
      <c r="F538" s="13" t="s">
        <v>414</v>
      </c>
      <c r="G538" s="13" t="s">
        <v>415</v>
      </c>
      <c r="H538" s="13" t="s">
        <v>471</v>
      </c>
      <c r="I538" s="13" t="str">
        <f t="shared" si="8"/>
        <v>Sports</v>
      </c>
      <c r="J538" s="13">
        <v>64.97</v>
      </c>
      <c r="K538" s="13">
        <v>68.218499999999992</v>
      </c>
      <c r="L538" s="13">
        <v>5</v>
      </c>
      <c r="M538" s="13" t="s">
        <v>433</v>
      </c>
      <c r="N538" s="13">
        <v>6.5</v>
      </c>
      <c r="O538" s="13">
        <f>(CATEGORIZATION!$K538-CATEGORIZATION!$J538)</f>
        <v>3.2484999999999928</v>
      </c>
    </row>
    <row r="539" spans="2:15" ht="15.75">
      <c r="B539" s="13" t="s">
        <v>984</v>
      </c>
      <c r="C539" s="76">
        <v>43546</v>
      </c>
      <c r="D539" s="13" t="s">
        <v>175</v>
      </c>
      <c r="E539" s="13" t="s">
        <v>134</v>
      </c>
      <c r="F539" s="13" t="s">
        <v>420</v>
      </c>
      <c r="G539" s="13" t="s">
        <v>494</v>
      </c>
      <c r="H539" s="13" t="s">
        <v>421</v>
      </c>
      <c r="I539" s="13" t="str">
        <f t="shared" si="8"/>
        <v>Electronic accessories</v>
      </c>
      <c r="J539" s="13">
        <v>95.15</v>
      </c>
      <c r="K539" s="13">
        <v>99.907499999999999</v>
      </c>
      <c r="L539" s="13">
        <v>1</v>
      </c>
      <c r="M539" s="13" t="s">
        <v>422</v>
      </c>
      <c r="N539" s="13">
        <v>6</v>
      </c>
      <c r="O539" s="13">
        <f>(CATEGORIZATION!$K539-CATEGORIZATION!$J539)</f>
        <v>4.7574999999999932</v>
      </c>
    </row>
    <row r="540" spans="2:15" ht="15.75">
      <c r="B540" s="13" t="s">
        <v>985</v>
      </c>
      <c r="C540" s="76">
        <v>43489</v>
      </c>
      <c r="D540" s="13" t="s">
        <v>175</v>
      </c>
      <c r="E540" s="13" t="s">
        <v>134</v>
      </c>
      <c r="F540" s="13" t="s">
        <v>414</v>
      </c>
      <c r="G540" s="13" t="s">
        <v>415</v>
      </c>
      <c r="H540" s="13" t="s">
        <v>421</v>
      </c>
      <c r="I540" s="13" t="str">
        <f t="shared" si="8"/>
        <v>Electronic accessories</v>
      </c>
      <c r="J540" s="13">
        <v>48.62</v>
      </c>
      <c r="K540" s="13">
        <v>51.051000000000002</v>
      </c>
      <c r="L540" s="13">
        <v>8</v>
      </c>
      <c r="M540" s="13" t="s">
        <v>422</v>
      </c>
      <c r="N540" s="13">
        <v>5</v>
      </c>
      <c r="O540" s="13">
        <f>(CATEGORIZATION!$K540-CATEGORIZATION!$J540)</f>
        <v>2.4310000000000045</v>
      </c>
    </row>
    <row r="541" spans="2:15" ht="15.75">
      <c r="B541" s="13" t="s">
        <v>986</v>
      </c>
      <c r="C541" s="76">
        <v>43538</v>
      </c>
      <c r="D541" s="13" t="s">
        <v>266</v>
      </c>
      <c r="E541" s="13" t="s">
        <v>135</v>
      </c>
      <c r="F541" s="13" t="s">
        <v>420</v>
      </c>
      <c r="G541" s="13" t="s">
        <v>415</v>
      </c>
      <c r="H541" s="13" t="s">
        <v>476</v>
      </c>
      <c r="I541" s="13" t="str">
        <f t="shared" si="8"/>
        <v>Food and beverages</v>
      </c>
      <c r="J541" s="13">
        <v>53.21</v>
      </c>
      <c r="K541" s="13">
        <v>55.8705</v>
      </c>
      <c r="L541" s="13">
        <v>8</v>
      </c>
      <c r="M541" s="13" t="s">
        <v>417</v>
      </c>
      <c r="N541" s="13">
        <v>5</v>
      </c>
      <c r="O541" s="13">
        <f>(CATEGORIZATION!$K541-CATEGORIZATION!$J541)</f>
        <v>2.660499999999999</v>
      </c>
    </row>
    <row r="542" spans="2:15" ht="15.75">
      <c r="B542" s="13" t="s">
        <v>987</v>
      </c>
      <c r="C542" s="76">
        <v>43484</v>
      </c>
      <c r="D542" s="13" t="s">
        <v>175</v>
      </c>
      <c r="E542" s="13" t="s">
        <v>134</v>
      </c>
      <c r="F542" s="13" t="s">
        <v>420</v>
      </c>
      <c r="G542" s="13" t="s">
        <v>494</v>
      </c>
      <c r="H542" s="13" t="s">
        <v>476</v>
      </c>
      <c r="I542" s="13" t="str">
        <f t="shared" si="8"/>
        <v>Food and beverages</v>
      </c>
      <c r="J542" s="13">
        <v>33.880000000000003</v>
      </c>
      <c r="K542" s="13">
        <v>35.573999999999998</v>
      </c>
      <c r="L542" s="13">
        <v>8</v>
      </c>
      <c r="M542" s="13" t="s">
        <v>417</v>
      </c>
      <c r="N542" s="13">
        <v>9.6</v>
      </c>
      <c r="O542" s="13">
        <f>(CATEGORIZATION!$K542-CATEGORIZATION!$J542)</f>
        <v>1.6939999999999955</v>
      </c>
    </row>
    <row r="543" spans="2:15" ht="15.75">
      <c r="B543" s="13" t="s">
        <v>988</v>
      </c>
      <c r="C543" s="76">
        <v>43492</v>
      </c>
      <c r="D543" s="13" t="s">
        <v>266</v>
      </c>
      <c r="E543" s="13" t="s">
        <v>135</v>
      </c>
      <c r="F543" s="13" t="s">
        <v>414</v>
      </c>
      <c r="G543" s="13" t="s">
        <v>494</v>
      </c>
      <c r="H543" s="13" t="s">
        <v>465</v>
      </c>
      <c r="I543" s="13" t="str">
        <f t="shared" si="8"/>
        <v>Health and beauty</v>
      </c>
      <c r="J543" s="13">
        <v>96.16</v>
      </c>
      <c r="K543" s="13">
        <v>100.968</v>
      </c>
      <c r="L543" s="13">
        <v>4</v>
      </c>
      <c r="M543" s="13" t="s">
        <v>433</v>
      </c>
      <c r="N543" s="13">
        <v>8.4</v>
      </c>
      <c r="O543" s="13">
        <f>(CATEGORIZATION!$K543-CATEGORIZATION!$J543)</f>
        <v>4.8080000000000069</v>
      </c>
    </row>
    <row r="544" spans="2:15" ht="15.75">
      <c r="B544" s="13" t="s">
        <v>989</v>
      </c>
      <c r="C544" s="76">
        <v>43526</v>
      </c>
      <c r="D544" s="13" t="s">
        <v>266</v>
      </c>
      <c r="E544" s="13" t="s">
        <v>135</v>
      </c>
      <c r="F544" s="13" t="s">
        <v>414</v>
      </c>
      <c r="G544" s="13" t="s">
        <v>494</v>
      </c>
      <c r="H544" s="13" t="s">
        <v>476</v>
      </c>
      <c r="I544" s="13" t="str">
        <f t="shared" si="8"/>
        <v>Food and beverages</v>
      </c>
      <c r="J544" s="13">
        <v>47.16</v>
      </c>
      <c r="K544" s="13">
        <v>49.518000000000001</v>
      </c>
      <c r="L544" s="13">
        <v>5</v>
      </c>
      <c r="M544" s="13" t="s">
        <v>433</v>
      </c>
      <c r="N544" s="13">
        <v>6</v>
      </c>
      <c r="O544" s="13">
        <f>(CATEGORIZATION!$K544-CATEGORIZATION!$J544)</f>
        <v>2.3580000000000041</v>
      </c>
    </row>
    <row r="545" spans="2:15" ht="15.75">
      <c r="B545" s="13" t="s">
        <v>990</v>
      </c>
      <c r="C545" s="76">
        <v>43549</v>
      </c>
      <c r="D545" s="13" t="s">
        <v>266</v>
      </c>
      <c r="E545" s="13" t="s">
        <v>135</v>
      </c>
      <c r="F545" s="13" t="s">
        <v>420</v>
      </c>
      <c r="G545" s="13" t="s">
        <v>494</v>
      </c>
      <c r="H545" s="13" t="s">
        <v>421</v>
      </c>
      <c r="I545" s="13" t="str">
        <f t="shared" si="8"/>
        <v>Electronic accessories</v>
      </c>
      <c r="J545" s="13">
        <v>52.89</v>
      </c>
      <c r="K545" s="13">
        <v>55.534500000000001</v>
      </c>
      <c r="L545" s="13">
        <v>4</v>
      </c>
      <c r="M545" s="13" t="s">
        <v>417</v>
      </c>
      <c r="N545" s="13">
        <v>6.7</v>
      </c>
      <c r="O545" s="13">
        <f>(CATEGORIZATION!$K545-CATEGORIZATION!$J545)</f>
        <v>2.6445000000000007</v>
      </c>
    </row>
    <row r="546" spans="2:15" ht="15.75">
      <c r="B546" s="13" t="s">
        <v>991</v>
      </c>
      <c r="C546" s="76">
        <v>43648</v>
      </c>
      <c r="D546" s="13" t="s">
        <v>419</v>
      </c>
      <c r="E546" s="13" t="s">
        <v>131</v>
      </c>
      <c r="F546" s="13" t="s">
        <v>414</v>
      </c>
      <c r="G546" s="13" t="s">
        <v>494</v>
      </c>
      <c r="H546" s="13" t="s">
        <v>471</v>
      </c>
      <c r="I546" s="13" t="str">
        <f t="shared" si="8"/>
        <v>Sports</v>
      </c>
      <c r="J546" s="13">
        <v>10.17</v>
      </c>
      <c r="K546" s="13">
        <v>10.6785</v>
      </c>
      <c r="L546" s="13">
        <v>1</v>
      </c>
      <c r="M546" s="13" t="s">
        <v>422</v>
      </c>
      <c r="N546" s="13">
        <v>5.9</v>
      </c>
      <c r="O546" s="13">
        <f>(CATEGORIZATION!$K546-CATEGORIZATION!$J546)</f>
        <v>0.50849999999999973</v>
      </c>
    </row>
    <row r="547" spans="2:15" ht="15.75">
      <c r="B547" s="13" t="s">
        <v>992</v>
      </c>
      <c r="C547" s="76">
        <v>43558</v>
      </c>
      <c r="D547" s="13" t="s">
        <v>175</v>
      </c>
      <c r="E547" s="13" t="s">
        <v>134</v>
      </c>
      <c r="F547" s="13" t="s">
        <v>420</v>
      </c>
      <c r="G547" s="13" t="s">
        <v>415</v>
      </c>
      <c r="H547" s="13" t="s">
        <v>446</v>
      </c>
      <c r="I547" s="13" t="str">
        <f t="shared" si="8"/>
        <v>Health and beauty</v>
      </c>
      <c r="J547" s="13">
        <v>68.709999999999994</v>
      </c>
      <c r="K547" s="13">
        <v>72.145499999999998</v>
      </c>
      <c r="L547" s="13">
        <v>3</v>
      </c>
      <c r="M547" s="13" t="s">
        <v>422</v>
      </c>
      <c r="N547" s="13">
        <v>8.6999999999999993</v>
      </c>
      <c r="O547" s="13">
        <f>(CATEGORIZATION!$K547-CATEGORIZATION!$J547)</f>
        <v>3.4355000000000047</v>
      </c>
    </row>
    <row r="548" spans="2:15" ht="15.75">
      <c r="B548" s="13" t="s">
        <v>993</v>
      </c>
      <c r="C548" s="76">
        <v>43510</v>
      </c>
      <c r="D548" s="13" t="s">
        <v>266</v>
      </c>
      <c r="E548" s="13" t="s">
        <v>135</v>
      </c>
      <c r="F548" s="13" t="s">
        <v>414</v>
      </c>
      <c r="G548" s="13" t="s">
        <v>415</v>
      </c>
      <c r="H548" s="13" t="s">
        <v>471</v>
      </c>
      <c r="I548" s="13" t="str">
        <f t="shared" si="8"/>
        <v>Sports</v>
      </c>
      <c r="J548" s="13">
        <v>60.08</v>
      </c>
      <c r="K548" s="13">
        <v>63.084000000000003</v>
      </c>
      <c r="L548" s="13">
        <v>7</v>
      </c>
      <c r="M548" s="13" t="s">
        <v>433</v>
      </c>
      <c r="N548" s="13">
        <v>4.5</v>
      </c>
      <c r="O548" s="13">
        <f>(CATEGORIZATION!$K548-CATEGORIZATION!$J548)</f>
        <v>3.0040000000000049</v>
      </c>
    </row>
    <row r="549" spans="2:15" ht="15.75">
      <c r="B549" s="13" t="s">
        <v>994</v>
      </c>
      <c r="C549" s="76">
        <v>43494</v>
      </c>
      <c r="D549" s="13" t="s">
        <v>175</v>
      </c>
      <c r="E549" s="13" t="s">
        <v>134</v>
      </c>
      <c r="F549" s="13" t="s">
        <v>414</v>
      </c>
      <c r="G549" s="13" t="s">
        <v>415</v>
      </c>
      <c r="H549" s="13" t="s">
        <v>471</v>
      </c>
      <c r="I549" s="13" t="str">
        <f t="shared" si="8"/>
        <v>Sports</v>
      </c>
      <c r="J549" s="13">
        <v>22.01</v>
      </c>
      <c r="K549" s="13">
        <v>23.110499999999998</v>
      </c>
      <c r="L549" s="13">
        <v>4</v>
      </c>
      <c r="M549" s="13" t="s">
        <v>433</v>
      </c>
      <c r="N549" s="13">
        <v>6.6</v>
      </c>
      <c r="O549" s="13">
        <f>(CATEGORIZATION!$K549-CATEGORIZATION!$J549)</f>
        <v>1.1004999999999967</v>
      </c>
    </row>
    <row r="550" spans="2:15" ht="15.75">
      <c r="B550" s="13" t="s">
        <v>995</v>
      </c>
      <c r="C550" s="76">
        <v>43493</v>
      </c>
      <c r="D550" s="13" t="s">
        <v>266</v>
      </c>
      <c r="E550" s="13" t="s">
        <v>135</v>
      </c>
      <c r="F550" s="13" t="s">
        <v>414</v>
      </c>
      <c r="G550" s="13" t="s">
        <v>415</v>
      </c>
      <c r="H550" s="13" t="s">
        <v>424</v>
      </c>
      <c r="I550" s="13" t="str">
        <f t="shared" si="8"/>
        <v>Health and beauty</v>
      </c>
      <c r="J550" s="13">
        <v>72.11</v>
      </c>
      <c r="K550" s="13">
        <v>75.715499999999992</v>
      </c>
      <c r="L550" s="13">
        <v>9</v>
      </c>
      <c r="M550" s="13" t="s">
        <v>433</v>
      </c>
      <c r="N550" s="13">
        <v>7.7</v>
      </c>
      <c r="O550" s="13">
        <f>(CATEGORIZATION!$K550-CATEGORIZATION!$J550)</f>
        <v>3.6054999999999922</v>
      </c>
    </row>
    <row r="551" spans="2:15" ht="15.75">
      <c r="B551" s="13" t="s">
        <v>996</v>
      </c>
      <c r="C551" s="76">
        <v>43548</v>
      </c>
      <c r="D551" s="13" t="s">
        <v>419</v>
      </c>
      <c r="E551" s="13" t="s">
        <v>131</v>
      </c>
      <c r="F551" s="13" t="s">
        <v>420</v>
      </c>
      <c r="G551" s="13" t="s">
        <v>494</v>
      </c>
      <c r="H551" s="13" t="s">
        <v>430</v>
      </c>
      <c r="I551" s="13" t="str">
        <f t="shared" si="8"/>
        <v>Electronic accessories</v>
      </c>
      <c r="J551" s="13">
        <v>64.95</v>
      </c>
      <c r="K551" s="13">
        <v>68.197500000000005</v>
      </c>
      <c r="L551" s="13">
        <v>10</v>
      </c>
      <c r="M551" s="13" t="s">
        <v>422</v>
      </c>
      <c r="N551" s="13">
        <v>5.2</v>
      </c>
      <c r="O551" s="13">
        <f>(CATEGORIZATION!$K551-CATEGORIZATION!$J551)</f>
        <v>3.2475000000000023</v>
      </c>
    </row>
    <row r="552" spans="2:15" ht="15.75">
      <c r="B552" s="13" t="s">
        <v>997</v>
      </c>
      <c r="C552" s="76">
        <v>43466</v>
      </c>
      <c r="D552" s="13" t="s">
        <v>175</v>
      </c>
      <c r="E552" s="13" t="s">
        <v>134</v>
      </c>
      <c r="F552" s="13" t="s">
        <v>414</v>
      </c>
      <c r="G552" s="13" t="s">
        <v>415</v>
      </c>
      <c r="H552" s="13" t="s">
        <v>421</v>
      </c>
      <c r="I552" s="13" t="str">
        <f t="shared" si="8"/>
        <v>Electronic accessories</v>
      </c>
      <c r="J552" s="13">
        <v>74.22</v>
      </c>
      <c r="K552" s="13">
        <v>77.930999999999997</v>
      </c>
      <c r="L552" s="13">
        <v>10</v>
      </c>
      <c r="M552" s="13" t="s">
        <v>433</v>
      </c>
      <c r="N552" s="13">
        <v>4.3</v>
      </c>
      <c r="O552" s="13">
        <f>(CATEGORIZATION!$K552-CATEGORIZATION!$J552)</f>
        <v>3.7109999999999985</v>
      </c>
    </row>
    <row r="553" spans="2:15" ht="15.75">
      <c r="B553" s="13" t="s">
        <v>998</v>
      </c>
      <c r="C553" s="76">
        <v>43489</v>
      </c>
      <c r="D553" s="13" t="s">
        <v>175</v>
      </c>
      <c r="E553" s="13" t="s">
        <v>134</v>
      </c>
      <c r="F553" s="13" t="s">
        <v>420</v>
      </c>
      <c r="G553" s="13" t="s">
        <v>494</v>
      </c>
      <c r="H553" s="13" t="s">
        <v>421</v>
      </c>
      <c r="I553" s="13" t="str">
        <f t="shared" si="8"/>
        <v>Electronic accessories</v>
      </c>
      <c r="J553" s="13">
        <v>10.56</v>
      </c>
      <c r="K553" s="13">
        <v>11.087999999999999</v>
      </c>
      <c r="L553" s="13">
        <v>8</v>
      </c>
      <c r="M553" s="13" t="s">
        <v>422</v>
      </c>
      <c r="N553" s="13">
        <v>7.6</v>
      </c>
      <c r="O553" s="13">
        <f>(CATEGORIZATION!$K553-CATEGORIZATION!$J553)</f>
        <v>0.52799999999999869</v>
      </c>
    </row>
    <row r="554" spans="2:15" ht="15.75">
      <c r="B554" s="13" t="s">
        <v>999</v>
      </c>
      <c r="C554" s="76">
        <v>43521</v>
      </c>
      <c r="D554" s="13" t="s">
        <v>266</v>
      </c>
      <c r="E554" s="13" t="s">
        <v>135</v>
      </c>
      <c r="F554" s="13" t="s">
        <v>420</v>
      </c>
      <c r="G554" s="13" t="s">
        <v>494</v>
      </c>
      <c r="H554" s="13" t="s">
        <v>465</v>
      </c>
      <c r="I554" s="13" t="str">
        <f t="shared" si="8"/>
        <v>Health and beauty</v>
      </c>
      <c r="J554" s="13">
        <v>62.57</v>
      </c>
      <c r="K554" s="13">
        <v>65.698499999999996</v>
      </c>
      <c r="L554" s="13">
        <v>4</v>
      </c>
      <c r="M554" s="13" t="s">
        <v>422</v>
      </c>
      <c r="N554" s="13">
        <v>9.5</v>
      </c>
      <c r="O554" s="13">
        <f>(CATEGORIZATION!$K554-CATEGORIZATION!$J554)</f>
        <v>3.1284999999999954</v>
      </c>
    </row>
    <row r="555" spans="2:15" ht="15.75">
      <c r="B555" s="13" t="s">
        <v>1000</v>
      </c>
      <c r="C555" s="76">
        <v>43709</v>
      </c>
      <c r="D555" s="13" t="s">
        <v>266</v>
      </c>
      <c r="E555" s="13" t="s">
        <v>135</v>
      </c>
      <c r="F555" s="13" t="s">
        <v>414</v>
      </c>
      <c r="G555" s="13" t="s">
        <v>415</v>
      </c>
      <c r="H555" s="13" t="s">
        <v>471</v>
      </c>
      <c r="I555" s="13" t="str">
        <f t="shared" si="8"/>
        <v>Sports</v>
      </c>
      <c r="J555" s="13">
        <v>11.85</v>
      </c>
      <c r="K555" s="13">
        <v>12.442500000000001</v>
      </c>
      <c r="L555" s="13">
        <v>8</v>
      </c>
      <c r="M555" s="13" t="s">
        <v>422</v>
      </c>
      <c r="N555" s="13">
        <v>4.0999999999999996</v>
      </c>
      <c r="O555" s="13">
        <f>(CATEGORIZATION!$K555-CATEGORIZATION!$J555)</f>
        <v>0.59250000000000114</v>
      </c>
    </row>
    <row r="556" spans="2:15" ht="15.75">
      <c r="B556" s="13" t="s">
        <v>1001</v>
      </c>
      <c r="C556" s="76">
        <v>43510</v>
      </c>
      <c r="D556" s="13" t="s">
        <v>175</v>
      </c>
      <c r="E556" s="13" t="s">
        <v>134</v>
      </c>
      <c r="F556" s="13" t="s">
        <v>414</v>
      </c>
      <c r="G556" s="13" t="s">
        <v>494</v>
      </c>
      <c r="H556" s="13" t="s">
        <v>446</v>
      </c>
      <c r="I556" s="13" t="str">
        <f t="shared" si="8"/>
        <v>Health and beauty</v>
      </c>
      <c r="J556" s="13">
        <v>91.3</v>
      </c>
      <c r="K556" s="13">
        <v>95.864999999999995</v>
      </c>
      <c r="L556" s="13">
        <v>1</v>
      </c>
      <c r="M556" s="13" t="s">
        <v>417</v>
      </c>
      <c r="N556" s="13">
        <v>9.1999999999999993</v>
      </c>
      <c r="O556" s="13">
        <f>(CATEGORIZATION!$K556-CATEGORIZATION!$J556)</f>
        <v>4.5649999999999977</v>
      </c>
    </row>
    <row r="557" spans="2:15" ht="15.75">
      <c r="B557" s="13" t="s">
        <v>1002</v>
      </c>
      <c r="C557" s="76">
        <v>43497</v>
      </c>
      <c r="D557" s="13" t="s">
        <v>266</v>
      </c>
      <c r="E557" s="13" t="s">
        <v>135</v>
      </c>
      <c r="F557" s="13" t="s">
        <v>420</v>
      </c>
      <c r="G557" s="13" t="s">
        <v>494</v>
      </c>
      <c r="H557" s="13" t="s">
        <v>471</v>
      </c>
      <c r="I557" s="13" t="str">
        <f t="shared" si="8"/>
        <v>Sports</v>
      </c>
      <c r="J557" s="13">
        <v>44.63</v>
      </c>
      <c r="K557" s="13">
        <v>46.861499999999999</v>
      </c>
      <c r="L557" s="13">
        <v>6</v>
      </c>
      <c r="M557" s="13" t="s">
        <v>433</v>
      </c>
      <c r="N557" s="13">
        <v>5.0999999999999996</v>
      </c>
      <c r="O557" s="13">
        <f>(CATEGORIZATION!$K557-CATEGORIZATION!$J557)</f>
        <v>2.2314999999999969</v>
      </c>
    </row>
    <row r="558" spans="2:15" ht="15.75">
      <c r="B558" s="13" t="s">
        <v>1003</v>
      </c>
      <c r="C558" s="76">
        <v>43480</v>
      </c>
      <c r="D558" s="13" t="s">
        <v>419</v>
      </c>
      <c r="E558" s="13" t="s">
        <v>131</v>
      </c>
      <c r="F558" s="13" t="s">
        <v>420</v>
      </c>
      <c r="G558" s="13" t="s">
        <v>494</v>
      </c>
      <c r="H558" s="13" t="s">
        <v>421</v>
      </c>
      <c r="I558" s="13" t="str">
        <f t="shared" si="8"/>
        <v>Electronic accessories</v>
      </c>
      <c r="J558" s="13">
        <v>55.87</v>
      </c>
      <c r="K558" s="13">
        <v>58.663499999999999</v>
      </c>
      <c r="L558" s="13">
        <v>10</v>
      </c>
      <c r="M558" s="13" t="s">
        <v>422</v>
      </c>
      <c r="N558" s="13">
        <v>5.8</v>
      </c>
      <c r="O558" s="13">
        <f>(CATEGORIZATION!$K558-CATEGORIZATION!$J558)</f>
        <v>2.7935000000000016</v>
      </c>
    </row>
    <row r="559" spans="2:15" ht="15.75">
      <c r="B559" s="13" t="s">
        <v>1004</v>
      </c>
      <c r="C559" s="76">
        <v>43466</v>
      </c>
      <c r="D559" s="13" t="s">
        <v>419</v>
      </c>
      <c r="E559" s="13" t="s">
        <v>131</v>
      </c>
      <c r="F559" s="13" t="s">
        <v>414</v>
      </c>
      <c r="G559" s="13" t="s">
        <v>415</v>
      </c>
      <c r="H559" s="13" t="s">
        <v>471</v>
      </c>
      <c r="I559" s="13" t="str">
        <f t="shared" si="8"/>
        <v>Sports</v>
      </c>
      <c r="J559" s="13">
        <v>29.22</v>
      </c>
      <c r="K559" s="13">
        <v>30.681000000000001</v>
      </c>
      <c r="L559" s="13">
        <v>6</v>
      </c>
      <c r="M559" s="13" t="s">
        <v>417</v>
      </c>
      <c r="N559" s="13">
        <v>5</v>
      </c>
      <c r="O559" s="13">
        <f>(CATEGORIZATION!$K559-CATEGORIZATION!$J559)</f>
        <v>1.4610000000000021</v>
      </c>
    </row>
    <row r="560" spans="2:15" ht="15.75">
      <c r="B560" s="13" t="s">
        <v>1005</v>
      </c>
      <c r="C560" s="76">
        <v>43524</v>
      </c>
      <c r="D560" s="13" t="s">
        <v>266</v>
      </c>
      <c r="E560" s="13" t="s">
        <v>135</v>
      </c>
      <c r="F560" s="13" t="s">
        <v>420</v>
      </c>
      <c r="G560" s="13" t="s">
        <v>494</v>
      </c>
      <c r="H560" s="13" t="s">
        <v>421</v>
      </c>
      <c r="I560" s="13" t="str">
        <f t="shared" si="8"/>
        <v>Electronic accessories</v>
      </c>
      <c r="J560" s="13">
        <v>60.3</v>
      </c>
      <c r="K560" s="13">
        <v>63.314999999999998</v>
      </c>
      <c r="L560" s="13">
        <v>1</v>
      </c>
      <c r="M560" s="13" t="s">
        <v>422</v>
      </c>
      <c r="N560" s="13">
        <v>6</v>
      </c>
      <c r="O560" s="13">
        <f>(CATEGORIZATION!$K560-CATEGORIZATION!$J560)</f>
        <v>3.0150000000000006</v>
      </c>
    </row>
    <row r="561" spans="2:15" ht="15.75">
      <c r="B561" s="13" t="s">
        <v>1006</v>
      </c>
      <c r="C561" s="76">
        <v>43499</v>
      </c>
      <c r="D561" s="13" t="s">
        <v>175</v>
      </c>
      <c r="E561" s="13" t="s">
        <v>134</v>
      </c>
      <c r="F561" s="13" t="s">
        <v>414</v>
      </c>
      <c r="G561" s="13" t="s">
        <v>415</v>
      </c>
      <c r="H561" s="13" t="s">
        <v>471</v>
      </c>
      <c r="I561" s="13" t="str">
        <f t="shared" si="8"/>
        <v>Sports</v>
      </c>
      <c r="J561" s="13">
        <v>39.47</v>
      </c>
      <c r="K561" s="13">
        <v>41.4435</v>
      </c>
      <c r="L561" s="13">
        <v>2</v>
      </c>
      <c r="M561" s="13" t="s">
        <v>433</v>
      </c>
      <c r="N561" s="13">
        <v>5</v>
      </c>
      <c r="O561" s="13">
        <f>(CATEGORIZATION!$K561-CATEGORIZATION!$J561)</f>
        <v>1.9735000000000014</v>
      </c>
    </row>
    <row r="562" spans="2:15" ht="15.75">
      <c r="B562" s="13" t="s">
        <v>1007</v>
      </c>
      <c r="C562" s="76">
        <v>43509</v>
      </c>
      <c r="D562" s="13" t="s">
        <v>419</v>
      </c>
      <c r="E562" s="13" t="s">
        <v>131</v>
      </c>
      <c r="F562" s="13" t="s">
        <v>414</v>
      </c>
      <c r="G562" s="13" t="s">
        <v>415</v>
      </c>
      <c r="H562" s="13" t="s">
        <v>476</v>
      </c>
      <c r="I562" s="13" t="str">
        <f t="shared" si="8"/>
        <v>Food and beverages</v>
      </c>
      <c r="J562" s="13">
        <v>14.87</v>
      </c>
      <c r="K562" s="13">
        <v>15.6135</v>
      </c>
      <c r="L562" s="13">
        <v>2</v>
      </c>
      <c r="M562" s="13" t="s">
        <v>433</v>
      </c>
      <c r="N562" s="13">
        <v>8.9</v>
      </c>
      <c r="O562" s="13">
        <f>(CATEGORIZATION!$K562-CATEGORIZATION!$J562)</f>
        <v>0.74350000000000094</v>
      </c>
    </row>
    <row r="563" spans="2:15" ht="15.75">
      <c r="B563" s="13" t="s">
        <v>1008</v>
      </c>
      <c r="C563" s="76">
        <v>43495</v>
      </c>
      <c r="D563" s="13" t="s">
        <v>175</v>
      </c>
      <c r="E563" s="13" t="s">
        <v>134</v>
      </c>
      <c r="F563" s="13" t="s">
        <v>414</v>
      </c>
      <c r="G563" s="13" t="s">
        <v>494</v>
      </c>
      <c r="H563" s="13" t="s">
        <v>421</v>
      </c>
      <c r="I563" s="13" t="str">
        <f t="shared" si="8"/>
        <v>Electronic accessories</v>
      </c>
      <c r="J563" s="13">
        <v>93.78</v>
      </c>
      <c r="K563" s="13">
        <v>98.468999999999994</v>
      </c>
      <c r="L563" s="13">
        <v>3</v>
      </c>
      <c r="M563" s="13" t="s">
        <v>433</v>
      </c>
      <c r="N563" s="13">
        <v>5.9</v>
      </c>
      <c r="O563" s="13">
        <f>(CATEGORIZATION!$K563-CATEGORIZATION!$J563)</f>
        <v>4.688999999999993</v>
      </c>
    </row>
    <row r="564" spans="2:15" ht="15.75">
      <c r="B564" s="13" t="s">
        <v>1009</v>
      </c>
      <c r="C564" s="76">
        <v>43492</v>
      </c>
      <c r="D564" s="13" t="s">
        <v>175</v>
      </c>
      <c r="E564" s="13" t="s">
        <v>134</v>
      </c>
      <c r="F564" s="13" t="s">
        <v>414</v>
      </c>
      <c r="G564" s="13" t="s">
        <v>494</v>
      </c>
      <c r="H564" s="13" t="s">
        <v>430</v>
      </c>
      <c r="I564" s="13" t="str">
        <f t="shared" si="8"/>
        <v>Electronic accessories</v>
      </c>
      <c r="J564" s="13">
        <v>73.260000000000005</v>
      </c>
      <c r="K564" s="13">
        <v>76.923000000000002</v>
      </c>
      <c r="L564" s="13">
        <v>1</v>
      </c>
      <c r="M564" s="13" t="s">
        <v>417</v>
      </c>
      <c r="N564" s="13">
        <v>9.6999999999999993</v>
      </c>
      <c r="O564" s="13">
        <f>(CATEGORIZATION!$K564-CATEGORIZATION!$J564)</f>
        <v>3.6629999999999967</v>
      </c>
    </row>
    <row r="565" spans="2:15" ht="15.75">
      <c r="B565" s="13" t="s">
        <v>1010</v>
      </c>
      <c r="C565" s="76">
        <v>43495</v>
      </c>
      <c r="D565" s="13" t="s">
        <v>419</v>
      </c>
      <c r="E565" s="13" t="s">
        <v>131</v>
      </c>
      <c r="F565" s="13" t="s">
        <v>420</v>
      </c>
      <c r="G565" s="13" t="s">
        <v>415</v>
      </c>
      <c r="H565" s="13" t="s">
        <v>471</v>
      </c>
      <c r="I565" s="13" t="str">
        <f t="shared" si="8"/>
        <v>Sports</v>
      </c>
      <c r="J565" s="13">
        <v>22.38</v>
      </c>
      <c r="K565" s="13">
        <v>23.498999999999999</v>
      </c>
      <c r="L565" s="13">
        <v>1</v>
      </c>
      <c r="M565" s="13" t="s">
        <v>433</v>
      </c>
      <c r="N565" s="13">
        <v>8.6</v>
      </c>
      <c r="O565" s="13">
        <f>(CATEGORIZATION!$K565-CATEGORIZATION!$J565)</f>
        <v>1.1189999999999998</v>
      </c>
    </row>
    <row r="566" spans="2:15" ht="15.75">
      <c r="B566" s="13" t="s">
        <v>1011</v>
      </c>
      <c r="C566" s="76">
        <v>43678</v>
      </c>
      <c r="D566" s="13" t="s">
        <v>419</v>
      </c>
      <c r="E566" s="13" t="s">
        <v>131</v>
      </c>
      <c r="F566" s="13" t="s">
        <v>414</v>
      </c>
      <c r="G566" s="13" t="s">
        <v>415</v>
      </c>
      <c r="H566" s="13" t="s">
        <v>920</v>
      </c>
      <c r="I566" s="13" t="str">
        <f t="shared" si="8"/>
        <v>Food and beverages</v>
      </c>
      <c r="J566" s="13">
        <v>72.88</v>
      </c>
      <c r="K566" s="13">
        <v>76.524000000000001</v>
      </c>
      <c r="L566" s="13">
        <v>9</v>
      </c>
      <c r="M566" s="13" t="s">
        <v>422</v>
      </c>
      <c r="N566" s="13">
        <v>4</v>
      </c>
      <c r="O566" s="13">
        <f>(CATEGORIZATION!$K566-CATEGORIZATION!$J566)</f>
        <v>3.6440000000000055</v>
      </c>
    </row>
    <row r="567" spans="2:15" ht="15.75">
      <c r="B567" s="13" t="s">
        <v>1012</v>
      </c>
      <c r="C567" s="76">
        <v>43479</v>
      </c>
      <c r="D567" s="13" t="s">
        <v>419</v>
      </c>
      <c r="E567" s="13" t="s">
        <v>131</v>
      </c>
      <c r="F567" s="13" t="s">
        <v>420</v>
      </c>
      <c r="G567" s="13" t="s">
        <v>494</v>
      </c>
      <c r="H567" s="13" t="s">
        <v>465</v>
      </c>
      <c r="I567" s="13" t="str">
        <f t="shared" si="8"/>
        <v>Health and beauty</v>
      </c>
      <c r="J567" s="13">
        <v>53.19</v>
      </c>
      <c r="K567" s="13">
        <v>55.849499999999999</v>
      </c>
      <c r="L567" s="13">
        <v>7</v>
      </c>
      <c r="M567" s="13" t="s">
        <v>417</v>
      </c>
      <c r="N567" s="13">
        <v>5</v>
      </c>
      <c r="O567" s="13">
        <f>(CATEGORIZATION!$K567-CATEGORIZATION!$J567)</f>
        <v>2.6595000000000013</v>
      </c>
    </row>
    <row r="568" spans="2:15" ht="15.75">
      <c r="B568" s="13" t="s">
        <v>1013</v>
      </c>
      <c r="C568" s="76">
        <v>43521</v>
      </c>
      <c r="D568" s="13" t="s">
        <v>266</v>
      </c>
      <c r="E568" s="13" t="s">
        <v>135</v>
      </c>
      <c r="F568" s="13" t="s">
        <v>420</v>
      </c>
      <c r="G568" s="13" t="s">
        <v>415</v>
      </c>
      <c r="H568" s="13" t="s">
        <v>421</v>
      </c>
      <c r="I568" s="13" t="str">
        <f t="shared" si="8"/>
        <v>Electronic accessories</v>
      </c>
      <c r="J568" s="13">
        <v>52.79</v>
      </c>
      <c r="K568" s="13">
        <v>55.429499999999997</v>
      </c>
      <c r="L568" s="13">
        <v>10</v>
      </c>
      <c r="M568" s="13" t="s">
        <v>417</v>
      </c>
      <c r="N568" s="13">
        <v>10</v>
      </c>
      <c r="O568" s="13">
        <f>(CATEGORIZATION!$K568-CATEGORIZATION!$J568)</f>
        <v>2.6394999999999982</v>
      </c>
    </row>
    <row r="569" spans="2:15" ht="15.75">
      <c r="B569" s="13" t="s">
        <v>1014</v>
      </c>
      <c r="C569" s="76">
        <v>43488</v>
      </c>
      <c r="D569" s="13" t="s">
        <v>175</v>
      </c>
      <c r="E569" s="13" t="s">
        <v>134</v>
      </c>
      <c r="F569" s="13" t="s">
        <v>414</v>
      </c>
      <c r="G569" s="13" t="s">
        <v>415</v>
      </c>
      <c r="H569" s="13" t="s">
        <v>424</v>
      </c>
      <c r="I569" s="13" t="str">
        <f t="shared" si="8"/>
        <v>Health and beauty</v>
      </c>
      <c r="J569" s="13">
        <v>95.95</v>
      </c>
      <c r="K569" s="13">
        <v>100.7475</v>
      </c>
      <c r="L569" s="13">
        <v>5</v>
      </c>
      <c r="M569" s="13" t="s">
        <v>417</v>
      </c>
      <c r="N569" s="13">
        <v>8.8000000000000007</v>
      </c>
      <c r="O569" s="13">
        <f>(CATEGORIZATION!$K569-CATEGORIZATION!$J569)</f>
        <v>4.7974999999999994</v>
      </c>
    </row>
    <row r="570" spans="2:15" ht="15.75">
      <c r="B570" s="13" t="s">
        <v>1015</v>
      </c>
      <c r="C570" s="76">
        <v>43466</v>
      </c>
      <c r="D570" s="13" t="s">
        <v>266</v>
      </c>
      <c r="E570" s="13" t="s">
        <v>135</v>
      </c>
      <c r="F570" s="13" t="s">
        <v>420</v>
      </c>
      <c r="G570" s="13" t="s">
        <v>494</v>
      </c>
      <c r="H570" s="13" t="s">
        <v>920</v>
      </c>
      <c r="I570" s="13" t="str">
        <f t="shared" si="8"/>
        <v>Food and beverages</v>
      </c>
      <c r="J570" s="13">
        <v>21.12</v>
      </c>
      <c r="K570" s="13">
        <v>22.175999999999998</v>
      </c>
      <c r="L570" s="13">
        <v>8</v>
      </c>
      <c r="M570" s="13" t="s">
        <v>422</v>
      </c>
      <c r="N570" s="13">
        <v>6.3</v>
      </c>
      <c r="O570" s="13">
        <f>(CATEGORIZATION!$K570-CATEGORIZATION!$J570)</f>
        <v>1.0559999999999974</v>
      </c>
    </row>
    <row r="571" spans="2:15" ht="15.75">
      <c r="B571" s="13" t="s">
        <v>1016</v>
      </c>
      <c r="C571" s="76">
        <v>43511</v>
      </c>
      <c r="D571" s="13" t="s">
        <v>266</v>
      </c>
      <c r="E571" s="13" t="s">
        <v>135</v>
      </c>
      <c r="F571" s="13" t="s">
        <v>420</v>
      </c>
      <c r="G571" s="13" t="s">
        <v>494</v>
      </c>
      <c r="H571" s="13" t="s">
        <v>424</v>
      </c>
      <c r="I571" s="13" t="str">
        <f t="shared" si="8"/>
        <v>Health and beauty</v>
      </c>
      <c r="J571" s="13">
        <v>57.59</v>
      </c>
      <c r="K571" s="13">
        <v>60.469500000000004</v>
      </c>
      <c r="L571" s="13">
        <v>6</v>
      </c>
      <c r="M571" s="13" t="s">
        <v>422</v>
      </c>
      <c r="N571" s="13">
        <v>5.0999999999999996</v>
      </c>
      <c r="O571" s="13">
        <f>(CATEGORIZATION!$K571-CATEGORIZATION!$J571)</f>
        <v>2.8795000000000002</v>
      </c>
    </row>
    <row r="572" spans="2:15" ht="15.75">
      <c r="B572" s="13" t="s">
        <v>1017</v>
      </c>
      <c r="C572" s="76">
        <v>43488</v>
      </c>
      <c r="D572" s="13" t="s">
        <v>175</v>
      </c>
      <c r="E572" s="13" t="s">
        <v>134</v>
      </c>
      <c r="F572" s="13" t="s">
        <v>414</v>
      </c>
      <c r="G572" s="13" t="s">
        <v>415</v>
      </c>
      <c r="H572" s="13" t="s">
        <v>920</v>
      </c>
      <c r="I572" s="13" t="str">
        <f t="shared" si="8"/>
        <v>Food and beverages</v>
      </c>
      <c r="J572" s="13">
        <v>47.63</v>
      </c>
      <c r="K572" s="13">
        <v>50.011499999999998</v>
      </c>
      <c r="L572" s="13">
        <v>9</v>
      </c>
      <c r="M572" s="13" t="s">
        <v>422</v>
      </c>
      <c r="N572" s="13">
        <v>5</v>
      </c>
      <c r="O572" s="13">
        <f>(CATEGORIZATION!$K572-CATEGORIZATION!$J572)</f>
        <v>2.3814999999999955</v>
      </c>
    </row>
    <row r="573" spans="2:15" ht="15.75">
      <c r="B573" s="13" t="s">
        <v>1018</v>
      </c>
      <c r="C573" s="76">
        <v>43678</v>
      </c>
      <c r="D573" s="13" t="s">
        <v>175</v>
      </c>
      <c r="E573" s="13" t="s">
        <v>134</v>
      </c>
      <c r="F573" s="13" t="s">
        <v>414</v>
      </c>
      <c r="G573" s="13" t="s">
        <v>494</v>
      </c>
      <c r="H573" s="13" t="s">
        <v>471</v>
      </c>
      <c r="I573" s="13" t="str">
        <f t="shared" si="8"/>
        <v>Sports</v>
      </c>
      <c r="J573" s="13">
        <v>12.76</v>
      </c>
      <c r="K573" s="13">
        <v>13.398</v>
      </c>
      <c r="L573" s="13">
        <v>2</v>
      </c>
      <c r="M573" s="13" t="s">
        <v>417</v>
      </c>
      <c r="N573" s="13">
        <v>7.8</v>
      </c>
      <c r="O573" s="13">
        <f>(CATEGORIZATION!$K573-CATEGORIZATION!$J573)</f>
        <v>0.6379999999999999</v>
      </c>
    </row>
    <row r="574" spans="2:15" ht="15.75">
      <c r="B574" s="13" t="s">
        <v>1019</v>
      </c>
      <c r="C574" s="76">
        <v>43678</v>
      </c>
      <c r="D574" s="13" t="s">
        <v>175</v>
      </c>
      <c r="E574" s="13" t="s">
        <v>134</v>
      </c>
      <c r="F574" s="13" t="s">
        <v>414</v>
      </c>
      <c r="G574" s="13" t="s">
        <v>415</v>
      </c>
      <c r="H574" s="13" t="s">
        <v>421</v>
      </c>
      <c r="I574" s="13" t="str">
        <f t="shared" si="8"/>
        <v>Electronic accessories</v>
      </c>
      <c r="J574" s="13">
        <v>79.59</v>
      </c>
      <c r="K574" s="13">
        <v>83.569499999999991</v>
      </c>
      <c r="L574" s="13">
        <v>3</v>
      </c>
      <c r="M574" s="13" t="s">
        <v>422</v>
      </c>
      <c r="N574" s="13">
        <v>6.6</v>
      </c>
      <c r="O574" s="13">
        <f>(CATEGORIZATION!$K574-CATEGORIZATION!$J574)</f>
        <v>3.9794999999999874</v>
      </c>
    </row>
    <row r="575" spans="2:15" ht="15.75">
      <c r="B575" s="13" t="s">
        <v>1020</v>
      </c>
      <c r="C575" s="76">
        <v>43491</v>
      </c>
      <c r="D575" s="13" t="s">
        <v>419</v>
      </c>
      <c r="E575" s="13" t="s">
        <v>131</v>
      </c>
      <c r="F575" s="13" t="s">
        <v>414</v>
      </c>
      <c r="G575" s="13" t="s">
        <v>494</v>
      </c>
      <c r="H575" s="13" t="s">
        <v>465</v>
      </c>
      <c r="I575" s="13" t="str">
        <f t="shared" si="8"/>
        <v>Health and beauty</v>
      </c>
      <c r="J575" s="13">
        <v>33.81</v>
      </c>
      <c r="K575" s="13">
        <v>35.500499999999995</v>
      </c>
      <c r="L575" s="13">
        <v>3</v>
      </c>
      <c r="M575" s="13" t="s">
        <v>417</v>
      </c>
      <c r="N575" s="13">
        <v>7.3</v>
      </c>
      <c r="O575" s="13">
        <f>(CATEGORIZATION!$K575-CATEGORIZATION!$J575)</f>
        <v>1.690499999999993</v>
      </c>
    </row>
    <row r="576" spans="2:15" ht="15.75">
      <c r="B576" s="13" t="s">
        <v>1021</v>
      </c>
      <c r="C576" s="76">
        <v>43539</v>
      </c>
      <c r="D576" s="13" t="s">
        <v>266</v>
      </c>
      <c r="E576" s="13" t="s">
        <v>135</v>
      </c>
      <c r="F576" s="13" t="s">
        <v>414</v>
      </c>
      <c r="G576" s="13" t="s">
        <v>494</v>
      </c>
      <c r="H576" s="13" t="s">
        <v>471</v>
      </c>
      <c r="I576" s="13" t="str">
        <f t="shared" si="8"/>
        <v>Sports</v>
      </c>
      <c r="J576" s="13">
        <v>90.53</v>
      </c>
      <c r="K576" s="13">
        <v>95.0565</v>
      </c>
      <c r="L576" s="13">
        <v>8</v>
      </c>
      <c r="M576" s="13" t="s">
        <v>433</v>
      </c>
      <c r="N576" s="13">
        <v>6.5</v>
      </c>
      <c r="O576" s="13">
        <f>(CATEGORIZATION!$K576-CATEGORIZATION!$J576)</f>
        <v>4.5264999999999986</v>
      </c>
    </row>
    <row r="577" spans="2:15" ht="15.75">
      <c r="B577" s="13" t="s">
        <v>1022</v>
      </c>
      <c r="C577" s="76">
        <v>43482</v>
      </c>
      <c r="D577" s="13" t="s">
        <v>419</v>
      </c>
      <c r="E577" s="13" t="s">
        <v>131</v>
      </c>
      <c r="F577" s="13" t="s">
        <v>414</v>
      </c>
      <c r="G577" s="13" t="s">
        <v>415</v>
      </c>
      <c r="H577" s="13" t="s">
        <v>446</v>
      </c>
      <c r="I577" s="13" t="str">
        <f t="shared" si="8"/>
        <v>Health and beauty</v>
      </c>
      <c r="J577" s="13">
        <v>62.82</v>
      </c>
      <c r="K577" s="13">
        <v>65.960999999999999</v>
      </c>
      <c r="L577" s="13">
        <v>2</v>
      </c>
      <c r="M577" s="13" t="s">
        <v>417</v>
      </c>
      <c r="N577" s="13">
        <v>4.9000000000000004</v>
      </c>
      <c r="O577" s="13">
        <f>(CATEGORIZATION!$K577-CATEGORIZATION!$J577)</f>
        <v>3.1409999999999982</v>
      </c>
    </row>
    <row r="578" spans="2:15" ht="15.75">
      <c r="B578" s="13" t="s">
        <v>1023</v>
      </c>
      <c r="C578" s="76">
        <v>43678</v>
      </c>
      <c r="D578" s="13" t="s">
        <v>419</v>
      </c>
      <c r="E578" s="13" t="s">
        <v>131</v>
      </c>
      <c r="F578" s="13" t="s">
        <v>414</v>
      </c>
      <c r="G578" s="13" t="s">
        <v>494</v>
      </c>
      <c r="H578" s="13" t="s">
        <v>920</v>
      </c>
      <c r="I578" s="13" t="str">
        <f t="shared" si="8"/>
        <v>Food and beverages</v>
      </c>
      <c r="J578" s="13">
        <v>24.31</v>
      </c>
      <c r="K578" s="13">
        <v>25.525499999999997</v>
      </c>
      <c r="L578" s="13">
        <v>3</v>
      </c>
      <c r="M578" s="13" t="s">
        <v>433</v>
      </c>
      <c r="N578" s="13">
        <v>4.3</v>
      </c>
      <c r="O578" s="13">
        <f>(CATEGORIZATION!$K578-CATEGORIZATION!$J578)</f>
        <v>1.2154999999999987</v>
      </c>
    </row>
    <row r="579" spans="2:15" ht="15.75">
      <c r="B579" s="13" t="s">
        <v>1024</v>
      </c>
      <c r="C579" s="76">
        <v>43617</v>
      </c>
      <c r="D579" s="13" t="s">
        <v>175</v>
      </c>
      <c r="E579" s="13" t="s">
        <v>134</v>
      </c>
      <c r="F579" s="13" t="s">
        <v>420</v>
      </c>
      <c r="G579" s="13" t="s">
        <v>494</v>
      </c>
      <c r="H579" s="13" t="s">
        <v>471</v>
      </c>
      <c r="I579" s="13" t="str">
        <f t="shared" si="8"/>
        <v>Sports</v>
      </c>
      <c r="J579" s="13">
        <v>64.59</v>
      </c>
      <c r="K579" s="13">
        <v>67.819500000000005</v>
      </c>
      <c r="L579" s="13">
        <v>4</v>
      </c>
      <c r="M579" s="13" t="s">
        <v>417</v>
      </c>
      <c r="N579" s="13">
        <v>9.3000000000000007</v>
      </c>
      <c r="O579" s="13">
        <f>(CATEGORIZATION!$K579-CATEGORIZATION!$J579)</f>
        <v>3.2295000000000016</v>
      </c>
    </row>
    <row r="580" spans="2:15" ht="15.75">
      <c r="B580" s="13" t="s">
        <v>1025</v>
      </c>
      <c r="C580" s="76">
        <v>43512</v>
      </c>
      <c r="D580" s="13" t="s">
        <v>175</v>
      </c>
      <c r="E580" s="13" t="s">
        <v>134</v>
      </c>
      <c r="F580" s="13" t="s">
        <v>414</v>
      </c>
      <c r="G580" s="13" t="s">
        <v>494</v>
      </c>
      <c r="H580" s="13" t="s">
        <v>920</v>
      </c>
      <c r="I580" s="13" t="str">
        <f t="shared" ref="I580:I643" si="9">VLOOKUP(H580,$R$5:$S$32,2,FALSE)</f>
        <v>Food and beverages</v>
      </c>
      <c r="J580" s="13">
        <v>24.82</v>
      </c>
      <c r="K580" s="13">
        <v>26.061</v>
      </c>
      <c r="L580" s="13">
        <v>7</v>
      </c>
      <c r="M580" s="13" t="s">
        <v>433</v>
      </c>
      <c r="N580" s="13">
        <v>7.1</v>
      </c>
      <c r="O580" s="13">
        <f>(CATEGORIZATION!$K580-CATEGORIZATION!$J580)</f>
        <v>1.2409999999999997</v>
      </c>
    </row>
    <row r="581" spans="2:15" ht="15.75">
      <c r="B581" s="13" t="s">
        <v>1026</v>
      </c>
      <c r="C581" s="76">
        <v>43493</v>
      </c>
      <c r="D581" s="13" t="s">
        <v>266</v>
      </c>
      <c r="E581" s="13" t="s">
        <v>135</v>
      </c>
      <c r="F581" s="13" t="s">
        <v>414</v>
      </c>
      <c r="G581" s="13" t="s">
        <v>415</v>
      </c>
      <c r="H581" s="13" t="s">
        <v>499</v>
      </c>
      <c r="I581" s="13" t="str">
        <f t="shared" si="9"/>
        <v>Electronic accessories</v>
      </c>
      <c r="J581" s="13">
        <v>21.43</v>
      </c>
      <c r="K581" s="13">
        <v>22.5015</v>
      </c>
      <c r="L581" s="13">
        <v>10</v>
      </c>
      <c r="M581" s="13" t="s">
        <v>422</v>
      </c>
      <c r="N581" s="13">
        <v>6.2</v>
      </c>
      <c r="O581" s="13">
        <f>(CATEGORIZATION!$K581-CATEGORIZATION!$J581)</f>
        <v>1.0715000000000003</v>
      </c>
    </row>
    <row r="582" spans="2:15" ht="15.75">
      <c r="B582" s="13" t="s">
        <v>1027</v>
      </c>
      <c r="C582" s="76">
        <v>43483</v>
      </c>
      <c r="D582" s="13" t="s">
        <v>175</v>
      </c>
      <c r="E582" s="13" t="s">
        <v>134</v>
      </c>
      <c r="F582" s="13" t="s">
        <v>414</v>
      </c>
      <c r="G582" s="13" t="s">
        <v>494</v>
      </c>
      <c r="H582" s="13" t="s">
        <v>471</v>
      </c>
      <c r="I582" s="13" t="str">
        <f t="shared" si="9"/>
        <v>Sports</v>
      </c>
      <c r="J582" s="13">
        <v>89.06</v>
      </c>
      <c r="K582" s="13">
        <v>93.512999999999991</v>
      </c>
      <c r="L582" s="13">
        <v>6</v>
      </c>
      <c r="M582" s="13" t="s">
        <v>422</v>
      </c>
      <c r="N582" s="13">
        <v>9.9</v>
      </c>
      <c r="O582" s="13">
        <f>(CATEGORIZATION!$K582-CATEGORIZATION!$J582)</f>
        <v>4.4529999999999887</v>
      </c>
    </row>
    <row r="583" spans="2:15" ht="15.75">
      <c r="B583" s="13" t="s">
        <v>1028</v>
      </c>
      <c r="C583" s="76">
        <v>43521</v>
      </c>
      <c r="D583" s="13" t="s">
        <v>266</v>
      </c>
      <c r="E583" s="13" t="s">
        <v>135</v>
      </c>
      <c r="F583" s="13" t="s">
        <v>414</v>
      </c>
      <c r="G583" s="13" t="s">
        <v>494</v>
      </c>
      <c r="H583" s="13" t="s">
        <v>421</v>
      </c>
      <c r="I583" s="13" t="str">
        <f t="shared" si="9"/>
        <v>Electronic accessories</v>
      </c>
      <c r="J583" s="13">
        <v>39.75</v>
      </c>
      <c r="K583" s="13">
        <v>41.737499999999997</v>
      </c>
      <c r="L583" s="13">
        <v>1</v>
      </c>
      <c r="M583" s="13" t="s">
        <v>422</v>
      </c>
      <c r="N583" s="13">
        <v>6.1</v>
      </c>
      <c r="O583" s="13">
        <f>(CATEGORIZATION!$K583-CATEGORIZATION!$J583)</f>
        <v>1.9874999999999972</v>
      </c>
    </row>
    <row r="584" spans="2:15" ht="15.75">
      <c r="B584" s="13" t="s">
        <v>1029</v>
      </c>
      <c r="C584" s="76">
        <v>43545</v>
      </c>
      <c r="D584" s="13" t="s">
        <v>175</v>
      </c>
      <c r="E584" s="13" t="s">
        <v>134</v>
      </c>
      <c r="F584" s="13" t="s">
        <v>420</v>
      </c>
      <c r="G584" s="13" t="s">
        <v>415</v>
      </c>
      <c r="H584" s="13" t="s">
        <v>430</v>
      </c>
      <c r="I584" s="13" t="str">
        <f t="shared" si="9"/>
        <v>Electronic accessories</v>
      </c>
      <c r="J584" s="13">
        <v>90.02</v>
      </c>
      <c r="K584" s="13">
        <v>94.521000000000001</v>
      </c>
      <c r="L584" s="13">
        <v>8</v>
      </c>
      <c r="M584" s="13" t="s">
        <v>433</v>
      </c>
      <c r="N584" s="13">
        <v>4.5</v>
      </c>
      <c r="O584" s="13">
        <f>(CATEGORIZATION!$K584-CATEGORIZATION!$J584)</f>
        <v>4.5010000000000048</v>
      </c>
    </row>
    <row r="585" spans="2:15" ht="15.75">
      <c r="B585" s="13" t="s">
        <v>1030</v>
      </c>
      <c r="C585" s="76">
        <v>43484</v>
      </c>
      <c r="D585" s="13" t="s">
        <v>266</v>
      </c>
      <c r="E585" s="13" t="s">
        <v>135</v>
      </c>
      <c r="F585" s="13" t="s">
        <v>414</v>
      </c>
      <c r="G585" s="13" t="s">
        <v>415</v>
      </c>
      <c r="H585" s="13" t="s">
        <v>421</v>
      </c>
      <c r="I585" s="13" t="str">
        <f t="shared" si="9"/>
        <v>Electronic accessories</v>
      </c>
      <c r="J585" s="13">
        <v>12.1</v>
      </c>
      <c r="K585" s="13">
        <v>12.705</v>
      </c>
      <c r="L585" s="13">
        <v>8</v>
      </c>
      <c r="M585" s="13" t="s">
        <v>417</v>
      </c>
      <c r="N585" s="13">
        <v>8.6</v>
      </c>
      <c r="O585" s="13">
        <f>(CATEGORIZATION!$K585-CATEGORIZATION!$J585)</f>
        <v>0.60500000000000043</v>
      </c>
    </row>
    <row r="586" spans="2:15" ht="15.75">
      <c r="B586" s="13" t="s">
        <v>1031</v>
      </c>
      <c r="C586" s="76">
        <v>43678</v>
      </c>
      <c r="D586" s="13" t="s">
        <v>266</v>
      </c>
      <c r="E586" s="13" t="s">
        <v>135</v>
      </c>
      <c r="F586" s="13" t="s">
        <v>414</v>
      </c>
      <c r="G586" s="13" t="s">
        <v>415</v>
      </c>
      <c r="H586" s="13" t="s">
        <v>920</v>
      </c>
      <c r="I586" s="13" t="str">
        <f t="shared" si="9"/>
        <v>Food and beverages</v>
      </c>
      <c r="J586" s="13">
        <v>33.21</v>
      </c>
      <c r="K586" s="13">
        <v>34.8705</v>
      </c>
      <c r="L586" s="13">
        <v>10</v>
      </c>
      <c r="M586" s="13" t="s">
        <v>417</v>
      </c>
      <c r="N586" s="13">
        <v>6</v>
      </c>
      <c r="O586" s="13">
        <f>(CATEGORIZATION!$K586-CATEGORIZATION!$J586)</f>
        <v>1.660499999999999</v>
      </c>
    </row>
    <row r="587" spans="2:15" ht="15.75">
      <c r="B587" s="13" t="s">
        <v>1032</v>
      </c>
      <c r="C587" s="76">
        <v>43516</v>
      </c>
      <c r="D587" s="13" t="s">
        <v>266</v>
      </c>
      <c r="E587" s="13" t="s">
        <v>135</v>
      </c>
      <c r="F587" s="13" t="s">
        <v>414</v>
      </c>
      <c r="G587" s="13" t="s">
        <v>494</v>
      </c>
      <c r="H587" s="13" t="s">
        <v>444</v>
      </c>
      <c r="I587" s="13" t="str">
        <f t="shared" si="9"/>
        <v>Sports</v>
      </c>
      <c r="J587" s="13">
        <v>31.99</v>
      </c>
      <c r="K587" s="13">
        <v>33.589500000000001</v>
      </c>
      <c r="L587" s="13">
        <v>10</v>
      </c>
      <c r="M587" s="13" t="s">
        <v>433</v>
      </c>
      <c r="N587" s="13">
        <v>9.9</v>
      </c>
      <c r="O587" s="13">
        <f>(CATEGORIZATION!$K587-CATEGORIZATION!$J587)</f>
        <v>1.5995000000000026</v>
      </c>
    </row>
    <row r="588" spans="2:15" ht="15.75">
      <c r="B588" s="13" t="s">
        <v>1033</v>
      </c>
      <c r="C588" s="76">
        <v>43543</v>
      </c>
      <c r="D588" s="13" t="s">
        <v>175</v>
      </c>
      <c r="E588" s="13" t="s">
        <v>134</v>
      </c>
      <c r="F588" s="13" t="s">
        <v>414</v>
      </c>
      <c r="G588" s="13" t="s">
        <v>415</v>
      </c>
      <c r="H588" s="13" t="s">
        <v>920</v>
      </c>
      <c r="I588" s="13" t="str">
        <f t="shared" si="9"/>
        <v>Food and beverages</v>
      </c>
      <c r="J588" s="13">
        <v>83.34</v>
      </c>
      <c r="K588" s="13">
        <v>87.507000000000005</v>
      </c>
      <c r="L588" s="13">
        <v>2</v>
      </c>
      <c r="M588" s="13" t="s">
        <v>422</v>
      </c>
      <c r="N588" s="13">
        <v>7.6</v>
      </c>
      <c r="O588" s="13">
        <f>(CATEGORIZATION!$K588-CATEGORIZATION!$J588)</f>
        <v>4.1670000000000016</v>
      </c>
    </row>
    <row r="589" spans="2:15" ht="15.75">
      <c r="B589" s="13" t="s">
        <v>1034</v>
      </c>
      <c r="C589" s="76">
        <v>43478</v>
      </c>
      <c r="D589" s="13" t="s">
        <v>175</v>
      </c>
      <c r="E589" s="13" t="s">
        <v>134</v>
      </c>
      <c r="F589" s="13" t="s">
        <v>420</v>
      </c>
      <c r="G589" s="13" t="s">
        <v>494</v>
      </c>
      <c r="H589" s="13" t="s">
        <v>444</v>
      </c>
      <c r="I589" s="13" t="str">
        <f t="shared" si="9"/>
        <v>Sports</v>
      </c>
      <c r="J589" s="13">
        <v>45.58</v>
      </c>
      <c r="K589" s="13">
        <v>47.858999999999995</v>
      </c>
      <c r="L589" s="13">
        <v>7</v>
      </c>
      <c r="M589" s="13" t="s">
        <v>422</v>
      </c>
      <c r="N589" s="13">
        <v>5</v>
      </c>
      <c r="O589" s="13">
        <f>(CATEGORIZATION!$K589-CATEGORIZATION!$J589)</f>
        <v>2.2789999999999964</v>
      </c>
    </row>
    <row r="590" spans="2:15" ht="15.75">
      <c r="B590" s="13" t="s">
        <v>1035</v>
      </c>
      <c r="C590" s="76">
        <v>43587</v>
      </c>
      <c r="D590" s="13" t="s">
        <v>175</v>
      </c>
      <c r="E590" s="13" t="s">
        <v>134</v>
      </c>
      <c r="F590" s="13" t="s">
        <v>414</v>
      </c>
      <c r="G590" s="13" t="s">
        <v>494</v>
      </c>
      <c r="H590" s="13" t="s">
        <v>920</v>
      </c>
      <c r="I590" s="13" t="str">
        <f t="shared" si="9"/>
        <v>Food and beverages</v>
      </c>
      <c r="J590" s="13">
        <v>87.9</v>
      </c>
      <c r="K590" s="13">
        <v>92.295000000000002</v>
      </c>
      <c r="L590" s="13">
        <v>1</v>
      </c>
      <c r="M590" s="13" t="s">
        <v>417</v>
      </c>
      <c r="N590" s="13">
        <v>6.7</v>
      </c>
      <c r="O590" s="13">
        <f>(CATEGORIZATION!$K590-CATEGORIZATION!$J590)</f>
        <v>4.394999999999996</v>
      </c>
    </row>
    <row r="591" spans="2:15" ht="15.75">
      <c r="B591" s="13" t="s">
        <v>1036</v>
      </c>
      <c r="C591" s="76">
        <v>43547</v>
      </c>
      <c r="D591" s="13" t="s">
        <v>175</v>
      </c>
      <c r="E591" s="13" t="s">
        <v>134</v>
      </c>
      <c r="F591" s="13" t="s">
        <v>414</v>
      </c>
      <c r="G591" s="13" t="s">
        <v>415</v>
      </c>
      <c r="H591" s="13" t="s">
        <v>421</v>
      </c>
      <c r="I591" s="13" t="str">
        <f t="shared" si="9"/>
        <v>Electronic accessories</v>
      </c>
      <c r="J591" s="13">
        <v>73.47</v>
      </c>
      <c r="K591" s="13">
        <v>77.143499999999989</v>
      </c>
      <c r="L591" s="13">
        <v>10</v>
      </c>
      <c r="M591" s="13" t="s">
        <v>417</v>
      </c>
      <c r="N591" s="13">
        <v>9.5</v>
      </c>
      <c r="O591" s="13">
        <f>(CATEGORIZATION!$K591-CATEGORIZATION!$J591)</f>
        <v>3.67349999999999</v>
      </c>
    </row>
    <row r="592" spans="2:15" ht="15.75">
      <c r="B592" s="13" t="s">
        <v>1037</v>
      </c>
      <c r="C592" s="76">
        <v>43541</v>
      </c>
      <c r="D592" s="13" t="s">
        <v>175</v>
      </c>
      <c r="E592" s="13" t="s">
        <v>134</v>
      </c>
      <c r="F592" s="13" t="s">
        <v>414</v>
      </c>
      <c r="G592" s="13" t="s">
        <v>494</v>
      </c>
      <c r="H592" s="13" t="s">
        <v>444</v>
      </c>
      <c r="I592" s="13" t="str">
        <f t="shared" si="9"/>
        <v>Sports</v>
      </c>
      <c r="J592" s="13">
        <v>76.92</v>
      </c>
      <c r="K592" s="13">
        <v>80.765999999999991</v>
      </c>
      <c r="L592" s="13">
        <v>10</v>
      </c>
      <c r="M592" s="13" t="s">
        <v>417</v>
      </c>
      <c r="N592" s="13">
        <v>5.6</v>
      </c>
      <c r="O592" s="13">
        <f>(CATEGORIZATION!$K592-CATEGORIZATION!$J592)</f>
        <v>3.8459999999999894</v>
      </c>
    </row>
    <row r="593" spans="2:15" ht="15.75">
      <c r="B593" s="13" t="s">
        <v>1038</v>
      </c>
      <c r="C593" s="76">
        <v>43517</v>
      </c>
      <c r="D593" s="13" t="s">
        <v>419</v>
      </c>
      <c r="E593" s="13" t="s">
        <v>131</v>
      </c>
      <c r="F593" s="13" t="s">
        <v>420</v>
      </c>
      <c r="G593" s="13" t="s">
        <v>415</v>
      </c>
      <c r="H593" s="13" t="s">
        <v>465</v>
      </c>
      <c r="I593" s="13" t="str">
        <f t="shared" si="9"/>
        <v>Health and beauty</v>
      </c>
      <c r="J593" s="13">
        <v>83.66</v>
      </c>
      <c r="K593" s="13">
        <v>87.842999999999989</v>
      </c>
      <c r="L593" s="13">
        <v>5</v>
      </c>
      <c r="M593" s="13" t="s">
        <v>422</v>
      </c>
      <c r="N593" s="13">
        <v>7.2</v>
      </c>
      <c r="O593" s="13">
        <f>(CATEGORIZATION!$K593-CATEGORIZATION!$J593)</f>
        <v>4.1829999999999927</v>
      </c>
    </row>
    <row r="594" spans="2:15" ht="15.75">
      <c r="B594" s="13" t="s">
        <v>1039</v>
      </c>
      <c r="C594" s="76">
        <v>43648</v>
      </c>
      <c r="D594" s="13" t="s">
        <v>266</v>
      </c>
      <c r="E594" s="13" t="s">
        <v>135</v>
      </c>
      <c r="F594" s="13" t="s">
        <v>420</v>
      </c>
      <c r="G594" s="13" t="s">
        <v>415</v>
      </c>
      <c r="H594" s="13" t="s">
        <v>421</v>
      </c>
      <c r="I594" s="13" t="str">
        <f t="shared" si="9"/>
        <v>Electronic accessories</v>
      </c>
      <c r="J594" s="13">
        <v>57.91</v>
      </c>
      <c r="K594" s="13">
        <v>60.805500000000002</v>
      </c>
      <c r="L594" s="13">
        <v>8</v>
      </c>
      <c r="M594" s="13" t="s">
        <v>422</v>
      </c>
      <c r="N594" s="13">
        <v>8.1</v>
      </c>
      <c r="O594" s="13">
        <f>(CATEGORIZATION!$K594-CATEGORIZATION!$J594)</f>
        <v>2.8955000000000055</v>
      </c>
    </row>
    <row r="595" spans="2:15" ht="15.75">
      <c r="B595" s="13" t="s">
        <v>1040</v>
      </c>
      <c r="C595" s="76">
        <v>43619</v>
      </c>
      <c r="D595" s="13" t="s">
        <v>266</v>
      </c>
      <c r="E595" s="13" t="s">
        <v>135</v>
      </c>
      <c r="F595" s="13" t="s">
        <v>420</v>
      </c>
      <c r="G595" s="13" t="s">
        <v>494</v>
      </c>
      <c r="H595" s="13" t="s">
        <v>499</v>
      </c>
      <c r="I595" s="13" t="str">
        <f t="shared" si="9"/>
        <v>Electronic accessories</v>
      </c>
      <c r="J595" s="13">
        <v>28.38</v>
      </c>
      <c r="K595" s="13">
        <v>29.798999999999999</v>
      </c>
      <c r="L595" s="13">
        <v>5</v>
      </c>
      <c r="M595" s="13" t="s">
        <v>422</v>
      </c>
      <c r="N595" s="13">
        <v>9.4</v>
      </c>
      <c r="O595" s="13">
        <f>(CATEGORIZATION!$K595-CATEGORIZATION!$J595)</f>
        <v>1.4190000000000005</v>
      </c>
    </row>
    <row r="596" spans="2:15" ht="15.75">
      <c r="B596" s="13" t="s">
        <v>1041</v>
      </c>
      <c r="C596" s="76">
        <v>43618</v>
      </c>
      <c r="D596" s="13" t="s">
        <v>266</v>
      </c>
      <c r="E596" s="13" t="s">
        <v>135</v>
      </c>
      <c r="F596" s="13" t="s">
        <v>414</v>
      </c>
      <c r="G596" s="13" t="s">
        <v>494</v>
      </c>
      <c r="H596" s="13" t="s">
        <v>430</v>
      </c>
      <c r="I596" s="13" t="str">
        <f t="shared" si="9"/>
        <v>Electronic accessories</v>
      </c>
      <c r="J596" s="13">
        <v>50.45</v>
      </c>
      <c r="K596" s="13">
        <v>52.972499999999997</v>
      </c>
      <c r="L596" s="13">
        <v>6</v>
      </c>
      <c r="M596" s="13" t="s">
        <v>433</v>
      </c>
      <c r="N596" s="13">
        <v>8.9</v>
      </c>
      <c r="O596" s="13">
        <f>(CATEGORIZATION!$K596-CATEGORIZATION!$J596)</f>
        <v>2.5224999999999937</v>
      </c>
    </row>
    <row r="597" spans="2:15" ht="15.75">
      <c r="B597" s="13" t="s">
        <v>1042</v>
      </c>
      <c r="C597" s="76">
        <v>43493</v>
      </c>
      <c r="D597" s="13" t="s">
        <v>266</v>
      </c>
      <c r="E597" s="13" t="s">
        <v>135</v>
      </c>
      <c r="F597" s="13" t="s">
        <v>420</v>
      </c>
      <c r="G597" s="13" t="s">
        <v>494</v>
      </c>
      <c r="H597" s="13" t="s">
        <v>465</v>
      </c>
      <c r="I597" s="13" t="str">
        <f t="shared" si="9"/>
        <v>Health and beauty</v>
      </c>
      <c r="J597" s="13">
        <v>99.16</v>
      </c>
      <c r="K597" s="13">
        <v>104.11799999999999</v>
      </c>
      <c r="L597" s="13">
        <v>8</v>
      </c>
      <c r="M597" s="13" t="s">
        <v>433</v>
      </c>
      <c r="N597" s="13">
        <v>4.2</v>
      </c>
      <c r="O597" s="13">
        <f>(CATEGORIZATION!$K597-CATEGORIZATION!$J597)</f>
        <v>4.9579999999999984</v>
      </c>
    </row>
    <row r="598" spans="2:15" ht="15.75">
      <c r="B598" s="13" t="s">
        <v>1043</v>
      </c>
      <c r="C598" s="76">
        <v>43587</v>
      </c>
      <c r="D598" s="13" t="s">
        <v>419</v>
      </c>
      <c r="E598" s="13" t="s">
        <v>131</v>
      </c>
      <c r="F598" s="13" t="s">
        <v>414</v>
      </c>
      <c r="G598" s="13" t="s">
        <v>415</v>
      </c>
      <c r="H598" s="13" t="s">
        <v>920</v>
      </c>
      <c r="I598" s="13" t="str">
        <f t="shared" si="9"/>
        <v>Food and beverages</v>
      </c>
      <c r="J598" s="13">
        <v>47.27</v>
      </c>
      <c r="K598" s="13">
        <v>49.633499999999998</v>
      </c>
      <c r="L598" s="13">
        <v>6</v>
      </c>
      <c r="M598" s="13" t="s">
        <v>422</v>
      </c>
      <c r="N598" s="13">
        <v>8.8000000000000007</v>
      </c>
      <c r="O598" s="13">
        <f>(CATEGORIZATION!$K598-CATEGORIZATION!$J598)</f>
        <v>2.3634999999999948</v>
      </c>
    </row>
    <row r="599" spans="2:15" ht="15.75">
      <c r="B599" s="13" t="s">
        <v>1044</v>
      </c>
      <c r="C599" s="76">
        <v>43499</v>
      </c>
      <c r="D599" s="13" t="s">
        <v>419</v>
      </c>
      <c r="E599" s="13" t="s">
        <v>131</v>
      </c>
      <c r="F599" s="13" t="s">
        <v>414</v>
      </c>
      <c r="G599" s="13" t="s">
        <v>494</v>
      </c>
      <c r="H599" s="13" t="s">
        <v>465</v>
      </c>
      <c r="I599" s="13" t="str">
        <f t="shared" si="9"/>
        <v>Health and beauty</v>
      </c>
      <c r="J599" s="13">
        <v>85.6</v>
      </c>
      <c r="K599" s="13">
        <v>89.88</v>
      </c>
      <c r="L599" s="13">
        <v>7</v>
      </c>
      <c r="M599" s="13" t="s">
        <v>422</v>
      </c>
      <c r="N599" s="13">
        <v>5.3</v>
      </c>
      <c r="O599" s="13">
        <f>(CATEGORIZATION!$K599-CATEGORIZATION!$J599)</f>
        <v>4.2800000000000011</v>
      </c>
    </row>
    <row r="600" spans="2:15" ht="15.75">
      <c r="B600" s="13" t="s">
        <v>1045</v>
      </c>
      <c r="C600" s="76">
        <v>43710</v>
      </c>
      <c r="D600" s="13" t="s">
        <v>175</v>
      </c>
      <c r="E600" s="13" t="s">
        <v>134</v>
      </c>
      <c r="F600" s="13" t="s">
        <v>414</v>
      </c>
      <c r="G600" s="13" t="s">
        <v>494</v>
      </c>
      <c r="H600" s="13" t="s">
        <v>920</v>
      </c>
      <c r="I600" s="13" t="str">
        <f t="shared" si="9"/>
        <v>Food and beverages</v>
      </c>
      <c r="J600" s="13">
        <v>35.04</v>
      </c>
      <c r="K600" s="13">
        <v>36.792000000000002</v>
      </c>
      <c r="L600" s="13">
        <v>9</v>
      </c>
      <c r="M600" s="13" t="s">
        <v>417</v>
      </c>
      <c r="N600" s="13">
        <v>4.5999999999999996</v>
      </c>
      <c r="O600" s="13">
        <f>(CATEGORIZATION!$K600-CATEGORIZATION!$J600)</f>
        <v>1.7520000000000024</v>
      </c>
    </row>
    <row r="601" spans="2:15" ht="15.75">
      <c r="B601" s="13" t="s">
        <v>1046</v>
      </c>
      <c r="C601" s="76">
        <v>43479</v>
      </c>
      <c r="D601" s="13" t="s">
        <v>419</v>
      </c>
      <c r="E601" s="13" t="s">
        <v>131</v>
      </c>
      <c r="F601" s="13" t="s">
        <v>414</v>
      </c>
      <c r="G601" s="13" t="s">
        <v>415</v>
      </c>
      <c r="H601" s="13" t="s">
        <v>421</v>
      </c>
      <c r="I601" s="13" t="str">
        <f t="shared" si="9"/>
        <v>Electronic accessories</v>
      </c>
      <c r="J601" s="13">
        <v>44.84</v>
      </c>
      <c r="K601" s="13">
        <v>47.082000000000001</v>
      </c>
      <c r="L601" s="13">
        <v>9</v>
      </c>
      <c r="M601" s="13" t="s">
        <v>433</v>
      </c>
      <c r="N601" s="13">
        <v>7.5</v>
      </c>
      <c r="O601" s="13">
        <f>(CATEGORIZATION!$K601-CATEGORIZATION!$J601)</f>
        <v>2.2419999999999973</v>
      </c>
    </row>
    <row r="602" spans="2:15" ht="15.75">
      <c r="B602" s="13" t="s">
        <v>1047</v>
      </c>
      <c r="C602" s="76">
        <v>43550</v>
      </c>
      <c r="D602" s="13" t="s">
        <v>175</v>
      </c>
      <c r="E602" s="13" t="s">
        <v>134</v>
      </c>
      <c r="F602" s="13" t="s">
        <v>414</v>
      </c>
      <c r="G602" s="13" t="s">
        <v>415</v>
      </c>
      <c r="H602" s="13" t="s">
        <v>446</v>
      </c>
      <c r="I602" s="13" t="str">
        <f t="shared" si="9"/>
        <v>Health and beauty</v>
      </c>
      <c r="J602" s="13">
        <v>27.73</v>
      </c>
      <c r="K602" s="13">
        <v>29.116500000000002</v>
      </c>
      <c r="L602" s="13">
        <v>5</v>
      </c>
      <c r="M602" s="13" t="s">
        <v>433</v>
      </c>
      <c r="N602" s="13">
        <v>4.2</v>
      </c>
      <c r="O602" s="13">
        <f>(CATEGORIZATION!$K602-CATEGORIZATION!$J602)</f>
        <v>1.3865000000000016</v>
      </c>
    </row>
    <row r="603" spans="2:15" ht="15.75">
      <c r="B603" s="13" t="s">
        <v>1048</v>
      </c>
      <c r="C603" s="76">
        <v>43493</v>
      </c>
      <c r="D603" s="13" t="s">
        <v>175</v>
      </c>
      <c r="E603" s="13" t="s">
        <v>134</v>
      </c>
      <c r="F603" s="13" t="s">
        <v>420</v>
      </c>
      <c r="G603" s="13" t="s">
        <v>494</v>
      </c>
      <c r="H603" s="13" t="s">
        <v>920</v>
      </c>
      <c r="I603" s="13" t="str">
        <f t="shared" si="9"/>
        <v>Food and beverages</v>
      </c>
      <c r="J603" s="13">
        <v>11.53</v>
      </c>
      <c r="K603" s="13">
        <v>12.1065</v>
      </c>
      <c r="L603" s="13">
        <v>7</v>
      </c>
      <c r="M603" s="13" t="s">
        <v>422</v>
      </c>
      <c r="N603" s="13">
        <v>8.1</v>
      </c>
      <c r="O603" s="13">
        <f>(CATEGORIZATION!$K603-CATEGORIZATION!$J603)</f>
        <v>0.57650000000000112</v>
      </c>
    </row>
    <row r="604" spans="2:15" ht="15.75">
      <c r="B604" s="13" t="s">
        <v>1049</v>
      </c>
      <c r="C604" s="76">
        <v>43510</v>
      </c>
      <c r="D604" s="13" t="s">
        <v>419</v>
      </c>
      <c r="E604" s="13" t="s">
        <v>131</v>
      </c>
      <c r="F604" s="13" t="s">
        <v>420</v>
      </c>
      <c r="G604" s="13" t="s">
        <v>415</v>
      </c>
      <c r="H604" s="13" t="s">
        <v>442</v>
      </c>
      <c r="I604" s="13" t="str">
        <f t="shared" si="9"/>
        <v>Health and beauty</v>
      </c>
      <c r="J604" s="13">
        <v>58.32</v>
      </c>
      <c r="K604" s="13">
        <v>61.235999999999997</v>
      </c>
      <c r="L604" s="13">
        <v>2</v>
      </c>
      <c r="M604" s="13" t="s">
        <v>417</v>
      </c>
      <c r="N604" s="13">
        <v>6</v>
      </c>
      <c r="O604" s="13">
        <f>(CATEGORIZATION!$K604-CATEGORIZATION!$J604)</f>
        <v>2.9159999999999968</v>
      </c>
    </row>
    <row r="605" spans="2:15" ht="15.75">
      <c r="B605" s="13" t="s">
        <v>1050</v>
      </c>
      <c r="C605" s="76">
        <v>43710</v>
      </c>
      <c r="D605" s="13" t="s">
        <v>419</v>
      </c>
      <c r="E605" s="13" t="s">
        <v>131</v>
      </c>
      <c r="F605" s="13" t="s">
        <v>420</v>
      </c>
      <c r="G605" s="13" t="s">
        <v>494</v>
      </c>
      <c r="H605" s="13" t="s">
        <v>442</v>
      </c>
      <c r="I605" s="13" t="str">
        <f t="shared" si="9"/>
        <v>Health and beauty</v>
      </c>
      <c r="J605" s="13">
        <v>84.61</v>
      </c>
      <c r="K605" s="13">
        <v>88.840499999999992</v>
      </c>
      <c r="L605" s="13">
        <v>10</v>
      </c>
      <c r="M605" s="13" t="s">
        <v>433</v>
      </c>
      <c r="N605" s="13">
        <v>8.8000000000000007</v>
      </c>
      <c r="O605" s="13">
        <f>(CATEGORIZATION!$K605-CATEGORIZATION!$J605)</f>
        <v>4.2304999999999922</v>
      </c>
    </row>
    <row r="606" spans="2:15" ht="15.75">
      <c r="B606" s="13" t="s">
        <v>1051</v>
      </c>
      <c r="C606" s="76">
        <v>43548</v>
      </c>
      <c r="D606" s="13" t="s">
        <v>266</v>
      </c>
      <c r="E606" s="13" t="s">
        <v>135</v>
      </c>
      <c r="F606" s="13" t="s">
        <v>420</v>
      </c>
      <c r="G606" s="13" t="s">
        <v>415</v>
      </c>
      <c r="H606" s="13" t="s">
        <v>424</v>
      </c>
      <c r="I606" s="13" t="str">
        <f t="shared" si="9"/>
        <v>Health and beauty</v>
      </c>
      <c r="J606" s="13">
        <v>82.88</v>
      </c>
      <c r="K606" s="13">
        <v>87.024000000000001</v>
      </c>
      <c r="L606" s="13">
        <v>5</v>
      </c>
      <c r="M606" s="13" t="s">
        <v>433</v>
      </c>
      <c r="N606" s="13">
        <v>6.6</v>
      </c>
      <c r="O606" s="13">
        <f>(CATEGORIZATION!$K606-CATEGORIZATION!$J606)</f>
        <v>4.1440000000000055</v>
      </c>
    </row>
    <row r="607" spans="2:15" ht="15.75">
      <c r="B607" s="13" t="s">
        <v>1052</v>
      </c>
      <c r="C607" s="76">
        <v>43551</v>
      </c>
      <c r="D607" s="13" t="s">
        <v>175</v>
      </c>
      <c r="E607" s="13" t="s">
        <v>134</v>
      </c>
      <c r="F607" s="13" t="s">
        <v>414</v>
      </c>
      <c r="G607" s="13" t="s">
        <v>415</v>
      </c>
      <c r="H607" s="13" t="s">
        <v>476</v>
      </c>
      <c r="I607" s="13" t="str">
        <f t="shared" si="9"/>
        <v>Food and beverages</v>
      </c>
      <c r="J607" s="13">
        <v>79.540000000000006</v>
      </c>
      <c r="K607" s="13">
        <v>83.516999999999996</v>
      </c>
      <c r="L607" s="13">
        <v>2</v>
      </c>
      <c r="M607" s="13" t="s">
        <v>417</v>
      </c>
      <c r="N607" s="13">
        <v>6.2</v>
      </c>
      <c r="O607" s="13">
        <f>(CATEGORIZATION!$K607-CATEGORIZATION!$J607)</f>
        <v>3.9769999999999897</v>
      </c>
    </row>
    <row r="608" spans="2:15" ht="15.75">
      <c r="B608" s="13" t="s">
        <v>1053</v>
      </c>
      <c r="C608" s="76">
        <v>43551</v>
      </c>
      <c r="D608" s="13" t="s">
        <v>266</v>
      </c>
      <c r="E608" s="13" t="s">
        <v>135</v>
      </c>
      <c r="F608" s="13" t="s">
        <v>414</v>
      </c>
      <c r="G608" s="13" t="s">
        <v>415</v>
      </c>
      <c r="H608" s="13" t="s">
        <v>476</v>
      </c>
      <c r="I608" s="13" t="str">
        <f t="shared" si="9"/>
        <v>Food and beverages</v>
      </c>
      <c r="J608" s="13">
        <v>29.15</v>
      </c>
      <c r="K608" s="13">
        <v>30.607500000000002</v>
      </c>
      <c r="L608" s="13">
        <v>3</v>
      </c>
      <c r="M608" s="13" t="s">
        <v>433</v>
      </c>
      <c r="N608" s="13">
        <v>7.3</v>
      </c>
      <c r="O608" s="13">
        <f>(CATEGORIZATION!$K608-CATEGORIZATION!$J608)</f>
        <v>1.4575000000000031</v>
      </c>
    </row>
    <row r="609" spans="2:15" ht="15.75">
      <c r="B609" s="13" t="s">
        <v>1054</v>
      </c>
      <c r="C609" s="76">
        <v>43484</v>
      </c>
      <c r="D609" s="13" t="s">
        <v>419</v>
      </c>
      <c r="E609" s="13" t="s">
        <v>131</v>
      </c>
      <c r="F609" s="13" t="s">
        <v>420</v>
      </c>
      <c r="G609" s="13" t="s">
        <v>415</v>
      </c>
      <c r="H609" s="13" t="s">
        <v>421</v>
      </c>
      <c r="I609" s="13" t="str">
        <f t="shared" si="9"/>
        <v>Electronic accessories</v>
      </c>
      <c r="J609" s="13">
        <v>56.13</v>
      </c>
      <c r="K609" s="13">
        <v>58.936500000000002</v>
      </c>
      <c r="L609" s="13">
        <v>4</v>
      </c>
      <c r="M609" s="13" t="s">
        <v>417</v>
      </c>
      <c r="N609" s="13">
        <v>8.6</v>
      </c>
      <c r="O609" s="13">
        <f>(CATEGORIZATION!$K609-CATEGORIZATION!$J609)</f>
        <v>2.8064999999999998</v>
      </c>
    </row>
    <row r="610" spans="2:15" ht="15.75">
      <c r="B610" s="13" t="s">
        <v>1055</v>
      </c>
      <c r="C610" s="76">
        <v>43521</v>
      </c>
      <c r="D610" s="13" t="s">
        <v>175</v>
      </c>
      <c r="E610" s="13" t="s">
        <v>134</v>
      </c>
      <c r="F610" s="13" t="s">
        <v>414</v>
      </c>
      <c r="G610" s="13" t="s">
        <v>415</v>
      </c>
      <c r="H610" s="13" t="s">
        <v>476</v>
      </c>
      <c r="I610" s="13" t="str">
        <f t="shared" si="9"/>
        <v>Food and beverages</v>
      </c>
      <c r="J610" s="13">
        <v>99.6</v>
      </c>
      <c r="K610" s="13">
        <v>104.58</v>
      </c>
      <c r="L610" s="13">
        <v>3</v>
      </c>
      <c r="M610" s="13" t="s">
        <v>422</v>
      </c>
      <c r="N610" s="13">
        <v>5.8</v>
      </c>
      <c r="O610" s="13">
        <f>(CATEGORIZATION!$K610-CATEGORIZATION!$J610)</f>
        <v>4.980000000000004</v>
      </c>
    </row>
    <row r="611" spans="2:15" ht="15.75">
      <c r="B611" s="13" t="s">
        <v>1056</v>
      </c>
      <c r="C611" s="76">
        <v>43498</v>
      </c>
      <c r="D611" s="13" t="s">
        <v>419</v>
      </c>
      <c r="E611" s="13" t="s">
        <v>131</v>
      </c>
      <c r="F611" s="13" t="s">
        <v>420</v>
      </c>
      <c r="G611" s="13" t="s">
        <v>415</v>
      </c>
      <c r="H611" s="13" t="s">
        <v>421</v>
      </c>
      <c r="I611" s="13" t="str">
        <f t="shared" si="9"/>
        <v>Electronic accessories</v>
      </c>
      <c r="J611" s="13">
        <v>35.49</v>
      </c>
      <c r="K611" s="13">
        <v>37.264499999999998</v>
      </c>
      <c r="L611" s="13">
        <v>6</v>
      </c>
      <c r="M611" s="13" t="s">
        <v>422</v>
      </c>
      <c r="N611" s="13">
        <v>4.0999999999999996</v>
      </c>
      <c r="O611" s="13">
        <f>(CATEGORIZATION!$K611-CATEGORIZATION!$J611)</f>
        <v>1.7744999999999962</v>
      </c>
    </row>
    <row r="612" spans="2:15" ht="15.75">
      <c r="B612" s="13" t="s">
        <v>1057</v>
      </c>
      <c r="C612" s="76">
        <v>43538</v>
      </c>
      <c r="D612" s="13" t="s">
        <v>419</v>
      </c>
      <c r="E612" s="13" t="s">
        <v>131</v>
      </c>
      <c r="F612" s="13" t="s">
        <v>414</v>
      </c>
      <c r="G612" s="13" t="s">
        <v>494</v>
      </c>
      <c r="H612" s="13" t="s">
        <v>444</v>
      </c>
      <c r="I612" s="13" t="str">
        <f t="shared" si="9"/>
        <v>Sports</v>
      </c>
      <c r="J612" s="13">
        <v>42.85</v>
      </c>
      <c r="K612" s="13">
        <v>44.9925</v>
      </c>
      <c r="L612" s="13">
        <v>1</v>
      </c>
      <c r="M612" s="13" t="s">
        <v>433</v>
      </c>
      <c r="N612" s="13">
        <v>9.3000000000000007</v>
      </c>
      <c r="O612" s="13">
        <f>(CATEGORIZATION!$K612-CATEGORIZATION!$J612)</f>
        <v>2.1424999999999983</v>
      </c>
    </row>
    <row r="613" spans="2:15" ht="15.75">
      <c r="B613" s="13" t="s">
        <v>1058</v>
      </c>
      <c r="C613" s="76">
        <v>43499</v>
      </c>
      <c r="D613" s="13" t="s">
        <v>266</v>
      </c>
      <c r="E613" s="13" t="s">
        <v>135</v>
      </c>
      <c r="F613" s="13" t="s">
        <v>414</v>
      </c>
      <c r="G613" s="13" t="s">
        <v>415</v>
      </c>
      <c r="H613" s="13" t="s">
        <v>430</v>
      </c>
      <c r="I613" s="13" t="str">
        <f t="shared" si="9"/>
        <v>Electronic accessories</v>
      </c>
      <c r="J613" s="13">
        <v>26.26</v>
      </c>
      <c r="K613" s="13">
        <v>27.572999999999997</v>
      </c>
      <c r="L613" s="13">
        <v>3</v>
      </c>
      <c r="M613" s="13" t="s">
        <v>417</v>
      </c>
      <c r="N613" s="13">
        <v>6.3</v>
      </c>
      <c r="O613" s="13">
        <f>(CATEGORIZATION!$K613-CATEGORIZATION!$J613)</f>
        <v>1.3129999999999953</v>
      </c>
    </row>
    <row r="614" spans="2:15" ht="15.75">
      <c r="B614" s="13" t="s">
        <v>1059</v>
      </c>
      <c r="C614" s="76">
        <v>43739</v>
      </c>
      <c r="D614" s="13" t="s">
        <v>419</v>
      </c>
      <c r="E614" s="13" t="s">
        <v>131</v>
      </c>
      <c r="F614" s="13" t="s">
        <v>420</v>
      </c>
      <c r="G614" s="13" t="s">
        <v>415</v>
      </c>
      <c r="H614" s="13" t="s">
        <v>444</v>
      </c>
      <c r="I614" s="13" t="str">
        <f t="shared" si="9"/>
        <v>Sports</v>
      </c>
      <c r="J614" s="13">
        <v>83.14</v>
      </c>
      <c r="K614" s="13">
        <v>87.296999999999997</v>
      </c>
      <c r="L614" s="13">
        <v>7</v>
      </c>
      <c r="M614" s="13" t="s">
        <v>433</v>
      </c>
      <c r="N614" s="13">
        <v>6.6</v>
      </c>
      <c r="O614" s="13">
        <f>(CATEGORIZATION!$K614-CATEGORIZATION!$J614)</f>
        <v>4.1569999999999965</v>
      </c>
    </row>
    <row r="615" spans="2:15" ht="15.75">
      <c r="B615" s="13" t="s">
        <v>1060</v>
      </c>
      <c r="C615" s="76">
        <v>43538</v>
      </c>
      <c r="D615" s="13" t="s">
        <v>419</v>
      </c>
      <c r="E615" s="13" t="s">
        <v>131</v>
      </c>
      <c r="F615" s="13" t="s">
        <v>414</v>
      </c>
      <c r="G615" s="13" t="s">
        <v>415</v>
      </c>
      <c r="H615" s="13" t="s">
        <v>444</v>
      </c>
      <c r="I615" s="13" t="str">
        <f t="shared" si="9"/>
        <v>Sports</v>
      </c>
      <c r="J615" s="13">
        <v>35.22</v>
      </c>
      <c r="K615" s="13">
        <v>36.981000000000002</v>
      </c>
      <c r="L615" s="13">
        <v>6</v>
      </c>
      <c r="M615" s="13" t="s">
        <v>417</v>
      </c>
      <c r="N615" s="13">
        <v>6.5</v>
      </c>
      <c r="O615" s="13">
        <f>(CATEGORIZATION!$K615-CATEGORIZATION!$J615)</f>
        <v>1.7610000000000028</v>
      </c>
    </row>
    <row r="616" spans="2:15" ht="15.75">
      <c r="B616" s="13" t="s">
        <v>1061</v>
      </c>
      <c r="C616" s="76">
        <v>43739</v>
      </c>
      <c r="D616" s="13" t="s">
        <v>266</v>
      </c>
      <c r="E616" s="13" t="s">
        <v>135</v>
      </c>
      <c r="F616" s="13" t="s">
        <v>420</v>
      </c>
      <c r="G616" s="13" t="s">
        <v>415</v>
      </c>
      <c r="H616" s="13" t="s">
        <v>421</v>
      </c>
      <c r="I616" s="13" t="str">
        <f t="shared" si="9"/>
        <v>Electronic accessories</v>
      </c>
      <c r="J616" s="13">
        <v>13.78</v>
      </c>
      <c r="K616" s="13">
        <v>14.468999999999999</v>
      </c>
      <c r="L616" s="13">
        <v>4</v>
      </c>
      <c r="M616" s="13" t="s">
        <v>417</v>
      </c>
      <c r="N616" s="13">
        <v>9</v>
      </c>
      <c r="O616" s="13">
        <f>(CATEGORIZATION!$K616-CATEGORIZATION!$J616)</f>
        <v>0.68900000000000006</v>
      </c>
    </row>
    <row r="617" spans="2:15" ht="15.75">
      <c r="B617" s="13" t="s">
        <v>1062</v>
      </c>
      <c r="C617" s="76">
        <v>43511</v>
      </c>
      <c r="D617" s="13" t="s">
        <v>266</v>
      </c>
      <c r="E617" s="13" t="s">
        <v>135</v>
      </c>
      <c r="F617" s="13" t="s">
        <v>414</v>
      </c>
      <c r="G617" s="13" t="s">
        <v>494</v>
      </c>
      <c r="H617" s="13" t="s">
        <v>444</v>
      </c>
      <c r="I617" s="13" t="str">
        <f t="shared" si="9"/>
        <v>Sports</v>
      </c>
      <c r="J617" s="13">
        <v>88.31</v>
      </c>
      <c r="K617" s="13">
        <v>92.725499999999997</v>
      </c>
      <c r="L617" s="13">
        <v>1</v>
      </c>
      <c r="M617" s="13" t="s">
        <v>433</v>
      </c>
      <c r="N617" s="13">
        <v>5.2</v>
      </c>
      <c r="O617" s="13">
        <f>(CATEGORIZATION!$K617-CATEGORIZATION!$J617)</f>
        <v>4.4154999999999944</v>
      </c>
    </row>
    <row r="618" spans="2:15" ht="15.75">
      <c r="B618" s="13" t="s">
        <v>1063</v>
      </c>
      <c r="C618" s="76">
        <v>43478</v>
      </c>
      <c r="D618" s="13" t="s">
        <v>175</v>
      </c>
      <c r="E618" s="13" t="s">
        <v>134</v>
      </c>
      <c r="F618" s="13" t="s">
        <v>414</v>
      </c>
      <c r="G618" s="13" t="s">
        <v>415</v>
      </c>
      <c r="H618" s="13" t="s">
        <v>442</v>
      </c>
      <c r="I618" s="13" t="str">
        <f t="shared" si="9"/>
        <v>Health and beauty</v>
      </c>
      <c r="J618" s="13">
        <v>39.619999999999997</v>
      </c>
      <c r="K618" s="13">
        <v>41.600999999999999</v>
      </c>
      <c r="L618" s="13">
        <v>9</v>
      </c>
      <c r="M618" s="13" t="s">
        <v>433</v>
      </c>
      <c r="N618" s="13">
        <v>6.8</v>
      </c>
      <c r="O618" s="13">
        <f>(CATEGORIZATION!$K618-CATEGORIZATION!$J618)</f>
        <v>1.9810000000000016</v>
      </c>
    </row>
    <row r="619" spans="2:15" ht="15.75">
      <c r="B619" s="13" t="s">
        <v>1064</v>
      </c>
      <c r="C619" s="76">
        <v>43511</v>
      </c>
      <c r="D619" s="13" t="s">
        <v>266</v>
      </c>
      <c r="E619" s="13" t="s">
        <v>135</v>
      </c>
      <c r="F619" s="13" t="s">
        <v>420</v>
      </c>
      <c r="G619" s="13" t="s">
        <v>415</v>
      </c>
      <c r="H619" s="13" t="s">
        <v>499</v>
      </c>
      <c r="I619" s="13" t="str">
        <f t="shared" si="9"/>
        <v>Electronic accessories</v>
      </c>
      <c r="J619" s="13">
        <v>88.25</v>
      </c>
      <c r="K619" s="13">
        <v>92.662499999999994</v>
      </c>
      <c r="L619" s="13">
        <v>9</v>
      </c>
      <c r="M619" s="13" t="s">
        <v>433</v>
      </c>
      <c r="N619" s="13">
        <v>7.6</v>
      </c>
      <c r="O619" s="13">
        <f>(CATEGORIZATION!$K619-CATEGORIZATION!$J619)</f>
        <v>4.4124999999999943</v>
      </c>
    </row>
    <row r="620" spans="2:15" ht="15.75">
      <c r="B620" s="13" t="s">
        <v>1065</v>
      </c>
      <c r="C620" s="76">
        <v>43499</v>
      </c>
      <c r="D620" s="13" t="s">
        <v>266</v>
      </c>
      <c r="E620" s="13" t="s">
        <v>135</v>
      </c>
      <c r="F620" s="13" t="s">
        <v>420</v>
      </c>
      <c r="G620" s="13" t="s">
        <v>494</v>
      </c>
      <c r="H620" s="13" t="s">
        <v>444</v>
      </c>
      <c r="I620" s="13" t="str">
        <f t="shared" si="9"/>
        <v>Sports</v>
      </c>
      <c r="J620" s="13">
        <v>25.31</v>
      </c>
      <c r="K620" s="13">
        <v>26.575500000000002</v>
      </c>
      <c r="L620" s="13">
        <v>2</v>
      </c>
      <c r="M620" s="13" t="s">
        <v>417</v>
      </c>
      <c r="N620" s="13">
        <v>7.2</v>
      </c>
      <c r="O620" s="13">
        <f>(CATEGORIZATION!$K620-CATEGORIZATION!$J620)</f>
        <v>1.265500000000003</v>
      </c>
    </row>
    <row r="621" spans="2:15" ht="15.75">
      <c r="B621" s="13" t="s">
        <v>1066</v>
      </c>
      <c r="C621" s="76">
        <v>43523</v>
      </c>
      <c r="D621" s="13" t="s">
        <v>175</v>
      </c>
      <c r="E621" s="13" t="s">
        <v>134</v>
      </c>
      <c r="F621" s="13" t="s">
        <v>420</v>
      </c>
      <c r="G621" s="13" t="s">
        <v>415</v>
      </c>
      <c r="H621" s="13" t="s">
        <v>476</v>
      </c>
      <c r="I621" s="13" t="str">
        <f t="shared" si="9"/>
        <v>Food and beverages</v>
      </c>
      <c r="J621" s="13">
        <v>74.44</v>
      </c>
      <c r="K621" s="13">
        <v>78.162000000000006</v>
      </c>
      <c r="L621" s="13">
        <v>10</v>
      </c>
      <c r="M621" s="13" t="s">
        <v>417</v>
      </c>
      <c r="N621" s="13">
        <v>5.0999999999999996</v>
      </c>
      <c r="O621" s="13">
        <f>(CATEGORIZATION!$K621-CATEGORIZATION!$J621)</f>
        <v>3.7220000000000084</v>
      </c>
    </row>
    <row r="622" spans="2:15" ht="15.75">
      <c r="B622" s="13" t="s">
        <v>1067</v>
      </c>
      <c r="C622" s="76">
        <v>43485</v>
      </c>
      <c r="D622" s="13" t="s">
        <v>419</v>
      </c>
      <c r="E622" s="13" t="s">
        <v>131</v>
      </c>
      <c r="F622" s="13" t="s">
        <v>420</v>
      </c>
      <c r="G622" s="13" t="s">
        <v>494</v>
      </c>
      <c r="H622" s="13" t="s">
        <v>424</v>
      </c>
      <c r="I622" s="13" t="str">
        <f t="shared" si="9"/>
        <v>Health and beauty</v>
      </c>
      <c r="J622" s="13">
        <v>64.08</v>
      </c>
      <c r="K622" s="13">
        <v>67.284000000000006</v>
      </c>
      <c r="L622" s="13">
        <v>7</v>
      </c>
      <c r="M622" s="13" t="s">
        <v>417</v>
      </c>
      <c r="N622" s="13">
        <v>7.6</v>
      </c>
      <c r="O622" s="13">
        <f>(CATEGORIZATION!$K622-CATEGORIZATION!$J622)</f>
        <v>3.2040000000000077</v>
      </c>
    </row>
    <row r="623" spans="2:15" ht="15.75">
      <c r="B623" s="13" t="s">
        <v>1068</v>
      </c>
      <c r="C623" s="76">
        <v>43586</v>
      </c>
      <c r="D623" s="13" t="s">
        <v>419</v>
      </c>
      <c r="E623" s="13" t="s">
        <v>131</v>
      </c>
      <c r="F623" s="13" t="s">
        <v>420</v>
      </c>
      <c r="G623" s="13" t="s">
        <v>415</v>
      </c>
      <c r="H623" s="13" t="s">
        <v>442</v>
      </c>
      <c r="I623" s="13" t="str">
        <f t="shared" si="9"/>
        <v>Health and beauty</v>
      </c>
      <c r="J623" s="13">
        <v>78.89</v>
      </c>
      <c r="K623" s="13">
        <v>82.834500000000006</v>
      </c>
      <c r="L623" s="13">
        <v>7</v>
      </c>
      <c r="M623" s="13" t="s">
        <v>417</v>
      </c>
      <c r="N623" s="13">
        <v>7.5</v>
      </c>
      <c r="O623" s="13">
        <f>(CATEGORIZATION!$K623-CATEGORIZATION!$J623)</f>
        <v>3.944500000000005</v>
      </c>
    </row>
    <row r="624" spans="2:15" ht="15.75">
      <c r="B624" s="13" t="s">
        <v>1069</v>
      </c>
      <c r="C624" s="76">
        <v>43554</v>
      </c>
      <c r="D624" s="13" t="s">
        <v>175</v>
      </c>
      <c r="E624" s="13" t="s">
        <v>134</v>
      </c>
      <c r="F624" s="13" t="s">
        <v>420</v>
      </c>
      <c r="G624" s="13" t="s">
        <v>415</v>
      </c>
      <c r="H624" s="13" t="s">
        <v>444</v>
      </c>
      <c r="I624" s="13" t="str">
        <f t="shared" si="9"/>
        <v>Sports</v>
      </c>
      <c r="J624" s="13">
        <v>89.48</v>
      </c>
      <c r="K624" s="13">
        <v>93.953999999999994</v>
      </c>
      <c r="L624" s="13">
        <v>5</v>
      </c>
      <c r="M624" s="13" t="s">
        <v>422</v>
      </c>
      <c r="N624" s="13">
        <v>7.4</v>
      </c>
      <c r="O624" s="13">
        <f>(CATEGORIZATION!$K624-CATEGORIZATION!$J624)</f>
        <v>4.4739999999999895</v>
      </c>
    </row>
    <row r="625" spans="2:15" ht="15.75">
      <c r="B625" s="13" t="s">
        <v>1070</v>
      </c>
      <c r="C625" s="76">
        <v>43513</v>
      </c>
      <c r="D625" s="13" t="s">
        <v>175</v>
      </c>
      <c r="E625" s="13" t="s">
        <v>134</v>
      </c>
      <c r="F625" s="13" t="s">
        <v>414</v>
      </c>
      <c r="G625" s="13" t="s">
        <v>415</v>
      </c>
      <c r="H625" s="13" t="s">
        <v>442</v>
      </c>
      <c r="I625" s="13" t="str">
        <f t="shared" si="9"/>
        <v>Health and beauty</v>
      </c>
      <c r="J625" s="13">
        <v>92.09</v>
      </c>
      <c r="K625" s="13">
        <v>96.694500000000005</v>
      </c>
      <c r="L625" s="13">
        <v>3</v>
      </c>
      <c r="M625" s="13" t="s">
        <v>422</v>
      </c>
      <c r="N625" s="13">
        <v>4.2</v>
      </c>
      <c r="O625" s="13">
        <f>(CATEGORIZATION!$K625-CATEGORIZATION!$J625)</f>
        <v>4.6045000000000016</v>
      </c>
    </row>
    <row r="626" spans="2:15" ht="15.75">
      <c r="B626" s="13" t="s">
        <v>1071</v>
      </c>
      <c r="C626" s="76">
        <v>43545</v>
      </c>
      <c r="D626" s="13" t="s">
        <v>419</v>
      </c>
      <c r="E626" s="13" t="s">
        <v>131</v>
      </c>
      <c r="F626" s="13" t="s">
        <v>420</v>
      </c>
      <c r="G626" s="13" t="s">
        <v>415</v>
      </c>
      <c r="H626" s="13" t="s">
        <v>476</v>
      </c>
      <c r="I626" s="13" t="str">
        <f t="shared" si="9"/>
        <v>Food and beverages</v>
      </c>
      <c r="J626" s="13">
        <v>57.29</v>
      </c>
      <c r="K626" s="13">
        <v>60.154500000000006</v>
      </c>
      <c r="L626" s="13">
        <v>6</v>
      </c>
      <c r="M626" s="13" t="s">
        <v>417</v>
      </c>
      <c r="N626" s="13">
        <v>5.9</v>
      </c>
      <c r="O626" s="13">
        <f>(CATEGORIZATION!$K626-CATEGORIZATION!$J626)</f>
        <v>2.8645000000000067</v>
      </c>
    </row>
    <row r="627" spans="2:15" ht="15.75">
      <c r="B627" s="13" t="s">
        <v>1072</v>
      </c>
      <c r="C627" s="76">
        <v>43499</v>
      </c>
      <c r="D627" s="13" t="s">
        <v>175</v>
      </c>
      <c r="E627" s="13" t="s">
        <v>134</v>
      </c>
      <c r="F627" s="13" t="s">
        <v>420</v>
      </c>
      <c r="G627" s="13" t="s">
        <v>494</v>
      </c>
      <c r="H627" s="13" t="s">
        <v>476</v>
      </c>
      <c r="I627" s="13" t="str">
        <f t="shared" si="9"/>
        <v>Food and beverages</v>
      </c>
      <c r="J627" s="13">
        <v>66.52</v>
      </c>
      <c r="K627" s="13">
        <v>69.846000000000004</v>
      </c>
      <c r="L627" s="13">
        <v>4</v>
      </c>
      <c r="M627" s="13" t="s">
        <v>417</v>
      </c>
      <c r="N627" s="13">
        <v>6.9</v>
      </c>
      <c r="O627" s="13">
        <f>(CATEGORIZATION!$K627-CATEGORIZATION!$J627)</f>
        <v>3.3260000000000076</v>
      </c>
    </row>
    <row r="628" spans="2:15" ht="15.75">
      <c r="B628" s="13" t="s">
        <v>1073</v>
      </c>
      <c r="C628" s="76">
        <v>43515</v>
      </c>
      <c r="D628" s="13" t="s">
        <v>175</v>
      </c>
      <c r="E628" s="13" t="s">
        <v>134</v>
      </c>
      <c r="F628" s="13" t="s">
        <v>420</v>
      </c>
      <c r="G628" s="13" t="s">
        <v>494</v>
      </c>
      <c r="H628" s="13" t="s">
        <v>424</v>
      </c>
      <c r="I628" s="13" t="str">
        <f t="shared" si="9"/>
        <v>Health and beauty</v>
      </c>
      <c r="J628" s="13">
        <v>50.79</v>
      </c>
      <c r="K628" s="13">
        <v>53.329499999999996</v>
      </c>
      <c r="L628" s="13">
        <v>5</v>
      </c>
      <c r="M628" s="13" t="s">
        <v>433</v>
      </c>
      <c r="N628" s="13">
        <v>5.3</v>
      </c>
      <c r="O628" s="13">
        <f>(CATEGORIZATION!$K628-CATEGORIZATION!$J628)</f>
        <v>2.5394999999999968</v>
      </c>
    </row>
    <row r="629" spans="2:15" ht="15.75">
      <c r="B629" s="13" t="s">
        <v>1074</v>
      </c>
      <c r="C629" s="76">
        <v>43552</v>
      </c>
      <c r="D629" s="13" t="s">
        <v>175</v>
      </c>
      <c r="E629" s="13" t="s">
        <v>134</v>
      </c>
      <c r="F629" s="13" t="s">
        <v>414</v>
      </c>
      <c r="G629" s="13" t="s">
        <v>494</v>
      </c>
      <c r="H629" s="13" t="s">
        <v>446</v>
      </c>
      <c r="I629" s="13" t="str">
        <f t="shared" si="9"/>
        <v>Health and beauty</v>
      </c>
      <c r="J629" s="13">
        <v>10.08</v>
      </c>
      <c r="K629" s="13">
        <v>10.584</v>
      </c>
      <c r="L629" s="13">
        <v>7</v>
      </c>
      <c r="M629" s="13" t="s">
        <v>422</v>
      </c>
      <c r="N629" s="13">
        <v>4.2</v>
      </c>
      <c r="O629" s="13">
        <f>(CATEGORIZATION!$K629-CATEGORIZATION!$J629)</f>
        <v>0.50399999999999956</v>
      </c>
    </row>
    <row r="630" spans="2:15" ht="15.75">
      <c r="B630" s="13" t="s">
        <v>1075</v>
      </c>
      <c r="C630" s="76">
        <v>43586</v>
      </c>
      <c r="D630" s="13" t="s">
        <v>175</v>
      </c>
      <c r="E630" s="13" t="s">
        <v>134</v>
      </c>
      <c r="F630" s="13" t="s">
        <v>420</v>
      </c>
      <c r="G630" s="13" t="s">
        <v>415</v>
      </c>
      <c r="H630" s="13" t="s">
        <v>421</v>
      </c>
      <c r="I630" s="13" t="str">
        <f t="shared" si="9"/>
        <v>Electronic accessories</v>
      </c>
      <c r="J630" s="13">
        <v>93.88</v>
      </c>
      <c r="K630" s="13">
        <v>98.573999999999998</v>
      </c>
      <c r="L630" s="13">
        <v>7</v>
      </c>
      <c r="M630" s="13" t="s">
        <v>433</v>
      </c>
      <c r="N630" s="13">
        <v>7.3</v>
      </c>
      <c r="O630" s="13">
        <f>(CATEGORIZATION!$K630-CATEGORIZATION!$J630)</f>
        <v>4.6940000000000026</v>
      </c>
    </row>
    <row r="631" spans="2:15" ht="15.75">
      <c r="B631" s="13" t="s">
        <v>1076</v>
      </c>
      <c r="C631" s="76">
        <v>43550</v>
      </c>
      <c r="D631" s="13" t="s">
        <v>419</v>
      </c>
      <c r="E631" s="13" t="s">
        <v>131</v>
      </c>
      <c r="F631" s="13" t="s">
        <v>414</v>
      </c>
      <c r="G631" s="13" t="s">
        <v>494</v>
      </c>
      <c r="H631" s="13" t="s">
        <v>421</v>
      </c>
      <c r="I631" s="13" t="str">
        <f t="shared" si="9"/>
        <v>Electronic accessories</v>
      </c>
      <c r="J631" s="13">
        <v>84.25</v>
      </c>
      <c r="K631" s="13">
        <v>88.462500000000006</v>
      </c>
      <c r="L631" s="13">
        <v>2</v>
      </c>
      <c r="M631" s="13" t="s">
        <v>433</v>
      </c>
      <c r="N631" s="13">
        <v>5.3</v>
      </c>
      <c r="O631" s="13">
        <f>(CATEGORIZATION!$K631-CATEGORIZATION!$J631)</f>
        <v>4.2125000000000057</v>
      </c>
    </row>
    <row r="632" spans="2:15" ht="15.75">
      <c r="B632" s="13" t="s">
        <v>1077</v>
      </c>
      <c r="C632" s="76">
        <v>43520</v>
      </c>
      <c r="D632" s="13" t="s">
        <v>266</v>
      </c>
      <c r="E632" s="13" t="s">
        <v>135</v>
      </c>
      <c r="F632" s="13" t="s">
        <v>420</v>
      </c>
      <c r="G632" s="13" t="s">
        <v>415</v>
      </c>
      <c r="H632" s="13" t="s">
        <v>476</v>
      </c>
      <c r="I632" s="13" t="str">
        <f t="shared" si="9"/>
        <v>Food and beverages</v>
      </c>
      <c r="J632" s="13">
        <v>26.43</v>
      </c>
      <c r="K632" s="13">
        <v>27.7515</v>
      </c>
      <c r="L632" s="13">
        <v>8</v>
      </c>
      <c r="M632" s="13" t="s">
        <v>417</v>
      </c>
      <c r="N632" s="13">
        <v>8.9</v>
      </c>
      <c r="O632" s="13">
        <f>(CATEGORIZATION!$K632-CATEGORIZATION!$J632)</f>
        <v>1.3215000000000003</v>
      </c>
    </row>
    <row r="633" spans="2:15" ht="15.75">
      <c r="B633" s="13" t="s">
        <v>1078</v>
      </c>
      <c r="C633" s="76">
        <v>43517</v>
      </c>
      <c r="D633" s="13" t="s">
        <v>266</v>
      </c>
      <c r="E633" s="13" t="s">
        <v>135</v>
      </c>
      <c r="F633" s="13" t="s">
        <v>414</v>
      </c>
      <c r="G633" s="13" t="s">
        <v>494</v>
      </c>
      <c r="H633" s="13" t="s">
        <v>465</v>
      </c>
      <c r="I633" s="13" t="str">
        <f t="shared" si="9"/>
        <v>Health and beauty</v>
      </c>
      <c r="J633" s="13">
        <v>39.909999999999997</v>
      </c>
      <c r="K633" s="13">
        <v>41.905499999999996</v>
      </c>
      <c r="L633" s="13">
        <v>3</v>
      </c>
      <c r="M633" s="13" t="s">
        <v>417</v>
      </c>
      <c r="N633" s="13">
        <v>9.3000000000000007</v>
      </c>
      <c r="O633" s="13">
        <f>(CATEGORIZATION!$K633-CATEGORIZATION!$J633)</f>
        <v>1.9954999999999998</v>
      </c>
    </row>
    <row r="634" spans="2:15" ht="15.75">
      <c r="B634" s="13" t="s">
        <v>1079</v>
      </c>
      <c r="C634" s="76">
        <v>43521</v>
      </c>
      <c r="D634" s="13" t="s">
        <v>266</v>
      </c>
      <c r="E634" s="13" t="s">
        <v>135</v>
      </c>
      <c r="F634" s="13" t="s">
        <v>414</v>
      </c>
      <c r="G634" s="13" t="s">
        <v>415</v>
      </c>
      <c r="H634" s="13" t="s">
        <v>476</v>
      </c>
      <c r="I634" s="13" t="str">
        <f t="shared" si="9"/>
        <v>Food and beverages</v>
      </c>
      <c r="J634" s="13">
        <v>62.85</v>
      </c>
      <c r="K634" s="13">
        <v>65.992500000000007</v>
      </c>
      <c r="L634" s="13">
        <v>4</v>
      </c>
      <c r="M634" s="13" t="s">
        <v>417</v>
      </c>
      <c r="N634" s="13">
        <v>8.6999999999999993</v>
      </c>
      <c r="O634" s="13">
        <f>(CATEGORIZATION!$K634-CATEGORIZATION!$J634)</f>
        <v>3.1425000000000054</v>
      </c>
    </row>
    <row r="635" spans="2:15" ht="15.75">
      <c r="B635" s="13" t="s">
        <v>1080</v>
      </c>
      <c r="C635" s="76">
        <v>43478</v>
      </c>
      <c r="D635" s="13" t="s">
        <v>419</v>
      </c>
      <c r="E635" s="13" t="s">
        <v>131</v>
      </c>
      <c r="F635" s="13" t="s">
        <v>414</v>
      </c>
      <c r="G635" s="13" t="s">
        <v>415</v>
      </c>
      <c r="H635" s="13" t="s">
        <v>476</v>
      </c>
      <c r="I635" s="13" t="str">
        <f t="shared" si="9"/>
        <v>Food and beverages</v>
      </c>
      <c r="J635" s="13">
        <v>21.04</v>
      </c>
      <c r="K635" s="13">
        <v>22.091999999999999</v>
      </c>
      <c r="L635" s="13">
        <v>4</v>
      </c>
      <c r="M635" s="13" t="s">
        <v>422</v>
      </c>
      <c r="N635" s="13">
        <v>7.6</v>
      </c>
      <c r="O635" s="13">
        <f>(CATEGORIZATION!$K635-CATEGORIZATION!$J635)</f>
        <v>1.0519999999999996</v>
      </c>
    </row>
    <row r="636" spans="2:15" ht="15.75">
      <c r="B636" s="13" t="s">
        <v>1081</v>
      </c>
      <c r="C636" s="76">
        <v>43739</v>
      </c>
      <c r="D636" s="13" t="s">
        <v>419</v>
      </c>
      <c r="E636" s="13" t="s">
        <v>131</v>
      </c>
      <c r="F636" s="13" t="s">
        <v>414</v>
      </c>
      <c r="G636" s="13" t="s">
        <v>494</v>
      </c>
      <c r="H636" s="13" t="s">
        <v>476</v>
      </c>
      <c r="I636" s="13" t="str">
        <f t="shared" si="9"/>
        <v>Food and beverages</v>
      </c>
      <c r="J636" s="13">
        <v>50.49</v>
      </c>
      <c r="K636" s="13">
        <v>53.014499999999998</v>
      </c>
      <c r="L636" s="13">
        <v>9</v>
      </c>
      <c r="M636" s="13" t="s">
        <v>422</v>
      </c>
      <c r="N636" s="13">
        <v>5.4</v>
      </c>
      <c r="O636" s="13">
        <f>(CATEGORIZATION!$K636-CATEGORIZATION!$J636)</f>
        <v>2.5244999999999962</v>
      </c>
    </row>
    <row r="637" spans="2:15" ht="15.75">
      <c r="B637" s="13" t="s">
        <v>1082</v>
      </c>
      <c r="C637" s="76">
        <v>43648</v>
      </c>
      <c r="D637" s="13" t="s">
        <v>266</v>
      </c>
      <c r="E637" s="13" t="s">
        <v>135</v>
      </c>
      <c r="F637" s="13" t="s">
        <v>420</v>
      </c>
      <c r="G637" s="13" t="s">
        <v>494</v>
      </c>
      <c r="H637" s="13" t="s">
        <v>421</v>
      </c>
      <c r="I637" s="13" t="str">
        <f t="shared" si="9"/>
        <v>Electronic accessories</v>
      </c>
      <c r="J637" s="13">
        <v>46.02</v>
      </c>
      <c r="K637" s="13">
        <v>48.320999999999998</v>
      </c>
      <c r="L637" s="13">
        <v>6</v>
      </c>
      <c r="M637" s="13" t="s">
        <v>422</v>
      </c>
      <c r="N637" s="13">
        <v>7.1</v>
      </c>
      <c r="O637" s="13">
        <f>(CATEGORIZATION!$K637-CATEGORIZATION!$J637)</f>
        <v>2.3009999999999948</v>
      </c>
    </row>
    <row r="638" spans="2:15" ht="15.75">
      <c r="B638" s="13" t="s">
        <v>1083</v>
      </c>
      <c r="C638" s="76">
        <v>43515</v>
      </c>
      <c r="D638" s="13" t="s">
        <v>175</v>
      </c>
      <c r="E638" s="13" t="s">
        <v>134</v>
      </c>
      <c r="F638" s="13" t="s">
        <v>414</v>
      </c>
      <c r="G638" s="13" t="s">
        <v>415</v>
      </c>
      <c r="H638" s="13" t="s">
        <v>476</v>
      </c>
      <c r="I638" s="13" t="str">
        <f t="shared" si="9"/>
        <v>Food and beverages</v>
      </c>
      <c r="J638" s="13">
        <v>98.66</v>
      </c>
      <c r="K638" s="13">
        <v>103.593</v>
      </c>
      <c r="L638" s="13">
        <v>9</v>
      </c>
      <c r="M638" s="13" t="s">
        <v>422</v>
      </c>
      <c r="N638" s="13">
        <v>8.4</v>
      </c>
      <c r="O638" s="13">
        <f>(CATEGORIZATION!$K638-CATEGORIZATION!$J638)</f>
        <v>4.9330000000000069</v>
      </c>
    </row>
    <row r="639" spans="2:15" ht="15.75">
      <c r="B639" s="13" t="s">
        <v>1084</v>
      </c>
      <c r="C639" s="76">
        <v>43587</v>
      </c>
      <c r="D639" s="13" t="s">
        <v>175</v>
      </c>
      <c r="E639" s="13" t="s">
        <v>134</v>
      </c>
      <c r="F639" s="13" t="s">
        <v>414</v>
      </c>
      <c r="G639" s="13" t="s">
        <v>494</v>
      </c>
      <c r="H639" s="13" t="s">
        <v>421</v>
      </c>
      <c r="I639" s="13" t="str">
        <f t="shared" si="9"/>
        <v>Electronic accessories</v>
      </c>
      <c r="J639" s="13">
        <v>20.89</v>
      </c>
      <c r="K639" s="13">
        <v>21.9345</v>
      </c>
      <c r="L639" s="13">
        <v>2</v>
      </c>
      <c r="M639" s="13" t="s">
        <v>422</v>
      </c>
      <c r="N639" s="13">
        <v>9.8000000000000007</v>
      </c>
      <c r="O639" s="13">
        <f>(CATEGORIZATION!$K639-CATEGORIZATION!$J639)</f>
        <v>1.0444999999999993</v>
      </c>
    </row>
    <row r="640" spans="2:15" ht="15.75">
      <c r="B640" s="13" t="s">
        <v>1085</v>
      </c>
      <c r="C640" s="76">
        <v>43554</v>
      </c>
      <c r="D640" s="13" t="s">
        <v>419</v>
      </c>
      <c r="E640" s="13" t="s">
        <v>131</v>
      </c>
      <c r="F640" s="13" t="s">
        <v>414</v>
      </c>
      <c r="G640" s="13" t="s">
        <v>494</v>
      </c>
      <c r="H640" s="13" t="s">
        <v>421</v>
      </c>
      <c r="I640" s="13" t="str">
        <f t="shared" si="9"/>
        <v>Electronic accessories</v>
      </c>
      <c r="J640" s="13">
        <v>96.82</v>
      </c>
      <c r="K640" s="13">
        <v>101.661</v>
      </c>
      <c r="L640" s="13">
        <v>3</v>
      </c>
      <c r="M640" s="13" t="s">
        <v>422</v>
      </c>
      <c r="N640" s="13">
        <v>6.7</v>
      </c>
      <c r="O640" s="13">
        <f>(CATEGORIZATION!$K640-CATEGORIZATION!$J640)</f>
        <v>4.8410000000000082</v>
      </c>
    </row>
    <row r="641" spans="2:15" ht="15.75">
      <c r="B641" s="13" t="s">
        <v>1086</v>
      </c>
      <c r="C641" s="76">
        <v>43491</v>
      </c>
      <c r="D641" s="13" t="s">
        <v>266</v>
      </c>
      <c r="E641" s="13" t="s">
        <v>135</v>
      </c>
      <c r="F641" s="13" t="s">
        <v>420</v>
      </c>
      <c r="G641" s="13" t="s">
        <v>494</v>
      </c>
      <c r="H641" s="13" t="s">
        <v>476</v>
      </c>
      <c r="I641" s="13" t="str">
        <f t="shared" si="9"/>
        <v>Food and beverages</v>
      </c>
      <c r="J641" s="13">
        <v>33.33</v>
      </c>
      <c r="K641" s="13">
        <v>34.996499999999997</v>
      </c>
      <c r="L641" s="13">
        <v>2</v>
      </c>
      <c r="M641" s="13" t="s">
        <v>433</v>
      </c>
      <c r="N641" s="13">
        <v>6.4</v>
      </c>
      <c r="O641" s="13">
        <f>(CATEGORIZATION!$K641-CATEGORIZATION!$J641)</f>
        <v>1.6664999999999992</v>
      </c>
    </row>
    <row r="642" spans="2:15" ht="15.75">
      <c r="B642" s="13" t="s">
        <v>1087</v>
      </c>
      <c r="C642" s="76">
        <v>43499</v>
      </c>
      <c r="D642" s="13" t="s">
        <v>266</v>
      </c>
      <c r="E642" s="13" t="s">
        <v>135</v>
      </c>
      <c r="F642" s="13" t="s">
        <v>420</v>
      </c>
      <c r="G642" s="13" t="s">
        <v>415</v>
      </c>
      <c r="H642" s="13" t="s">
        <v>430</v>
      </c>
      <c r="I642" s="13" t="str">
        <f t="shared" si="9"/>
        <v>Electronic accessories</v>
      </c>
      <c r="J642" s="13">
        <v>38.270000000000003</v>
      </c>
      <c r="K642" s="13">
        <v>40.183500000000002</v>
      </c>
      <c r="L642" s="13">
        <v>2</v>
      </c>
      <c r="M642" s="13" t="s">
        <v>433</v>
      </c>
      <c r="N642" s="13">
        <v>5.8</v>
      </c>
      <c r="O642" s="13">
        <f>(CATEGORIZATION!$K642-CATEGORIZATION!$J642)</f>
        <v>1.9134999999999991</v>
      </c>
    </row>
    <row r="643" spans="2:15" ht="15.75">
      <c r="B643" s="13" t="s">
        <v>1088</v>
      </c>
      <c r="C643" s="76">
        <v>43549</v>
      </c>
      <c r="D643" s="13" t="s">
        <v>175</v>
      </c>
      <c r="E643" s="13" t="s">
        <v>134</v>
      </c>
      <c r="F643" s="13" t="s">
        <v>420</v>
      </c>
      <c r="G643" s="13" t="s">
        <v>415</v>
      </c>
      <c r="H643" s="13" t="s">
        <v>446</v>
      </c>
      <c r="I643" s="13" t="str">
        <f t="shared" si="9"/>
        <v>Health and beauty</v>
      </c>
      <c r="J643" s="13">
        <v>15.8</v>
      </c>
      <c r="K643" s="13">
        <v>16.59</v>
      </c>
      <c r="L643" s="13">
        <v>3</v>
      </c>
      <c r="M643" s="13" t="s">
        <v>422</v>
      </c>
      <c r="N643" s="13">
        <v>9.5</v>
      </c>
      <c r="O643" s="13">
        <f>(CATEGORIZATION!$K643-CATEGORIZATION!$J643)</f>
        <v>0.78999999999999915</v>
      </c>
    </row>
    <row r="644" spans="2:15" ht="15.75">
      <c r="B644" s="13" t="s">
        <v>1089</v>
      </c>
      <c r="C644" s="76">
        <v>43772</v>
      </c>
      <c r="D644" s="13" t="s">
        <v>266</v>
      </c>
      <c r="E644" s="13" t="s">
        <v>135</v>
      </c>
      <c r="F644" s="13" t="s">
        <v>414</v>
      </c>
      <c r="G644" s="13" t="s">
        <v>415</v>
      </c>
      <c r="H644" s="13" t="s">
        <v>421</v>
      </c>
      <c r="I644" s="13" t="str">
        <f t="shared" ref="I644:I665" si="10">VLOOKUP(H644,$R$5:$S$32,2,FALSE)</f>
        <v>Electronic accessories</v>
      </c>
      <c r="J644" s="13">
        <v>34.49</v>
      </c>
      <c r="K644" s="13">
        <v>36.214500000000001</v>
      </c>
      <c r="L644" s="13">
        <v>5</v>
      </c>
      <c r="M644" s="13" t="s">
        <v>433</v>
      </c>
      <c r="N644" s="13">
        <v>9</v>
      </c>
      <c r="O644" s="13">
        <f>(CATEGORIZATION!$K644-CATEGORIZATION!$J644)</f>
        <v>1.724499999999999</v>
      </c>
    </row>
    <row r="645" spans="2:15" ht="15.75">
      <c r="B645" s="13" t="s">
        <v>1090</v>
      </c>
      <c r="C645" s="76">
        <v>43466</v>
      </c>
      <c r="D645" s="13" t="s">
        <v>266</v>
      </c>
      <c r="E645" s="13" t="s">
        <v>135</v>
      </c>
      <c r="F645" s="13" t="s">
        <v>414</v>
      </c>
      <c r="G645" s="13" t="s">
        <v>415</v>
      </c>
      <c r="H645" s="13" t="s">
        <v>476</v>
      </c>
      <c r="I645" s="13" t="str">
        <f t="shared" si="10"/>
        <v>Food and beverages</v>
      </c>
      <c r="J645" s="13">
        <v>84.63</v>
      </c>
      <c r="K645" s="13">
        <v>88.861500000000007</v>
      </c>
      <c r="L645" s="13">
        <v>10</v>
      </c>
      <c r="M645" s="13" t="s">
        <v>433</v>
      </c>
      <c r="N645" s="13">
        <v>9</v>
      </c>
      <c r="O645" s="13">
        <f>(CATEGORIZATION!$K645-CATEGORIZATION!$J645)</f>
        <v>4.2315000000000111</v>
      </c>
    </row>
    <row r="646" spans="2:15" ht="15.75">
      <c r="B646" s="13" t="s">
        <v>1091</v>
      </c>
      <c r="C646" s="76">
        <v>43491</v>
      </c>
      <c r="D646" s="13" t="s">
        <v>266</v>
      </c>
      <c r="E646" s="13" t="s">
        <v>135</v>
      </c>
      <c r="F646" s="13" t="s">
        <v>420</v>
      </c>
      <c r="G646" s="13" t="s">
        <v>494</v>
      </c>
      <c r="H646" s="13" t="s">
        <v>421</v>
      </c>
      <c r="I646" s="13" t="str">
        <f t="shared" si="10"/>
        <v>Electronic accessories</v>
      </c>
      <c r="J646" s="13">
        <v>87.08</v>
      </c>
      <c r="K646" s="13">
        <v>91.433999999999997</v>
      </c>
      <c r="L646" s="13">
        <v>7</v>
      </c>
      <c r="M646" s="13" t="s">
        <v>422</v>
      </c>
      <c r="N646" s="13">
        <v>5.5</v>
      </c>
      <c r="O646" s="13">
        <f>(CATEGORIZATION!$K646-CATEGORIZATION!$J646)</f>
        <v>4.3539999999999992</v>
      </c>
    </row>
    <row r="647" spans="2:15" ht="15.75">
      <c r="B647" s="13" t="s">
        <v>1092</v>
      </c>
      <c r="C647" s="76">
        <v>43558</v>
      </c>
      <c r="D647" s="13" t="s">
        <v>175</v>
      </c>
      <c r="E647" s="13" t="s">
        <v>134</v>
      </c>
      <c r="F647" s="13" t="s">
        <v>420</v>
      </c>
      <c r="G647" s="13" t="s">
        <v>415</v>
      </c>
      <c r="H647" s="13" t="s">
        <v>467</v>
      </c>
      <c r="I647" s="13" t="str">
        <f t="shared" si="10"/>
        <v>Food and beverages</v>
      </c>
      <c r="J647" s="13">
        <v>74.66</v>
      </c>
      <c r="K647" s="13">
        <v>78.393000000000001</v>
      </c>
      <c r="L647" s="13">
        <v>4</v>
      </c>
      <c r="M647" s="13" t="s">
        <v>422</v>
      </c>
      <c r="N647" s="13">
        <v>8.5</v>
      </c>
      <c r="O647" s="13">
        <f>(CATEGORIZATION!$K647-CATEGORIZATION!$J647)</f>
        <v>3.7330000000000041</v>
      </c>
    </row>
    <row r="648" spans="2:15" ht="15.75">
      <c r="B648" s="13" t="s">
        <v>1093</v>
      </c>
      <c r="C648" s="76">
        <v>43522</v>
      </c>
      <c r="D648" s="13" t="s">
        <v>266</v>
      </c>
      <c r="E648" s="13" t="s">
        <v>135</v>
      </c>
      <c r="F648" s="13" t="s">
        <v>414</v>
      </c>
      <c r="G648" s="13" t="s">
        <v>494</v>
      </c>
      <c r="H648" s="13" t="s">
        <v>920</v>
      </c>
      <c r="I648" s="13" t="str">
        <f t="shared" si="10"/>
        <v>Food and beverages</v>
      </c>
      <c r="J648" s="13">
        <v>26.6</v>
      </c>
      <c r="K648" s="13">
        <v>27.930000000000003</v>
      </c>
      <c r="L648" s="13">
        <v>6</v>
      </c>
      <c r="M648" s="13" t="s">
        <v>417</v>
      </c>
      <c r="N648" s="13">
        <v>4.9000000000000004</v>
      </c>
      <c r="O648" s="13">
        <f>(CATEGORIZATION!$K648-CATEGORIZATION!$J648)</f>
        <v>1.3300000000000018</v>
      </c>
    </row>
    <row r="649" spans="2:15" ht="15.75">
      <c r="B649" s="13" t="s">
        <v>1094</v>
      </c>
      <c r="C649" s="76">
        <v>43741</v>
      </c>
      <c r="D649" s="13" t="s">
        <v>266</v>
      </c>
      <c r="E649" s="13" t="s">
        <v>135</v>
      </c>
      <c r="F649" s="13" t="s">
        <v>420</v>
      </c>
      <c r="G649" s="13" t="s">
        <v>415</v>
      </c>
      <c r="H649" s="13" t="s">
        <v>421</v>
      </c>
      <c r="I649" s="13" t="str">
        <f t="shared" si="10"/>
        <v>Electronic accessories</v>
      </c>
      <c r="J649" s="13">
        <v>25.45</v>
      </c>
      <c r="K649" s="13">
        <v>26.7225</v>
      </c>
      <c r="L649" s="13">
        <v>1</v>
      </c>
      <c r="M649" s="13" t="s">
        <v>433</v>
      </c>
      <c r="N649" s="13">
        <v>5.0999999999999996</v>
      </c>
      <c r="O649" s="13">
        <f>(CATEGORIZATION!$K649-CATEGORIZATION!$J649)</f>
        <v>1.2725000000000009</v>
      </c>
    </row>
    <row r="650" spans="2:15" ht="15.75">
      <c r="B650" s="13" t="s">
        <v>1095</v>
      </c>
      <c r="C650" s="76">
        <v>43557</v>
      </c>
      <c r="D650" s="13" t="s">
        <v>266</v>
      </c>
      <c r="E650" s="13" t="s">
        <v>135</v>
      </c>
      <c r="F650" s="13" t="s">
        <v>420</v>
      </c>
      <c r="G650" s="13" t="s">
        <v>415</v>
      </c>
      <c r="H650" s="13" t="s">
        <v>467</v>
      </c>
      <c r="I650" s="13" t="str">
        <f t="shared" si="10"/>
        <v>Food and beverages</v>
      </c>
      <c r="J650" s="13">
        <v>67.77</v>
      </c>
      <c r="K650" s="13">
        <v>71.158500000000004</v>
      </c>
      <c r="L650" s="13">
        <v>1</v>
      </c>
      <c r="M650" s="13" t="s">
        <v>433</v>
      </c>
      <c r="N650" s="13">
        <v>6.5</v>
      </c>
      <c r="O650" s="13">
        <f>(CATEGORIZATION!$K650-CATEGORIZATION!$J650)</f>
        <v>3.3885000000000076</v>
      </c>
    </row>
    <row r="651" spans="2:15" ht="15.75">
      <c r="B651" s="13" t="s">
        <v>1096</v>
      </c>
      <c r="C651" s="76">
        <v>43484</v>
      </c>
      <c r="D651" s="13" t="s">
        <v>419</v>
      </c>
      <c r="E651" s="13" t="s">
        <v>131</v>
      </c>
      <c r="F651" s="13" t="s">
        <v>414</v>
      </c>
      <c r="G651" s="13" t="s">
        <v>494</v>
      </c>
      <c r="H651" s="13" t="s">
        <v>920</v>
      </c>
      <c r="I651" s="13" t="str">
        <f t="shared" si="10"/>
        <v>Food and beverages</v>
      </c>
      <c r="J651" s="13">
        <v>59.59</v>
      </c>
      <c r="K651" s="13">
        <v>62.569499999999998</v>
      </c>
      <c r="L651" s="13">
        <v>4</v>
      </c>
      <c r="M651" s="13" t="s">
        <v>422</v>
      </c>
      <c r="N651" s="13">
        <v>9.8000000000000007</v>
      </c>
      <c r="O651" s="13">
        <f>(CATEGORIZATION!$K651-CATEGORIZATION!$J651)</f>
        <v>2.9794999999999945</v>
      </c>
    </row>
    <row r="652" spans="2:15" ht="15.75">
      <c r="B652" s="13" t="s">
        <v>1097</v>
      </c>
      <c r="C652" s="76">
        <v>43488</v>
      </c>
      <c r="D652" s="13" t="s">
        <v>175</v>
      </c>
      <c r="E652" s="13" t="s">
        <v>134</v>
      </c>
      <c r="F652" s="13" t="s">
        <v>420</v>
      </c>
      <c r="G652" s="13" t="s">
        <v>494</v>
      </c>
      <c r="H652" s="13" t="s">
        <v>424</v>
      </c>
      <c r="I652" s="13" t="str">
        <f t="shared" si="10"/>
        <v>Health and beauty</v>
      </c>
      <c r="J652" s="13">
        <v>58.15</v>
      </c>
      <c r="K652" s="13">
        <v>61.057499999999997</v>
      </c>
      <c r="L652" s="13">
        <v>4</v>
      </c>
      <c r="M652" s="13" t="s">
        <v>422</v>
      </c>
      <c r="N652" s="13">
        <v>8.4</v>
      </c>
      <c r="O652" s="13">
        <f>(CATEGORIZATION!$K652-CATEGORIZATION!$J652)</f>
        <v>2.9074999999999989</v>
      </c>
    </row>
    <row r="653" spans="2:15" ht="15.75">
      <c r="B653" s="13" t="s">
        <v>1098</v>
      </c>
      <c r="C653" s="76">
        <v>43538</v>
      </c>
      <c r="D653" s="13" t="s">
        <v>175</v>
      </c>
      <c r="E653" s="13" t="s">
        <v>134</v>
      </c>
      <c r="F653" s="13" t="s">
        <v>414</v>
      </c>
      <c r="G653" s="13" t="s">
        <v>415</v>
      </c>
      <c r="H653" s="13" t="s">
        <v>471</v>
      </c>
      <c r="I653" s="13" t="str">
        <f t="shared" si="10"/>
        <v>Sports</v>
      </c>
      <c r="J653" s="13">
        <v>97.48</v>
      </c>
      <c r="K653" s="13">
        <v>102.354</v>
      </c>
      <c r="L653" s="13">
        <v>9</v>
      </c>
      <c r="M653" s="13" t="s">
        <v>417</v>
      </c>
      <c r="N653" s="13">
        <v>7.4</v>
      </c>
      <c r="O653" s="13">
        <f>(CATEGORIZATION!$K653-CATEGORIZATION!$J653)</f>
        <v>4.8739999999999952</v>
      </c>
    </row>
    <row r="654" spans="2:15" ht="15.75">
      <c r="B654" s="13" t="s">
        <v>1099</v>
      </c>
      <c r="C654" s="76">
        <v>43488</v>
      </c>
      <c r="D654" s="13" t="s">
        <v>419</v>
      </c>
      <c r="E654" s="13" t="s">
        <v>131</v>
      </c>
      <c r="F654" s="13" t="s">
        <v>420</v>
      </c>
      <c r="G654" s="13" t="s">
        <v>494</v>
      </c>
      <c r="H654" s="13" t="s">
        <v>465</v>
      </c>
      <c r="I654" s="13" t="str">
        <f t="shared" si="10"/>
        <v>Health and beauty</v>
      </c>
      <c r="J654" s="13">
        <v>99.96</v>
      </c>
      <c r="K654" s="13">
        <v>104.958</v>
      </c>
      <c r="L654" s="13">
        <v>7</v>
      </c>
      <c r="M654" s="13" t="s">
        <v>422</v>
      </c>
      <c r="N654" s="13">
        <v>6.1</v>
      </c>
      <c r="O654" s="13">
        <f>(CATEGORIZATION!$K654-CATEGORIZATION!$J654)</f>
        <v>4.9980000000000047</v>
      </c>
    </row>
    <row r="655" spans="2:15" ht="15.75">
      <c r="B655" s="13" t="s">
        <v>1100</v>
      </c>
      <c r="C655" s="76">
        <v>43709</v>
      </c>
      <c r="D655" s="13" t="s">
        <v>419</v>
      </c>
      <c r="E655" s="13" t="s">
        <v>131</v>
      </c>
      <c r="F655" s="13" t="s">
        <v>420</v>
      </c>
      <c r="G655" s="13" t="s">
        <v>494</v>
      </c>
      <c r="H655" s="13" t="s">
        <v>430</v>
      </c>
      <c r="I655" s="13" t="str">
        <f t="shared" si="10"/>
        <v>Electronic accessories</v>
      </c>
      <c r="J655" s="13">
        <v>96.37</v>
      </c>
      <c r="K655" s="13">
        <v>101.18849999999999</v>
      </c>
      <c r="L655" s="13">
        <v>7</v>
      </c>
      <c r="M655" s="13" t="s">
        <v>422</v>
      </c>
      <c r="N655" s="13">
        <v>6</v>
      </c>
      <c r="O655" s="13">
        <f>(CATEGORIZATION!$K655-CATEGORIZATION!$J655)</f>
        <v>4.818499999999986</v>
      </c>
    </row>
    <row r="656" spans="2:15" ht="15.75">
      <c r="B656" s="13" t="s">
        <v>1101</v>
      </c>
      <c r="C656" s="76">
        <v>43514</v>
      </c>
      <c r="D656" s="13" t="s">
        <v>266</v>
      </c>
      <c r="E656" s="13" t="s">
        <v>135</v>
      </c>
      <c r="F656" s="13" t="s">
        <v>420</v>
      </c>
      <c r="G656" s="13" t="s">
        <v>415</v>
      </c>
      <c r="H656" s="13" t="s">
        <v>465</v>
      </c>
      <c r="I656" s="13" t="str">
        <f t="shared" si="10"/>
        <v>Health and beauty</v>
      </c>
      <c r="J656" s="13">
        <v>14.76</v>
      </c>
      <c r="K656" s="13">
        <v>15.497999999999999</v>
      </c>
      <c r="L656" s="13">
        <v>2</v>
      </c>
      <c r="M656" s="13" t="s">
        <v>417</v>
      </c>
      <c r="N656" s="13">
        <v>4.3</v>
      </c>
      <c r="O656" s="13">
        <f>(CATEGORIZATION!$K656-CATEGORIZATION!$J656)</f>
        <v>0.73799999999999955</v>
      </c>
    </row>
    <row r="657" spans="2:15" ht="15.75">
      <c r="B657" s="13" t="s">
        <v>1102</v>
      </c>
      <c r="C657" s="76">
        <v>43525</v>
      </c>
      <c r="D657" s="13" t="s">
        <v>266</v>
      </c>
      <c r="E657" s="13" t="s">
        <v>135</v>
      </c>
      <c r="F657" s="13" t="s">
        <v>414</v>
      </c>
      <c r="G657" s="13" t="s">
        <v>494</v>
      </c>
      <c r="H657" s="13" t="s">
        <v>424</v>
      </c>
      <c r="I657" s="13" t="str">
        <f t="shared" si="10"/>
        <v>Health and beauty</v>
      </c>
      <c r="J657" s="13">
        <v>62</v>
      </c>
      <c r="K657" s="13">
        <v>65.099999999999994</v>
      </c>
      <c r="L657" s="13">
        <v>8</v>
      </c>
      <c r="M657" s="13" t="s">
        <v>433</v>
      </c>
      <c r="N657" s="13">
        <v>6.2</v>
      </c>
      <c r="O657" s="13">
        <f>(CATEGORIZATION!$K657-CATEGORIZATION!$J657)</f>
        <v>3.0999999999999943</v>
      </c>
    </row>
    <row r="658" spans="2:15" ht="15.75">
      <c r="B658" s="13" t="s">
        <v>1103</v>
      </c>
      <c r="C658" s="76">
        <v>43553</v>
      </c>
      <c r="D658" s="13" t="s">
        <v>419</v>
      </c>
      <c r="E658" s="13" t="s">
        <v>131</v>
      </c>
      <c r="F658" s="13" t="s">
        <v>414</v>
      </c>
      <c r="G658" s="13" t="s">
        <v>494</v>
      </c>
      <c r="H658" s="13" t="s">
        <v>499</v>
      </c>
      <c r="I658" s="13" t="str">
        <f t="shared" si="10"/>
        <v>Electronic accessories</v>
      </c>
      <c r="J658" s="13">
        <v>82.34</v>
      </c>
      <c r="K658" s="13">
        <v>86.457000000000008</v>
      </c>
      <c r="L658" s="13">
        <v>10</v>
      </c>
      <c r="M658" s="13" t="s">
        <v>417</v>
      </c>
      <c r="N658" s="13">
        <v>4.3</v>
      </c>
      <c r="O658" s="13">
        <f>(CATEGORIZATION!$K658-CATEGORIZATION!$J658)</f>
        <v>4.1170000000000044</v>
      </c>
    </row>
    <row r="659" spans="2:15" ht="15.75">
      <c r="B659" s="13" t="s">
        <v>1104</v>
      </c>
      <c r="C659" s="76">
        <v>43493</v>
      </c>
      <c r="D659" s="13" t="s">
        <v>266</v>
      </c>
      <c r="E659" s="13" t="s">
        <v>135</v>
      </c>
      <c r="F659" s="13" t="s">
        <v>414</v>
      </c>
      <c r="G659" s="13" t="s">
        <v>494</v>
      </c>
      <c r="H659" s="13" t="s">
        <v>446</v>
      </c>
      <c r="I659" s="13" t="str">
        <f t="shared" si="10"/>
        <v>Health and beauty</v>
      </c>
      <c r="J659" s="13">
        <v>75.37</v>
      </c>
      <c r="K659" s="13">
        <v>79.138499999999993</v>
      </c>
      <c r="L659" s="13">
        <v>8</v>
      </c>
      <c r="M659" s="13" t="s">
        <v>433</v>
      </c>
      <c r="N659" s="13">
        <v>8.4</v>
      </c>
      <c r="O659" s="13">
        <f>(CATEGORIZATION!$K659-CATEGORIZATION!$J659)</f>
        <v>3.7684999999999889</v>
      </c>
    </row>
    <row r="660" spans="2:15" ht="15.75">
      <c r="B660" s="13" t="s">
        <v>1105</v>
      </c>
      <c r="C660" s="76">
        <v>43546</v>
      </c>
      <c r="D660" s="13" t="s">
        <v>175</v>
      </c>
      <c r="E660" s="13" t="s">
        <v>134</v>
      </c>
      <c r="F660" s="13" t="s">
        <v>420</v>
      </c>
      <c r="G660" s="13" t="s">
        <v>415</v>
      </c>
      <c r="H660" s="13" t="s">
        <v>920</v>
      </c>
      <c r="I660" s="13" t="str">
        <f t="shared" si="10"/>
        <v>Food and beverages</v>
      </c>
      <c r="J660" s="13">
        <v>56.56</v>
      </c>
      <c r="K660" s="13">
        <v>59.387999999999998</v>
      </c>
      <c r="L660" s="13">
        <v>5</v>
      </c>
      <c r="M660" s="13" t="s">
        <v>433</v>
      </c>
      <c r="N660" s="13">
        <v>4.5</v>
      </c>
      <c r="O660" s="13">
        <f>(CATEGORIZATION!$K660-CATEGORIZATION!$J660)</f>
        <v>2.8279999999999959</v>
      </c>
    </row>
    <row r="661" spans="2:15" ht="15.75">
      <c r="B661" s="13" t="s">
        <v>1106</v>
      </c>
      <c r="C661" s="76">
        <v>43489</v>
      </c>
      <c r="D661" s="13" t="s">
        <v>266</v>
      </c>
      <c r="E661" s="13" t="s">
        <v>135</v>
      </c>
      <c r="F661" s="13" t="s">
        <v>420</v>
      </c>
      <c r="G661" s="13" t="s">
        <v>415</v>
      </c>
      <c r="H661" s="13" t="s">
        <v>471</v>
      </c>
      <c r="I661" s="13" t="str">
        <f t="shared" si="10"/>
        <v>Sports</v>
      </c>
      <c r="J661" s="13">
        <v>76.599999999999994</v>
      </c>
      <c r="K661" s="13">
        <v>80.429999999999993</v>
      </c>
      <c r="L661" s="13">
        <v>10</v>
      </c>
      <c r="M661" s="13" t="s">
        <v>417</v>
      </c>
      <c r="N661" s="13">
        <v>6</v>
      </c>
      <c r="O661" s="13">
        <f>(CATEGORIZATION!$K661-CATEGORIZATION!$J661)</f>
        <v>3.8299999999999983</v>
      </c>
    </row>
    <row r="662" spans="2:15" ht="15.75">
      <c r="B662" s="13" t="s">
        <v>1107</v>
      </c>
      <c r="C662" s="76">
        <v>43741</v>
      </c>
      <c r="D662" s="13" t="s">
        <v>175</v>
      </c>
      <c r="E662" s="13" t="s">
        <v>134</v>
      </c>
      <c r="F662" s="13" t="s">
        <v>420</v>
      </c>
      <c r="G662" s="13" t="s">
        <v>494</v>
      </c>
      <c r="H662" s="13" t="s">
        <v>421</v>
      </c>
      <c r="I662" s="13" t="str">
        <f t="shared" si="10"/>
        <v>Electronic accessories</v>
      </c>
      <c r="J662" s="13">
        <v>58.03</v>
      </c>
      <c r="K662" s="13">
        <v>60.9315</v>
      </c>
      <c r="L662" s="13">
        <v>2</v>
      </c>
      <c r="M662" s="13" t="s">
        <v>417</v>
      </c>
      <c r="N662" s="13">
        <v>8.8000000000000007</v>
      </c>
      <c r="O662" s="13">
        <f>(CATEGORIZATION!$K662-CATEGORIZATION!$J662)</f>
        <v>2.9014999999999986</v>
      </c>
    </row>
    <row r="663" spans="2:15" ht="15.75">
      <c r="B663" s="13" t="s">
        <v>1108</v>
      </c>
      <c r="C663" s="76">
        <v>43514</v>
      </c>
      <c r="D663" s="13" t="s">
        <v>419</v>
      </c>
      <c r="E663" s="13" t="s">
        <v>131</v>
      </c>
      <c r="F663" s="13" t="s">
        <v>414</v>
      </c>
      <c r="G663" s="13" t="s">
        <v>415</v>
      </c>
      <c r="H663" s="13" t="s">
        <v>421</v>
      </c>
      <c r="I663" s="13" t="str">
        <f t="shared" si="10"/>
        <v>Electronic accessories</v>
      </c>
      <c r="J663" s="13">
        <v>60.95</v>
      </c>
      <c r="K663" s="13">
        <v>63.997500000000002</v>
      </c>
      <c r="L663" s="13">
        <v>1</v>
      </c>
      <c r="M663" s="13" t="s">
        <v>417</v>
      </c>
      <c r="N663" s="13">
        <v>5.9</v>
      </c>
      <c r="O663" s="13">
        <f>(CATEGORIZATION!$K663-CATEGORIZATION!$J663)</f>
        <v>3.0474999999999994</v>
      </c>
    </row>
    <row r="664" spans="2:15" ht="15.75">
      <c r="B664" s="13" t="s">
        <v>1109</v>
      </c>
      <c r="C664" s="76">
        <v>43494</v>
      </c>
      <c r="D664" s="13" t="s">
        <v>419</v>
      </c>
      <c r="E664" s="13" t="s">
        <v>131</v>
      </c>
      <c r="F664" s="13" t="s">
        <v>420</v>
      </c>
      <c r="G664" s="13" t="s">
        <v>494</v>
      </c>
      <c r="H664" s="13" t="s">
        <v>465</v>
      </c>
      <c r="I664" s="13" t="str">
        <f t="shared" si="10"/>
        <v>Health and beauty</v>
      </c>
      <c r="J664" s="13">
        <v>40.35</v>
      </c>
      <c r="K664" s="13">
        <v>42.3675</v>
      </c>
      <c r="L664" s="13">
        <v>1</v>
      </c>
      <c r="M664" s="13" t="s">
        <v>417</v>
      </c>
      <c r="N664" s="13">
        <v>6.2</v>
      </c>
      <c r="O664" s="13">
        <f>(CATEGORIZATION!$K664-CATEGORIZATION!$J664)</f>
        <v>2.0174999999999983</v>
      </c>
    </row>
    <row r="665" spans="2:15" ht="15.75">
      <c r="B665" s="8" t="s">
        <v>1110</v>
      </c>
      <c r="C665" s="76">
        <v>43710</v>
      </c>
      <c r="D665" s="13" t="s">
        <v>175</v>
      </c>
      <c r="E665" s="13" t="s">
        <v>134</v>
      </c>
      <c r="F665" s="13" t="s">
        <v>414</v>
      </c>
      <c r="G665" s="13" t="s">
        <v>494</v>
      </c>
      <c r="H665" s="13" t="s">
        <v>467</v>
      </c>
      <c r="I665" s="13" t="str">
        <f t="shared" si="10"/>
        <v>Food and beverages</v>
      </c>
      <c r="J665" s="13">
        <v>31.84</v>
      </c>
      <c r="K665" s="13">
        <v>33.432000000000002</v>
      </c>
      <c r="L665" s="13">
        <v>1</v>
      </c>
      <c r="M665" s="13" t="s">
        <v>422</v>
      </c>
      <c r="N665" s="13">
        <v>7.7</v>
      </c>
      <c r="O665" s="13">
        <f>(CATEGORIZATION!$K665-CATEGORIZATION!$J665)</f>
        <v>1.5920000000000023</v>
      </c>
    </row>
  </sheetData>
  <mergeCells count="1">
    <mergeCell ref="B2:G2"/>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FA06-B487-4567-A69E-8271BF8FD930}">
  <dimension ref="B1:O664"/>
  <sheetViews>
    <sheetView topLeftCell="A2" workbookViewId="0">
      <selection activeCell="D3" sqref="D3:D15"/>
    </sheetView>
  </sheetViews>
  <sheetFormatPr defaultRowHeight="15"/>
  <cols>
    <col min="1" max="1" width="1.7109375" customWidth="1"/>
    <col min="2" max="2" width="13.28515625" customWidth="1"/>
    <col min="3" max="3" width="11.85546875" bestFit="1" customWidth="1"/>
    <col min="4" max="4" width="10.140625" bestFit="1" customWidth="1"/>
    <col min="5" max="5" width="8.140625" bestFit="1" customWidth="1"/>
    <col min="6" max="6" width="17.42578125" bestFit="1" customWidth="1"/>
    <col min="7" max="7" width="10.42578125" bestFit="1" customWidth="1"/>
    <col min="8" max="8" width="16" bestFit="1" customWidth="1"/>
    <col min="9" max="9" width="20.28515625" bestFit="1" customWidth="1"/>
    <col min="10" max="10" width="13.140625" bestFit="1" customWidth="1"/>
    <col min="11" max="11" width="15.140625" bestFit="1" customWidth="1"/>
    <col min="12" max="13" width="11.5703125" bestFit="1" customWidth="1"/>
    <col min="14" max="14" width="9.7109375" bestFit="1" customWidth="1"/>
    <col min="15" max="15" width="8.5703125" bestFit="1" customWidth="1"/>
  </cols>
  <sheetData>
    <row r="1" spans="2:15" ht="9.9499999999999993" customHeight="1"/>
    <row r="2" spans="2:15" ht="15.75" customHeight="1" thickBot="1">
      <c r="B2" s="71" t="s">
        <v>401</v>
      </c>
      <c r="C2" s="73" t="s">
        <v>402</v>
      </c>
      <c r="D2" s="71" t="s">
        <v>403</v>
      </c>
      <c r="E2" s="72" t="s">
        <v>404</v>
      </c>
      <c r="F2" s="73" t="s">
        <v>405</v>
      </c>
      <c r="G2" s="72" t="s">
        <v>406</v>
      </c>
      <c r="H2" s="73" t="s">
        <v>4</v>
      </c>
      <c r="I2" s="72" t="s">
        <v>407</v>
      </c>
      <c r="J2" s="73" t="s">
        <v>408</v>
      </c>
      <c r="K2" s="72" t="s">
        <v>409</v>
      </c>
      <c r="L2" s="73" t="s">
        <v>5</v>
      </c>
      <c r="M2" s="72" t="s">
        <v>410</v>
      </c>
      <c r="N2" s="73" t="s">
        <v>411</v>
      </c>
      <c r="O2" s="74" t="s">
        <v>412</v>
      </c>
    </row>
    <row r="3" spans="2:15" ht="15.75">
      <c r="B3" s="69" t="s">
        <v>413</v>
      </c>
      <c r="C3" s="78">
        <v>43586</v>
      </c>
      <c r="D3" s="69" t="s">
        <v>175</v>
      </c>
      <c r="E3" s="66" t="s">
        <v>134</v>
      </c>
      <c r="F3" s="66" t="s">
        <v>414</v>
      </c>
      <c r="G3" s="66" t="s">
        <v>415</v>
      </c>
      <c r="H3" s="66" t="s">
        <v>416</v>
      </c>
      <c r="I3" s="66" t="s">
        <v>1115</v>
      </c>
      <c r="J3" s="66">
        <v>74.69</v>
      </c>
      <c r="K3" s="66">
        <v>78.424499999999995</v>
      </c>
      <c r="L3" s="66">
        <v>7</v>
      </c>
      <c r="M3" s="66" t="s">
        <v>417</v>
      </c>
      <c r="N3" s="66">
        <v>9.1</v>
      </c>
      <c r="O3" s="67">
        <v>3.734499999999997</v>
      </c>
    </row>
    <row r="4" spans="2:15" ht="15.75">
      <c r="B4" s="70" t="s">
        <v>418</v>
      </c>
      <c r="C4" s="77">
        <v>43587</v>
      </c>
      <c r="D4" s="70" t="s">
        <v>419</v>
      </c>
      <c r="E4" s="68" t="s">
        <v>131</v>
      </c>
      <c r="F4" s="68" t="s">
        <v>420</v>
      </c>
      <c r="G4" s="68" t="s">
        <v>415</v>
      </c>
      <c r="H4" s="68" t="s">
        <v>421</v>
      </c>
      <c r="I4" s="68" t="s">
        <v>1116</v>
      </c>
      <c r="J4" s="68">
        <v>15.28</v>
      </c>
      <c r="K4" s="68">
        <v>16.044</v>
      </c>
      <c r="L4" s="68">
        <v>5</v>
      </c>
      <c r="M4" s="68" t="s">
        <v>422</v>
      </c>
      <c r="N4" s="68">
        <v>9.6</v>
      </c>
      <c r="O4" s="68">
        <v>0.76400000000000112</v>
      </c>
    </row>
    <row r="5" spans="2:15" ht="15.75">
      <c r="B5" s="70" t="s">
        <v>423</v>
      </c>
      <c r="C5" s="77">
        <v>43588</v>
      </c>
      <c r="D5" s="70" t="s">
        <v>175</v>
      </c>
      <c r="E5" s="68" t="s">
        <v>134</v>
      </c>
      <c r="F5" s="68" t="s">
        <v>414</v>
      </c>
      <c r="G5" s="68" t="s">
        <v>415</v>
      </c>
      <c r="H5" s="68" t="s">
        <v>424</v>
      </c>
      <c r="I5" s="68" t="s">
        <v>1115</v>
      </c>
      <c r="J5" s="68">
        <v>58.22</v>
      </c>
      <c r="K5" s="68">
        <v>61.131</v>
      </c>
      <c r="L5" s="68">
        <v>8</v>
      </c>
      <c r="M5" s="68" t="s">
        <v>417</v>
      </c>
      <c r="N5" s="68">
        <v>8.4</v>
      </c>
      <c r="O5" s="68">
        <v>2.9110000000000014</v>
      </c>
    </row>
    <row r="6" spans="2:15" ht="15.75">
      <c r="B6" s="70" t="s">
        <v>425</v>
      </c>
      <c r="C6" s="77">
        <v>43589</v>
      </c>
      <c r="D6" s="70" t="s">
        <v>175</v>
      </c>
      <c r="E6" s="68" t="s">
        <v>134</v>
      </c>
      <c r="F6" s="68" t="s">
        <v>420</v>
      </c>
      <c r="G6" s="68" t="s">
        <v>415</v>
      </c>
      <c r="H6" s="68" t="s">
        <v>426</v>
      </c>
      <c r="I6" s="68" t="s">
        <v>1113</v>
      </c>
      <c r="J6" s="68">
        <v>86.31</v>
      </c>
      <c r="K6" s="68">
        <v>90.625500000000002</v>
      </c>
      <c r="L6" s="68">
        <v>7</v>
      </c>
      <c r="M6" s="68" t="s">
        <v>417</v>
      </c>
      <c r="N6" s="68">
        <v>5.3</v>
      </c>
      <c r="O6" s="68">
        <v>4.3155000000000001</v>
      </c>
    </row>
    <row r="7" spans="2:15" ht="15.75">
      <c r="B7" s="70" t="s">
        <v>427</v>
      </c>
      <c r="C7" s="77">
        <v>43590</v>
      </c>
      <c r="D7" s="70" t="s">
        <v>419</v>
      </c>
      <c r="E7" s="68" t="s">
        <v>131</v>
      </c>
      <c r="F7" s="68" t="s">
        <v>420</v>
      </c>
      <c r="G7" s="68" t="s">
        <v>415</v>
      </c>
      <c r="H7" s="68" t="s">
        <v>428</v>
      </c>
      <c r="I7" s="68" t="s">
        <v>186</v>
      </c>
      <c r="J7" s="68">
        <v>85.39</v>
      </c>
      <c r="K7" s="68">
        <v>89.659499999999994</v>
      </c>
      <c r="L7" s="68">
        <v>7</v>
      </c>
      <c r="M7" s="68" t="s">
        <v>417</v>
      </c>
      <c r="N7" s="68">
        <v>4.0999999999999996</v>
      </c>
      <c r="O7" s="68">
        <v>4.2694999999999936</v>
      </c>
    </row>
    <row r="8" spans="2:15" ht="15.75">
      <c r="B8" s="70" t="s">
        <v>429</v>
      </c>
      <c r="C8" s="77">
        <v>43591</v>
      </c>
      <c r="D8" s="70" t="s">
        <v>175</v>
      </c>
      <c r="E8" s="68" t="s">
        <v>134</v>
      </c>
      <c r="F8" s="68" t="s">
        <v>414</v>
      </c>
      <c r="G8" s="68" t="s">
        <v>415</v>
      </c>
      <c r="H8" s="68" t="s">
        <v>430</v>
      </c>
      <c r="I8" s="68" t="s">
        <v>1116</v>
      </c>
      <c r="J8" s="68">
        <v>68.84</v>
      </c>
      <c r="K8" s="68">
        <v>72.281999999999996</v>
      </c>
      <c r="L8" s="68">
        <v>6</v>
      </c>
      <c r="M8" s="68" t="s">
        <v>417</v>
      </c>
      <c r="N8" s="68">
        <v>5.8</v>
      </c>
      <c r="O8" s="68">
        <v>3.4419999999999931</v>
      </c>
    </row>
    <row r="9" spans="2:15" ht="15.75">
      <c r="B9" s="70" t="s">
        <v>431</v>
      </c>
      <c r="C9" s="77">
        <v>43592</v>
      </c>
      <c r="D9" s="70" t="s">
        <v>175</v>
      </c>
      <c r="E9" s="68" t="s">
        <v>134</v>
      </c>
      <c r="F9" s="68" t="s">
        <v>414</v>
      </c>
      <c r="G9" s="68" t="s">
        <v>415</v>
      </c>
      <c r="H9" s="68" t="s">
        <v>432</v>
      </c>
      <c r="I9" s="68" t="s">
        <v>1115</v>
      </c>
      <c r="J9" s="68">
        <v>36.26</v>
      </c>
      <c r="K9" s="68">
        <v>38.073</v>
      </c>
      <c r="L9" s="68">
        <v>2</v>
      </c>
      <c r="M9" s="68" t="s">
        <v>433</v>
      </c>
      <c r="N9" s="68">
        <v>7.2</v>
      </c>
      <c r="O9" s="68">
        <v>1.8130000000000024</v>
      </c>
    </row>
    <row r="10" spans="2:15" ht="15.75">
      <c r="B10" s="70" t="s">
        <v>434</v>
      </c>
      <c r="C10" s="77">
        <v>43593</v>
      </c>
      <c r="D10" s="70" t="s">
        <v>266</v>
      </c>
      <c r="E10" s="68" t="s">
        <v>135</v>
      </c>
      <c r="F10" s="68" t="s">
        <v>414</v>
      </c>
      <c r="G10" s="68" t="s">
        <v>415</v>
      </c>
      <c r="H10" s="68" t="s">
        <v>435</v>
      </c>
      <c r="I10" s="68" t="s">
        <v>1114</v>
      </c>
      <c r="J10" s="68">
        <v>54.84</v>
      </c>
      <c r="K10" s="68">
        <v>57.582000000000001</v>
      </c>
      <c r="L10" s="68">
        <v>3</v>
      </c>
      <c r="M10" s="68" t="s">
        <v>433</v>
      </c>
      <c r="N10" s="68">
        <v>5.9</v>
      </c>
      <c r="O10" s="68">
        <v>2.7419999999999973</v>
      </c>
    </row>
    <row r="11" spans="2:15" ht="15.75">
      <c r="B11" s="70" t="s">
        <v>436</v>
      </c>
      <c r="C11" s="77">
        <v>43594</v>
      </c>
      <c r="D11" s="70" t="s">
        <v>266</v>
      </c>
      <c r="E11" s="68" t="s">
        <v>135</v>
      </c>
      <c r="F11" s="68" t="s">
        <v>414</v>
      </c>
      <c r="G11" s="68" t="s">
        <v>415</v>
      </c>
      <c r="H11" s="68" t="s">
        <v>437</v>
      </c>
      <c r="I11" s="68" t="s">
        <v>1116</v>
      </c>
      <c r="J11" s="68">
        <v>25.51</v>
      </c>
      <c r="K11" s="68">
        <v>26.785499999999999</v>
      </c>
      <c r="L11" s="68">
        <v>4</v>
      </c>
      <c r="M11" s="68" t="s">
        <v>422</v>
      </c>
      <c r="N11" s="68">
        <v>6.8</v>
      </c>
      <c r="O11" s="68">
        <v>1.2754999999999974</v>
      </c>
    </row>
    <row r="12" spans="2:15" ht="15.75">
      <c r="B12" s="70" t="s">
        <v>438</v>
      </c>
      <c r="C12" s="77">
        <v>43595</v>
      </c>
      <c r="D12" s="70" t="s">
        <v>175</v>
      </c>
      <c r="E12" s="68" t="s">
        <v>134</v>
      </c>
      <c r="F12" s="68" t="s">
        <v>420</v>
      </c>
      <c r="G12" s="68" t="s">
        <v>415</v>
      </c>
      <c r="H12" s="68" t="s">
        <v>437</v>
      </c>
      <c r="I12" s="68" t="s">
        <v>1116</v>
      </c>
      <c r="J12" s="68">
        <v>46.95</v>
      </c>
      <c r="K12" s="68">
        <v>49.297499999999999</v>
      </c>
      <c r="L12" s="68">
        <v>5</v>
      </c>
      <c r="M12" s="68" t="s">
        <v>417</v>
      </c>
      <c r="N12" s="68">
        <v>7.1</v>
      </c>
      <c r="O12" s="68">
        <v>2.3474999999999966</v>
      </c>
    </row>
    <row r="13" spans="2:15" ht="15.75">
      <c r="B13" s="70" t="s">
        <v>439</v>
      </c>
      <c r="C13" s="77">
        <v>43596</v>
      </c>
      <c r="D13" s="70" t="s">
        <v>175</v>
      </c>
      <c r="E13" s="68" t="s">
        <v>134</v>
      </c>
      <c r="F13" s="68" t="s">
        <v>420</v>
      </c>
      <c r="G13" s="68" t="s">
        <v>415</v>
      </c>
      <c r="H13" s="68" t="s">
        <v>440</v>
      </c>
      <c r="I13" s="68" t="s">
        <v>1114</v>
      </c>
      <c r="J13" s="68">
        <v>43.19</v>
      </c>
      <c r="K13" s="68">
        <v>45.349499999999999</v>
      </c>
      <c r="L13" s="68">
        <v>10</v>
      </c>
      <c r="M13" s="68" t="s">
        <v>417</v>
      </c>
      <c r="N13" s="68">
        <v>8.1999999999999993</v>
      </c>
      <c r="O13" s="68">
        <v>2.1595000000000013</v>
      </c>
    </row>
    <row r="14" spans="2:15" ht="15.75">
      <c r="B14" s="70" t="s">
        <v>441</v>
      </c>
      <c r="C14" s="77">
        <v>43597</v>
      </c>
      <c r="D14" s="70" t="s">
        <v>175</v>
      </c>
      <c r="E14" s="68" t="s">
        <v>134</v>
      </c>
      <c r="F14" s="68" t="s">
        <v>420</v>
      </c>
      <c r="G14" s="68" t="s">
        <v>415</v>
      </c>
      <c r="H14" s="68" t="s">
        <v>442</v>
      </c>
      <c r="I14" s="68" t="s">
        <v>1115</v>
      </c>
      <c r="J14" s="68">
        <v>71.38</v>
      </c>
      <c r="K14" s="68">
        <v>74.948999999999998</v>
      </c>
      <c r="L14" s="68">
        <v>10</v>
      </c>
      <c r="M14" s="68" t="s">
        <v>422</v>
      </c>
      <c r="N14" s="68">
        <v>5.7</v>
      </c>
      <c r="O14" s="68">
        <v>3.5690000000000026</v>
      </c>
    </row>
    <row r="15" spans="2:15" ht="15.75">
      <c r="B15" s="70" t="s">
        <v>443</v>
      </c>
      <c r="C15" s="77">
        <v>43598</v>
      </c>
      <c r="D15" s="70" t="s">
        <v>266</v>
      </c>
      <c r="E15" s="68" t="s">
        <v>135</v>
      </c>
      <c r="F15" s="68" t="s">
        <v>414</v>
      </c>
      <c r="G15" s="68" t="s">
        <v>415</v>
      </c>
      <c r="H15" s="68" t="s">
        <v>444</v>
      </c>
      <c r="I15" s="68" t="s">
        <v>1113</v>
      </c>
      <c r="J15" s="68">
        <v>93.72</v>
      </c>
      <c r="K15" s="68">
        <v>98.406000000000006</v>
      </c>
      <c r="L15" s="68">
        <v>6</v>
      </c>
      <c r="M15" s="68" t="s">
        <v>422</v>
      </c>
      <c r="N15" s="68">
        <v>4.5</v>
      </c>
      <c r="O15" s="68">
        <v>4.686000000000007</v>
      </c>
    </row>
    <row r="16" spans="2:15" ht="15.75">
      <c r="B16" s="70" t="s">
        <v>445</v>
      </c>
      <c r="C16" s="77">
        <v>43599</v>
      </c>
      <c r="D16" s="70" t="s">
        <v>175</v>
      </c>
      <c r="E16" s="68" t="s">
        <v>134</v>
      </c>
      <c r="F16" s="68" t="s">
        <v>414</v>
      </c>
      <c r="G16" s="68" t="s">
        <v>415</v>
      </c>
      <c r="H16" s="68" t="s">
        <v>446</v>
      </c>
      <c r="I16" s="68" t="s">
        <v>1115</v>
      </c>
      <c r="J16" s="68">
        <v>68.930000000000007</v>
      </c>
      <c r="K16" s="68">
        <v>72.376499999999993</v>
      </c>
      <c r="L16" s="68">
        <v>7</v>
      </c>
      <c r="M16" s="68" t="s">
        <v>433</v>
      </c>
      <c r="N16" s="68">
        <v>4.5999999999999996</v>
      </c>
      <c r="O16" s="68">
        <v>3.4464999999999861</v>
      </c>
    </row>
    <row r="17" spans="2:15" ht="15.75">
      <c r="B17" s="70" t="s">
        <v>447</v>
      </c>
      <c r="C17" s="77">
        <v>43600</v>
      </c>
      <c r="D17" s="70" t="s">
        <v>175</v>
      </c>
      <c r="E17" s="68" t="s">
        <v>134</v>
      </c>
      <c r="F17" s="68" t="s">
        <v>420</v>
      </c>
      <c r="G17" s="68" t="s">
        <v>415</v>
      </c>
      <c r="H17" s="68" t="s">
        <v>448</v>
      </c>
      <c r="I17" s="68" t="s">
        <v>1113</v>
      </c>
      <c r="J17" s="68">
        <v>72.61</v>
      </c>
      <c r="K17" s="68">
        <v>76.240499999999997</v>
      </c>
      <c r="L17" s="68">
        <v>6</v>
      </c>
      <c r="M17" s="68" t="s">
        <v>433</v>
      </c>
      <c r="N17" s="68">
        <v>6.9</v>
      </c>
      <c r="O17" s="68">
        <v>3.6304999999999978</v>
      </c>
    </row>
    <row r="18" spans="2:15" ht="15.75">
      <c r="B18" s="70" t="s">
        <v>449</v>
      </c>
      <c r="C18" s="77">
        <v>43601</v>
      </c>
      <c r="D18" s="70" t="s">
        <v>175</v>
      </c>
      <c r="E18" s="68" t="s">
        <v>134</v>
      </c>
      <c r="F18" s="68" t="s">
        <v>420</v>
      </c>
      <c r="G18" s="68" t="s">
        <v>415</v>
      </c>
      <c r="H18" s="68" t="s">
        <v>450</v>
      </c>
      <c r="I18" s="68" t="s">
        <v>1114</v>
      </c>
      <c r="J18" s="68">
        <v>54.67</v>
      </c>
      <c r="K18" s="68">
        <v>57.403500000000001</v>
      </c>
      <c r="L18" s="68">
        <v>3</v>
      </c>
      <c r="M18" s="68" t="s">
        <v>433</v>
      </c>
      <c r="N18" s="68">
        <v>8.6</v>
      </c>
      <c r="O18" s="68">
        <v>2.7334999999999994</v>
      </c>
    </row>
    <row r="19" spans="2:15" ht="15.75">
      <c r="B19" s="70" t="s">
        <v>451</v>
      </c>
      <c r="C19" s="77">
        <v>43602</v>
      </c>
      <c r="D19" s="70" t="s">
        <v>419</v>
      </c>
      <c r="E19" s="68" t="s">
        <v>131</v>
      </c>
      <c r="F19" s="68" t="s">
        <v>414</v>
      </c>
      <c r="G19" s="68" t="s">
        <v>415</v>
      </c>
      <c r="H19" s="68" t="s">
        <v>430</v>
      </c>
      <c r="I19" s="68" t="s">
        <v>1116</v>
      </c>
      <c r="J19" s="68">
        <v>86.04</v>
      </c>
      <c r="K19" s="68">
        <v>90.341999999999999</v>
      </c>
      <c r="L19" s="68">
        <v>5</v>
      </c>
      <c r="M19" s="68" t="s">
        <v>417</v>
      </c>
      <c r="N19" s="68">
        <v>4.8</v>
      </c>
      <c r="O19" s="68">
        <v>4.3019999999999925</v>
      </c>
    </row>
    <row r="20" spans="2:15" ht="15.75">
      <c r="B20" s="70" t="s">
        <v>452</v>
      </c>
      <c r="C20" s="77">
        <v>43603</v>
      </c>
      <c r="D20" s="70" t="s">
        <v>266</v>
      </c>
      <c r="E20" s="68" t="s">
        <v>135</v>
      </c>
      <c r="F20" s="68" t="s">
        <v>420</v>
      </c>
      <c r="G20" s="68" t="s">
        <v>415</v>
      </c>
      <c r="H20" s="68" t="s">
        <v>424</v>
      </c>
      <c r="I20" s="68" t="s">
        <v>1115</v>
      </c>
      <c r="J20" s="68">
        <v>87.98</v>
      </c>
      <c r="K20" s="68">
        <v>92.379000000000005</v>
      </c>
      <c r="L20" s="68">
        <v>3</v>
      </c>
      <c r="M20" s="68" t="s">
        <v>417</v>
      </c>
      <c r="N20" s="68">
        <v>5.0999999999999996</v>
      </c>
      <c r="O20" s="68">
        <v>4.3990000000000009</v>
      </c>
    </row>
    <row r="21" spans="2:15" ht="15.75">
      <c r="B21" s="70" t="s">
        <v>453</v>
      </c>
      <c r="C21" s="77">
        <v>43604</v>
      </c>
      <c r="D21" s="70" t="s">
        <v>175</v>
      </c>
      <c r="E21" s="68" t="s">
        <v>134</v>
      </c>
      <c r="F21" s="68" t="s">
        <v>420</v>
      </c>
      <c r="G21" s="68" t="s">
        <v>415</v>
      </c>
      <c r="H21" s="68" t="s">
        <v>437</v>
      </c>
      <c r="I21" s="68" t="s">
        <v>1116</v>
      </c>
      <c r="J21" s="68">
        <v>34.56</v>
      </c>
      <c r="K21" s="68">
        <v>36.287999999999997</v>
      </c>
      <c r="L21" s="68">
        <v>5</v>
      </c>
      <c r="M21" s="68" t="s">
        <v>417</v>
      </c>
      <c r="N21" s="68">
        <v>9.9</v>
      </c>
      <c r="O21" s="68">
        <v>1.7279999999999944</v>
      </c>
    </row>
    <row r="22" spans="2:15" ht="15.75">
      <c r="B22" s="70" t="s">
        <v>454</v>
      </c>
      <c r="C22" s="77">
        <v>43605</v>
      </c>
      <c r="D22" s="70" t="s">
        <v>175</v>
      </c>
      <c r="E22" s="68" t="s">
        <v>134</v>
      </c>
      <c r="F22" s="68" t="s">
        <v>414</v>
      </c>
      <c r="G22" s="68" t="s">
        <v>415</v>
      </c>
      <c r="H22" s="68" t="s">
        <v>455</v>
      </c>
      <c r="I22" s="68" t="s">
        <v>1113</v>
      </c>
      <c r="J22" s="68">
        <v>88.63</v>
      </c>
      <c r="K22" s="68">
        <v>93.061500000000009</v>
      </c>
      <c r="L22" s="68">
        <v>3</v>
      </c>
      <c r="M22" s="68" t="s">
        <v>417</v>
      </c>
      <c r="N22" s="68">
        <v>6</v>
      </c>
      <c r="O22" s="68">
        <v>4.431500000000014</v>
      </c>
    </row>
    <row r="23" spans="2:15" ht="15.75">
      <c r="B23" s="70" t="s">
        <v>456</v>
      </c>
      <c r="C23" s="77">
        <v>43606</v>
      </c>
      <c r="D23" s="70" t="s">
        <v>266</v>
      </c>
      <c r="E23" s="68" t="s">
        <v>135</v>
      </c>
      <c r="F23" s="68" t="s">
        <v>420</v>
      </c>
      <c r="G23" s="68" t="s">
        <v>415</v>
      </c>
      <c r="H23" s="68" t="s">
        <v>457</v>
      </c>
      <c r="I23" s="68" t="s">
        <v>1114</v>
      </c>
      <c r="J23" s="68">
        <v>88.36</v>
      </c>
      <c r="K23" s="68">
        <v>92.777999999999992</v>
      </c>
      <c r="L23" s="68">
        <v>5</v>
      </c>
      <c r="M23" s="68" t="s">
        <v>422</v>
      </c>
      <c r="N23" s="68">
        <v>9.6</v>
      </c>
      <c r="O23" s="68">
        <v>4.4179999999999922</v>
      </c>
    </row>
    <row r="24" spans="2:15" ht="15.75">
      <c r="B24" s="70" t="s">
        <v>458</v>
      </c>
      <c r="C24" s="77">
        <v>43607</v>
      </c>
      <c r="D24" s="70" t="s">
        <v>175</v>
      </c>
      <c r="E24" s="68" t="s">
        <v>134</v>
      </c>
      <c r="F24" s="68" t="s">
        <v>420</v>
      </c>
      <c r="G24" s="68" t="s">
        <v>415</v>
      </c>
      <c r="H24" s="68" t="s">
        <v>459</v>
      </c>
      <c r="I24" s="68" t="s">
        <v>1115</v>
      </c>
      <c r="J24" s="68">
        <v>24.89</v>
      </c>
      <c r="K24" s="68">
        <v>26.134499999999999</v>
      </c>
      <c r="L24" s="68">
        <v>9</v>
      </c>
      <c r="M24" s="68" t="s">
        <v>422</v>
      </c>
      <c r="N24" s="68">
        <v>7.4</v>
      </c>
      <c r="O24" s="68">
        <v>1.2444999999999986</v>
      </c>
    </row>
    <row r="25" spans="2:15" ht="15.75">
      <c r="B25" s="70" t="s">
        <v>460</v>
      </c>
      <c r="C25" s="77">
        <v>43608</v>
      </c>
      <c r="D25" s="70" t="s">
        <v>266</v>
      </c>
      <c r="E25" s="68" t="s">
        <v>135</v>
      </c>
      <c r="F25" s="68" t="s">
        <v>414</v>
      </c>
      <c r="G25" s="68" t="s">
        <v>415</v>
      </c>
      <c r="H25" s="68" t="s">
        <v>461</v>
      </c>
      <c r="I25" s="68" t="s">
        <v>1113</v>
      </c>
      <c r="J25" s="68">
        <v>78.069999999999993</v>
      </c>
      <c r="K25" s="68">
        <v>81.973500000000001</v>
      </c>
      <c r="L25" s="68">
        <v>9</v>
      </c>
      <c r="M25" s="68" t="s">
        <v>422</v>
      </c>
      <c r="N25" s="68">
        <v>4.5</v>
      </c>
      <c r="O25" s="68">
        <v>3.9035000000000082</v>
      </c>
    </row>
    <row r="26" spans="2:15" ht="15.75">
      <c r="B26" s="70" t="s">
        <v>462</v>
      </c>
      <c r="C26" s="77">
        <v>43609</v>
      </c>
      <c r="D26" s="70" t="s">
        <v>266</v>
      </c>
      <c r="E26" s="68" t="s">
        <v>135</v>
      </c>
      <c r="F26" s="68" t="s">
        <v>420</v>
      </c>
      <c r="G26" s="68" t="s">
        <v>415</v>
      </c>
      <c r="H26" s="68" t="s">
        <v>463</v>
      </c>
      <c r="I26" s="68" t="s">
        <v>1113</v>
      </c>
      <c r="J26" s="68">
        <v>83.78</v>
      </c>
      <c r="K26" s="68">
        <v>87.968999999999994</v>
      </c>
      <c r="L26" s="68">
        <v>8</v>
      </c>
      <c r="M26" s="68" t="s">
        <v>422</v>
      </c>
      <c r="N26" s="68">
        <v>5.0999999999999996</v>
      </c>
      <c r="O26" s="68">
        <v>4.188999999999993</v>
      </c>
    </row>
    <row r="27" spans="2:15" ht="15.75">
      <c r="B27" s="70" t="s">
        <v>464</v>
      </c>
      <c r="C27" s="77">
        <v>43610</v>
      </c>
      <c r="D27" s="70" t="s">
        <v>175</v>
      </c>
      <c r="E27" s="68" t="s">
        <v>134</v>
      </c>
      <c r="F27" s="68" t="s">
        <v>420</v>
      </c>
      <c r="G27" s="68" t="s">
        <v>415</v>
      </c>
      <c r="H27" s="68" t="s">
        <v>465</v>
      </c>
      <c r="I27" s="68" t="s">
        <v>1115</v>
      </c>
      <c r="J27" s="68">
        <v>96.58</v>
      </c>
      <c r="K27" s="68">
        <v>101.40900000000001</v>
      </c>
      <c r="L27" s="68">
        <v>2</v>
      </c>
      <c r="M27" s="68" t="s">
        <v>433</v>
      </c>
      <c r="N27" s="68">
        <v>5.0999999999999996</v>
      </c>
      <c r="O27" s="68">
        <v>4.8290000000000077</v>
      </c>
    </row>
    <row r="28" spans="2:15" ht="15.75">
      <c r="B28" s="70" t="s">
        <v>466</v>
      </c>
      <c r="C28" s="77">
        <v>43611</v>
      </c>
      <c r="D28" s="70" t="s">
        <v>419</v>
      </c>
      <c r="E28" s="68" t="s">
        <v>131</v>
      </c>
      <c r="F28" s="68" t="s">
        <v>414</v>
      </c>
      <c r="G28" s="68" t="s">
        <v>415</v>
      </c>
      <c r="H28" s="68" t="s">
        <v>467</v>
      </c>
      <c r="I28" s="68" t="s">
        <v>1114</v>
      </c>
      <c r="J28" s="68">
        <v>99.42</v>
      </c>
      <c r="K28" s="68">
        <v>104.39100000000001</v>
      </c>
      <c r="L28" s="68">
        <v>4</v>
      </c>
      <c r="M28" s="68" t="s">
        <v>417</v>
      </c>
      <c r="N28" s="68">
        <v>7.5</v>
      </c>
      <c r="O28" s="68">
        <v>4.9710000000000036</v>
      </c>
    </row>
    <row r="29" spans="2:15" ht="15.75">
      <c r="B29" s="70" t="s">
        <v>468</v>
      </c>
      <c r="C29" s="77">
        <v>43612</v>
      </c>
      <c r="D29" s="70" t="s">
        <v>419</v>
      </c>
      <c r="E29" s="68" t="s">
        <v>131</v>
      </c>
      <c r="F29" s="68" t="s">
        <v>414</v>
      </c>
      <c r="G29" s="68" t="s">
        <v>415</v>
      </c>
      <c r="H29" s="68" t="s">
        <v>469</v>
      </c>
      <c r="I29" s="68" t="s">
        <v>1113</v>
      </c>
      <c r="J29" s="68">
        <v>68.12</v>
      </c>
      <c r="K29" s="68">
        <v>71.525999999999996</v>
      </c>
      <c r="L29" s="68">
        <v>1</v>
      </c>
      <c r="M29" s="68" t="s">
        <v>417</v>
      </c>
      <c r="N29" s="68">
        <v>6.8</v>
      </c>
      <c r="O29" s="68">
        <v>3.4059999999999917</v>
      </c>
    </row>
    <row r="30" spans="2:15" ht="15.75">
      <c r="B30" s="70" t="s">
        <v>470</v>
      </c>
      <c r="C30" s="77">
        <v>43613</v>
      </c>
      <c r="D30" s="70" t="s">
        <v>175</v>
      </c>
      <c r="E30" s="68" t="s">
        <v>134</v>
      </c>
      <c r="F30" s="68" t="s">
        <v>414</v>
      </c>
      <c r="G30" s="68" t="s">
        <v>415</v>
      </c>
      <c r="H30" s="68" t="s">
        <v>471</v>
      </c>
      <c r="I30" s="68" t="s">
        <v>1113</v>
      </c>
      <c r="J30" s="68">
        <v>62.62</v>
      </c>
      <c r="K30" s="68">
        <v>65.751000000000005</v>
      </c>
      <c r="L30" s="68">
        <v>5</v>
      </c>
      <c r="M30" s="68" t="s">
        <v>417</v>
      </c>
      <c r="N30" s="68">
        <v>7</v>
      </c>
      <c r="O30" s="68">
        <v>3.1310000000000073</v>
      </c>
    </row>
    <row r="31" spans="2:15" ht="15.75">
      <c r="B31" s="70" t="s">
        <v>472</v>
      </c>
      <c r="C31" s="77">
        <v>43614</v>
      </c>
      <c r="D31" s="70" t="s">
        <v>175</v>
      </c>
      <c r="E31" s="68" t="s">
        <v>134</v>
      </c>
      <c r="F31" s="68" t="s">
        <v>420</v>
      </c>
      <c r="G31" s="68" t="s">
        <v>415</v>
      </c>
      <c r="H31" s="68" t="s">
        <v>437</v>
      </c>
      <c r="I31" s="68" t="s">
        <v>1116</v>
      </c>
      <c r="J31" s="68">
        <v>60.88</v>
      </c>
      <c r="K31" s="68">
        <v>63.924000000000007</v>
      </c>
      <c r="L31" s="68">
        <v>9</v>
      </c>
      <c r="M31" s="68" t="s">
        <v>417</v>
      </c>
      <c r="N31" s="68">
        <v>4.7</v>
      </c>
      <c r="O31" s="68">
        <v>3.044000000000004</v>
      </c>
    </row>
    <row r="32" spans="2:15" ht="15.75">
      <c r="B32" s="70" t="s">
        <v>473</v>
      </c>
      <c r="C32" s="77">
        <v>43615</v>
      </c>
      <c r="D32" s="70" t="s">
        <v>419</v>
      </c>
      <c r="E32" s="68" t="s">
        <v>131</v>
      </c>
      <c r="F32" s="68" t="s">
        <v>420</v>
      </c>
      <c r="G32" s="68" t="s">
        <v>415</v>
      </c>
      <c r="H32" s="68" t="s">
        <v>465</v>
      </c>
      <c r="I32" s="68" t="s">
        <v>1115</v>
      </c>
      <c r="J32" s="68">
        <v>54.92</v>
      </c>
      <c r="K32" s="68">
        <v>57.665999999999997</v>
      </c>
      <c r="L32" s="68">
        <v>8</v>
      </c>
      <c r="M32" s="68" t="s">
        <v>417</v>
      </c>
      <c r="N32" s="68">
        <v>7.6</v>
      </c>
      <c r="O32" s="68">
        <v>2.7459999999999951</v>
      </c>
    </row>
    <row r="33" spans="2:15" ht="15.75">
      <c r="B33" s="70" t="s">
        <v>474</v>
      </c>
      <c r="C33" s="77">
        <v>43616</v>
      </c>
      <c r="D33" s="70" t="s">
        <v>266</v>
      </c>
      <c r="E33" s="68" t="s">
        <v>135</v>
      </c>
      <c r="F33" s="68" t="s">
        <v>414</v>
      </c>
      <c r="G33" s="68" t="s">
        <v>415</v>
      </c>
      <c r="H33" s="68" t="s">
        <v>444</v>
      </c>
      <c r="I33" s="68" t="s">
        <v>1113</v>
      </c>
      <c r="J33" s="68">
        <v>69.12</v>
      </c>
      <c r="K33" s="68">
        <v>72.576000000000008</v>
      </c>
      <c r="L33" s="68">
        <v>6</v>
      </c>
      <c r="M33" s="68" t="s">
        <v>422</v>
      </c>
      <c r="N33" s="68">
        <v>5.6</v>
      </c>
      <c r="O33" s="68">
        <v>3.4560000000000031</v>
      </c>
    </row>
    <row r="34" spans="2:15" ht="15.75">
      <c r="B34" s="70" t="s">
        <v>475</v>
      </c>
      <c r="C34" s="77">
        <v>43617</v>
      </c>
      <c r="D34" s="70" t="s">
        <v>419</v>
      </c>
      <c r="E34" s="68" t="s">
        <v>131</v>
      </c>
      <c r="F34" s="68" t="s">
        <v>414</v>
      </c>
      <c r="G34" s="68" t="s">
        <v>415</v>
      </c>
      <c r="H34" s="68" t="s">
        <v>476</v>
      </c>
      <c r="I34" s="68" t="s">
        <v>1114</v>
      </c>
      <c r="J34" s="68">
        <v>98.7</v>
      </c>
      <c r="K34" s="68">
        <v>103.63500000000001</v>
      </c>
      <c r="L34" s="68">
        <v>8</v>
      </c>
      <c r="M34" s="68" t="s">
        <v>422</v>
      </c>
      <c r="N34" s="68">
        <v>7.6</v>
      </c>
      <c r="O34" s="68">
        <v>4.9350000000000023</v>
      </c>
    </row>
    <row r="35" spans="2:15" ht="15.75">
      <c r="B35" s="70" t="s">
        <v>477</v>
      </c>
      <c r="C35" s="77">
        <v>43618</v>
      </c>
      <c r="D35" s="70" t="s">
        <v>419</v>
      </c>
      <c r="E35" s="68" t="s">
        <v>131</v>
      </c>
      <c r="F35" s="68" t="s">
        <v>414</v>
      </c>
      <c r="G35" s="68" t="s">
        <v>415</v>
      </c>
      <c r="H35" s="68" t="s">
        <v>442</v>
      </c>
      <c r="I35" s="68" t="s">
        <v>1115</v>
      </c>
      <c r="J35" s="68">
        <v>15.37</v>
      </c>
      <c r="K35" s="68">
        <v>16.138500000000001</v>
      </c>
      <c r="L35" s="68">
        <v>2</v>
      </c>
      <c r="M35" s="68" t="s">
        <v>422</v>
      </c>
      <c r="N35" s="68">
        <v>7.2</v>
      </c>
      <c r="O35" s="68">
        <v>0.76850000000000129</v>
      </c>
    </row>
    <row r="36" spans="2:15" ht="15.75">
      <c r="B36" s="70" t="s">
        <v>478</v>
      </c>
      <c r="C36" s="77">
        <v>43619</v>
      </c>
      <c r="D36" s="70" t="s">
        <v>266</v>
      </c>
      <c r="E36" s="68" t="s">
        <v>135</v>
      </c>
      <c r="F36" s="68" t="s">
        <v>414</v>
      </c>
      <c r="G36" s="68" t="s">
        <v>415</v>
      </c>
      <c r="H36" s="68" t="s">
        <v>437</v>
      </c>
      <c r="I36" s="68" t="s">
        <v>1116</v>
      </c>
      <c r="J36" s="68">
        <v>93.96</v>
      </c>
      <c r="K36" s="68">
        <v>98.658000000000001</v>
      </c>
      <c r="L36" s="68">
        <v>4</v>
      </c>
      <c r="M36" s="68" t="s">
        <v>422</v>
      </c>
      <c r="N36" s="68">
        <v>9.5</v>
      </c>
      <c r="O36" s="68">
        <v>4.6980000000000075</v>
      </c>
    </row>
    <row r="37" spans="2:15" ht="15.75">
      <c r="B37" s="70" t="s">
        <v>479</v>
      </c>
      <c r="C37" s="77">
        <v>43620</v>
      </c>
      <c r="D37" s="70" t="s">
        <v>266</v>
      </c>
      <c r="E37" s="68" t="s">
        <v>135</v>
      </c>
      <c r="F37" s="68" t="s">
        <v>414</v>
      </c>
      <c r="G37" s="68" t="s">
        <v>415</v>
      </c>
      <c r="H37" s="68" t="s">
        <v>465</v>
      </c>
      <c r="I37" s="68" t="s">
        <v>1115</v>
      </c>
      <c r="J37" s="68">
        <v>56.69</v>
      </c>
      <c r="K37" s="68">
        <v>59.524500000000003</v>
      </c>
      <c r="L37" s="68">
        <v>9</v>
      </c>
      <c r="M37" s="68" t="s">
        <v>433</v>
      </c>
      <c r="N37" s="68">
        <v>8.4</v>
      </c>
      <c r="O37" s="68">
        <v>2.8345000000000056</v>
      </c>
    </row>
    <row r="38" spans="2:15" ht="15.75">
      <c r="B38" s="70" t="s">
        <v>480</v>
      </c>
      <c r="C38" s="77">
        <v>43621</v>
      </c>
      <c r="D38" s="70" t="s">
        <v>266</v>
      </c>
      <c r="E38" s="68" t="s">
        <v>135</v>
      </c>
      <c r="F38" s="68" t="s">
        <v>414</v>
      </c>
      <c r="G38" s="68" t="s">
        <v>415</v>
      </c>
      <c r="H38" s="68" t="s">
        <v>467</v>
      </c>
      <c r="I38" s="68" t="s">
        <v>1114</v>
      </c>
      <c r="J38" s="68">
        <v>20.010000000000002</v>
      </c>
      <c r="K38" s="68">
        <v>21.0105</v>
      </c>
      <c r="L38" s="68">
        <v>9</v>
      </c>
      <c r="M38" s="68" t="s">
        <v>417</v>
      </c>
      <c r="N38" s="68">
        <v>4.0999999999999996</v>
      </c>
      <c r="O38" s="68">
        <v>1.0004999999999988</v>
      </c>
    </row>
    <row r="39" spans="2:15" ht="15.75">
      <c r="B39" s="70" t="s">
        <v>481</v>
      </c>
      <c r="C39" s="77">
        <v>43622</v>
      </c>
      <c r="D39" s="70" t="s">
        <v>266</v>
      </c>
      <c r="E39" s="68" t="s">
        <v>135</v>
      </c>
      <c r="F39" s="68" t="s">
        <v>414</v>
      </c>
      <c r="G39" s="68" t="s">
        <v>415</v>
      </c>
      <c r="H39" s="68" t="s">
        <v>437</v>
      </c>
      <c r="I39" s="68" t="s">
        <v>1116</v>
      </c>
      <c r="J39" s="68">
        <v>18.93</v>
      </c>
      <c r="K39" s="68">
        <v>19.8765</v>
      </c>
      <c r="L39" s="68">
        <v>6</v>
      </c>
      <c r="M39" s="68" t="s">
        <v>433</v>
      </c>
      <c r="N39" s="68">
        <v>8.1</v>
      </c>
      <c r="O39" s="68">
        <v>0.94650000000000034</v>
      </c>
    </row>
    <row r="40" spans="2:15" ht="15.75">
      <c r="B40" s="70" t="s">
        <v>482</v>
      </c>
      <c r="C40" s="77">
        <v>43623</v>
      </c>
      <c r="D40" s="70" t="s">
        <v>419</v>
      </c>
      <c r="E40" s="68" t="s">
        <v>131</v>
      </c>
      <c r="F40" s="68" t="s">
        <v>414</v>
      </c>
      <c r="G40" s="68" t="s">
        <v>415</v>
      </c>
      <c r="H40" s="68" t="s">
        <v>467</v>
      </c>
      <c r="I40" s="68" t="s">
        <v>1114</v>
      </c>
      <c r="J40" s="68">
        <v>91.4</v>
      </c>
      <c r="K40" s="68">
        <v>95.97</v>
      </c>
      <c r="L40" s="68">
        <v>7</v>
      </c>
      <c r="M40" s="68" t="s">
        <v>422</v>
      </c>
      <c r="N40" s="68">
        <v>9.5</v>
      </c>
      <c r="O40" s="68">
        <v>4.5699999999999932</v>
      </c>
    </row>
    <row r="41" spans="2:15" ht="15.75">
      <c r="B41" s="70" t="s">
        <v>483</v>
      </c>
      <c r="C41" s="77">
        <v>43624</v>
      </c>
      <c r="D41" s="70" t="s">
        <v>175</v>
      </c>
      <c r="E41" s="68" t="s">
        <v>134</v>
      </c>
      <c r="F41" s="68" t="s">
        <v>414</v>
      </c>
      <c r="G41" s="68" t="s">
        <v>415</v>
      </c>
      <c r="H41" s="68" t="s">
        <v>467</v>
      </c>
      <c r="I41" s="68" t="s">
        <v>1114</v>
      </c>
      <c r="J41" s="68">
        <v>44.59</v>
      </c>
      <c r="K41" s="68">
        <v>46.819499999999998</v>
      </c>
      <c r="L41" s="68">
        <v>5</v>
      </c>
      <c r="M41" s="68" t="s">
        <v>422</v>
      </c>
      <c r="N41" s="68">
        <v>8.5</v>
      </c>
      <c r="O41" s="68">
        <v>2.2294999999999945</v>
      </c>
    </row>
    <row r="42" spans="2:15" ht="15.75">
      <c r="B42" s="70" t="s">
        <v>484</v>
      </c>
      <c r="C42" s="77">
        <v>43625</v>
      </c>
      <c r="D42" s="70" t="s">
        <v>419</v>
      </c>
      <c r="E42" s="68" t="s">
        <v>131</v>
      </c>
      <c r="F42" s="68" t="s">
        <v>420</v>
      </c>
      <c r="G42" s="68" t="s">
        <v>415</v>
      </c>
      <c r="H42" s="68" t="s">
        <v>421</v>
      </c>
      <c r="I42" s="68" t="s">
        <v>1116</v>
      </c>
      <c r="J42" s="68">
        <v>85.98</v>
      </c>
      <c r="K42" s="68">
        <v>90.278999999999996</v>
      </c>
      <c r="L42" s="68">
        <v>8</v>
      </c>
      <c r="M42" s="68" t="s">
        <v>422</v>
      </c>
      <c r="N42" s="68">
        <v>8.1999999999999993</v>
      </c>
      <c r="O42" s="68">
        <v>4.2989999999999924</v>
      </c>
    </row>
    <row r="43" spans="2:15" ht="15.75">
      <c r="B43" s="70" t="s">
        <v>485</v>
      </c>
      <c r="C43" s="77">
        <v>43626</v>
      </c>
      <c r="D43" s="70" t="s">
        <v>175</v>
      </c>
      <c r="E43" s="68" t="s">
        <v>134</v>
      </c>
      <c r="F43" s="68" t="s">
        <v>420</v>
      </c>
      <c r="G43" s="68" t="s">
        <v>415</v>
      </c>
      <c r="H43" s="68" t="s">
        <v>465</v>
      </c>
      <c r="I43" s="68" t="s">
        <v>1115</v>
      </c>
      <c r="J43" s="68">
        <v>89.6</v>
      </c>
      <c r="K43" s="68">
        <v>94.08</v>
      </c>
      <c r="L43" s="68">
        <v>8</v>
      </c>
      <c r="M43" s="68" t="s">
        <v>417</v>
      </c>
      <c r="N43" s="68">
        <v>6.6</v>
      </c>
      <c r="O43" s="68">
        <v>4.480000000000004</v>
      </c>
    </row>
    <row r="44" spans="2:15" ht="15.75">
      <c r="B44" s="70" t="s">
        <v>486</v>
      </c>
      <c r="C44" s="77">
        <v>43627</v>
      </c>
      <c r="D44" s="70" t="s">
        <v>419</v>
      </c>
      <c r="E44" s="68" t="s">
        <v>131</v>
      </c>
      <c r="F44" s="68" t="s">
        <v>420</v>
      </c>
      <c r="G44" s="68" t="s">
        <v>415</v>
      </c>
      <c r="H44" s="68" t="s">
        <v>421</v>
      </c>
      <c r="I44" s="68" t="s">
        <v>1116</v>
      </c>
      <c r="J44" s="68">
        <v>30.61</v>
      </c>
      <c r="K44" s="68">
        <v>32.140499999999996</v>
      </c>
      <c r="L44" s="68">
        <v>6</v>
      </c>
      <c r="M44" s="68" t="s">
        <v>422</v>
      </c>
      <c r="N44" s="68">
        <v>9.3000000000000007</v>
      </c>
      <c r="O44" s="68">
        <v>1.5304999999999964</v>
      </c>
    </row>
    <row r="45" spans="2:15" ht="15.75">
      <c r="B45" s="70" t="s">
        <v>487</v>
      </c>
      <c r="C45" s="77">
        <v>43628</v>
      </c>
      <c r="D45" s="70" t="s">
        <v>419</v>
      </c>
      <c r="E45" s="68" t="s">
        <v>131</v>
      </c>
      <c r="F45" s="68" t="s">
        <v>414</v>
      </c>
      <c r="G45" s="68" t="s">
        <v>415</v>
      </c>
      <c r="H45" s="68" t="s">
        <v>448</v>
      </c>
      <c r="I45" s="68" t="s">
        <v>1113</v>
      </c>
      <c r="J45" s="68">
        <v>24.74</v>
      </c>
      <c r="K45" s="68">
        <v>25.977</v>
      </c>
      <c r="L45" s="68">
        <v>3</v>
      </c>
      <c r="M45" s="68" t="s">
        <v>433</v>
      </c>
      <c r="N45" s="68">
        <v>10</v>
      </c>
      <c r="O45" s="68">
        <v>1.2370000000000019</v>
      </c>
    </row>
    <row r="46" spans="2:15" ht="15.75">
      <c r="B46" s="70" t="s">
        <v>488</v>
      </c>
      <c r="C46" s="77">
        <v>43629</v>
      </c>
      <c r="D46" s="70" t="s">
        <v>266</v>
      </c>
      <c r="E46" s="68" t="s">
        <v>135</v>
      </c>
      <c r="F46" s="68" t="s">
        <v>414</v>
      </c>
      <c r="G46" s="68" t="s">
        <v>415</v>
      </c>
      <c r="H46" s="68" t="s">
        <v>426</v>
      </c>
      <c r="I46" s="68" t="s">
        <v>1113</v>
      </c>
      <c r="J46" s="68">
        <v>55.07</v>
      </c>
      <c r="K46" s="68">
        <v>57.823500000000003</v>
      </c>
      <c r="L46" s="68">
        <v>9</v>
      </c>
      <c r="M46" s="68" t="s">
        <v>417</v>
      </c>
      <c r="N46" s="68">
        <v>10</v>
      </c>
      <c r="O46" s="68">
        <v>2.7535000000000025</v>
      </c>
    </row>
    <row r="47" spans="2:15" ht="15.75">
      <c r="B47" s="70" t="s">
        <v>489</v>
      </c>
      <c r="C47" s="77">
        <v>43630</v>
      </c>
      <c r="D47" s="70" t="s">
        <v>175</v>
      </c>
      <c r="E47" s="68" t="s">
        <v>134</v>
      </c>
      <c r="F47" s="68" t="s">
        <v>414</v>
      </c>
      <c r="G47" s="68" t="s">
        <v>415</v>
      </c>
      <c r="H47" s="68" t="s">
        <v>469</v>
      </c>
      <c r="I47" s="68" t="s">
        <v>1113</v>
      </c>
      <c r="J47" s="68">
        <v>15.81</v>
      </c>
      <c r="K47" s="68">
        <v>16.6005</v>
      </c>
      <c r="L47" s="68">
        <v>10</v>
      </c>
      <c r="M47" s="68" t="s">
        <v>433</v>
      </c>
      <c r="N47" s="68">
        <v>8.6</v>
      </c>
      <c r="O47" s="68">
        <v>0.79049999999999976</v>
      </c>
    </row>
    <row r="48" spans="2:15" ht="15.75">
      <c r="B48" s="70" t="s">
        <v>490</v>
      </c>
      <c r="C48" s="77">
        <v>43631</v>
      </c>
      <c r="D48" s="70" t="s">
        <v>266</v>
      </c>
      <c r="E48" s="68" t="s">
        <v>135</v>
      </c>
      <c r="F48" s="68" t="s">
        <v>414</v>
      </c>
      <c r="G48" s="68" t="s">
        <v>415</v>
      </c>
      <c r="H48" s="68" t="s">
        <v>465</v>
      </c>
      <c r="I48" s="68" t="s">
        <v>1115</v>
      </c>
      <c r="J48" s="68">
        <v>75.739999999999995</v>
      </c>
      <c r="K48" s="68">
        <v>79.527000000000001</v>
      </c>
      <c r="L48" s="68">
        <v>4</v>
      </c>
      <c r="M48" s="68" t="s">
        <v>422</v>
      </c>
      <c r="N48" s="68">
        <v>7.6</v>
      </c>
      <c r="O48" s="68">
        <v>3.7870000000000061</v>
      </c>
    </row>
    <row r="49" spans="2:15" ht="15.75">
      <c r="B49" s="70" t="s">
        <v>491</v>
      </c>
      <c r="C49" s="77">
        <v>43632</v>
      </c>
      <c r="D49" s="70" t="s">
        <v>175</v>
      </c>
      <c r="E49" s="68" t="s">
        <v>134</v>
      </c>
      <c r="F49" s="68" t="s">
        <v>414</v>
      </c>
      <c r="G49" s="68" t="s">
        <v>415</v>
      </c>
      <c r="H49" s="68" t="s">
        <v>442</v>
      </c>
      <c r="I49" s="68" t="s">
        <v>1115</v>
      </c>
      <c r="J49" s="68">
        <v>15.87</v>
      </c>
      <c r="K49" s="68">
        <v>16.663499999999999</v>
      </c>
      <c r="L49" s="68">
        <v>10</v>
      </c>
      <c r="M49" s="68" t="s">
        <v>422</v>
      </c>
      <c r="N49" s="68">
        <v>5.8</v>
      </c>
      <c r="O49" s="68">
        <v>0.79349999999999987</v>
      </c>
    </row>
    <row r="50" spans="2:15" ht="15.75">
      <c r="B50" s="70" t="s">
        <v>492</v>
      </c>
      <c r="C50" s="77">
        <v>43633</v>
      </c>
      <c r="D50" s="70" t="s">
        <v>419</v>
      </c>
      <c r="E50" s="68" t="s">
        <v>131</v>
      </c>
      <c r="F50" s="68" t="s">
        <v>420</v>
      </c>
      <c r="G50" s="68" t="s">
        <v>415</v>
      </c>
      <c r="H50" s="68" t="s">
        <v>416</v>
      </c>
      <c r="I50" s="68" t="s">
        <v>1115</v>
      </c>
      <c r="J50" s="68">
        <v>33.47</v>
      </c>
      <c r="K50" s="68">
        <v>35.143500000000003</v>
      </c>
      <c r="L50" s="68">
        <v>2</v>
      </c>
      <c r="M50" s="68" t="s">
        <v>417</v>
      </c>
      <c r="N50" s="68">
        <v>6.7</v>
      </c>
      <c r="O50" s="68">
        <v>1.6735000000000042</v>
      </c>
    </row>
    <row r="51" spans="2:15" ht="15.75">
      <c r="B51" s="70" t="s">
        <v>493</v>
      </c>
      <c r="C51" s="77">
        <v>43634</v>
      </c>
      <c r="D51" s="70" t="s">
        <v>175</v>
      </c>
      <c r="E51" s="68" t="s">
        <v>134</v>
      </c>
      <c r="F51" s="68" t="s">
        <v>420</v>
      </c>
      <c r="G51" s="68" t="s">
        <v>494</v>
      </c>
      <c r="H51" s="68" t="s">
        <v>469</v>
      </c>
      <c r="I51" s="68" t="s">
        <v>1113</v>
      </c>
      <c r="J51" s="68">
        <v>78.77</v>
      </c>
      <c r="K51" s="68">
        <v>82.708500000000001</v>
      </c>
      <c r="L51" s="68">
        <v>10</v>
      </c>
      <c r="M51" s="68" t="s">
        <v>422</v>
      </c>
      <c r="N51" s="68">
        <v>6.4</v>
      </c>
      <c r="O51" s="68">
        <v>3.9385000000000048</v>
      </c>
    </row>
    <row r="52" spans="2:15" ht="15.75">
      <c r="B52" s="70" t="s">
        <v>495</v>
      </c>
      <c r="C52" s="77">
        <v>43635</v>
      </c>
      <c r="D52" s="70" t="s">
        <v>175</v>
      </c>
      <c r="E52" s="68" t="s">
        <v>134</v>
      </c>
      <c r="F52" s="68" t="s">
        <v>414</v>
      </c>
      <c r="G52" s="68" t="s">
        <v>415</v>
      </c>
      <c r="H52" s="68" t="s">
        <v>416</v>
      </c>
      <c r="I52" s="68" t="s">
        <v>1115</v>
      </c>
      <c r="J52" s="68">
        <v>18.329999999999998</v>
      </c>
      <c r="K52" s="68">
        <v>19.246500000000001</v>
      </c>
      <c r="L52" s="68">
        <v>1</v>
      </c>
      <c r="M52" s="68" t="s">
        <v>422</v>
      </c>
      <c r="N52" s="68">
        <v>4.3</v>
      </c>
      <c r="O52" s="68">
        <v>0.91650000000000276</v>
      </c>
    </row>
    <row r="53" spans="2:15" ht="15.75">
      <c r="B53" s="70" t="s">
        <v>496</v>
      </c>
      <c r="C53" s="77">
        <v>43636</v>
      </c>
      <c r="D53" s="70" t="s">
        <v>419</v>
      </c>
      <c r="E53" s="68" t="s">
        <v>131</v>
      </c>
      <c r="F53" s="68" t="s">
        <v>420</v>
      </c>
      <c r="G53" s="68" t="s">
        <v>494</v>
      </c>
      <c r="H53" s="68" t="s">
        <v>467</v>
      </c>
      <c r="I53" s="68" t="s">
        <v>1114</v>
      </c>
      <c r="J53" s="68">
        <v>89.48</v>
      </c>
      <c r="K53" s="68">
        <v>93.953999999999994</v>
      </c>
      <c r="L53" s="68">
        <v>10</v>
      </c>
      <c r="M53" s="68" t="s">
        <v>433</v>
      </c>
      <c r="N53" s="68">
        <v>9.6</v>
      </c>
      <c r="O53" s="68">
        <v>4.4739999999999895</v>
      </c>
    </row>
    <row r="54" spans="2:15" ht="15.75">
      <c r="B54" s="70" t="s">
        <v>497</v>
      </c>
      <c r="C54" s="77">
        <v>43637</v>
      </c>
      <c r="D54" s="70" t="s">
        <v>266</v>
      </c>
      <c r="E54" s="68" t="s">
        <v>135</v>
      </c>
      <c r="F54" s="68" t="s">
        <v>414</v>
      </c>
      <c r="G54" s="68" t="s">
        <v>415</v>
      </c>
      <c r="H54" s="68" t="s">
        <v>476</v>
      </c>
      <c r="I54" s="68" t="s">
        <v>1114</v>
      </c>
      <c r="J54" s="68">
        <v>48.52</v>
      </c>
      <c r="K54" s="68">
        <v>50.945999999999998</v>
      </c>
      <c r="L54" s="68">
        <v>3</v>
      </c>
      <c r="M54" s="68" t="s">
        <v>417</v>
      </c>
      <c r="N54" s="68">
        <v>4</v>
      </c>
      <c r="O54" s="68">
        <v>2.4259999999999948</v>
      </c>
    </row>
    <row r="55" spans="2:15" ht="15.75">
      <c r="B55" s="70" t="s">
        <v>498</v>
      </c>
      <c r="C55" s="77">
        <v>43638</v>
      </c>
      <c r="D55" s="70" t="s">
        <v>419</v>
      </c>
      <c r="E55" s="68" t="s">
        <v>131</v>
      </c>
      <c r="F55" s="68" t="s">
        <v>420</v>
      </c>
      <c r="G55" s="68" t="s">
        <v>415</v>
      </c>
      <c r="H55" s="68" t="s">
        <v>499</v>
      </c>
      <c r="I55" s="68" t="s">
        <v>1116</v>
      </c>
      <c r="J55" s="68">
        <v>75.91</v>
      </c>
      <c r="K55" s="68">
        <v>79.705500000000001</v>
      </c>
      <c r="L55" s="68">
        <v>6</v>
      </c>
      <c r="M55" s="68" t="s">
        <v>422</v>
      </c>
      <c r="N55" s="68">
        <v>8.6999999999999993</v>
      </c>
      <c r="O55" s="68">
        <v>3.7955000000000041</v>
      </c>
    </row>
    <row r="56" spans="2:15" ht="15.75">
      <c r="B56" s="70" t="s">
        <v>500</v>
      </c>
      <c r="C56" s="77">
        <v>43639</v>
      </c>
      <c r="D56" s="70" t="s">
        <v>419</v>
      </c>
      <c r="E56" s="68" t="s">
        <v>131</v>
      </c>
      <c r="F56" s="68" t="s">
        <v>420</v>
      </c>
      <c r="G56" s="68" t="s">
        <v>415</v>
      </c>
      <c r="H56" s="68" t="s">
        <v>430</v>
      </c>
      <c r="I56" s="68" t="s">
        <v>1116</v>
      </c>
      <c r="J56" s="68">
        <v>41.65</v>
      </c>
      <c r="K56" s="68">
        <v>43.732500000000002</v>
      </c>
      <c r="L56" s="68">
        <v>10</v>
      </c>
      <c r="M56" s="68" t="s">
        <v>433</v>
      </c>
      <c r="N56" s="68">
        <v>5.4</v>
      </c>
      <c r="O56" s="68">
        <v>2.0825000000000031</v>
      </c>
    </row>
    <row r="57" spans="2:15" ht="15.75">
      <c r="B57" s="70" t="s">
        <v>501</v>
      </c>
      <c r="C57" s="77">
        <v>43640</v>
      </c>
      <c r="D57" s="70" t="s">
        <v>419</v>
      </c>
      <c r="E57" s="68" t="s">
        <v>131</v>
      </c>
      <c r="F57" s="68" t="s">
        <v>414</v>
      </c>
      <c r="G57" s="68" t="s">
        <v>415</v>
      </c>
      <c r="H57" s="68" t="s">
        <v>440</v>
      </c>
      <c r="I57" s="68" t="s">
        <v>1114</v>
      </c>
      <c r="J57" s="68">
        <v>78.31</v>
      </c>
      <c r="K57" s="68">
        <v>82.225499999999997</v>
      </c>
      <c r="L57" s="68">
        <v>10</v>
      </c>
      <c r="M57" s="68" t="s">
        <v>417</v>
      </c>
      <c r="N57" s="68">
        <v>6.6</v>
      </c>
      <c r="O57" s="68">
        <v>3.9154999999999944</v>
      </c>
    </row>
    <row r="58" spans="2:15" ht="15.75">
      <c r="B58" s="70" t="s">
        <v>502</v>
      </c>
      <c r="C58" s="77">
        <v>43641</v>
      </c>
      <c r="D58" s="70" t="s">
        <v>419</v>
      </c>
      <c r="E58" s="68" t="s">
        <v>131</v>
      </c>
      <c r="F58" s="68" t="s">
        <v>420</v>
      </c>
      <c r="G58" s="68" t="s">
        <v>415</v>
      </c>
      <c r="H58" s="68" t="s">
        <v>442</v>
      </c>
      <c r="I58" s="68" t="s">
        <v>1115</v>
      </c>
      <c r="J58" s="68">
        <v>20.38</v>
      </c>
      <c r="K58" s="68">
        <v>21.399000000000001</v>
      </c>
      <c r="L58" s="68">
        <v>5</v>
      </c>
      <c r="M58" s="68" t="s">
        <v>422</v>
      </c>
      <c r="N58" s="68">
        <v>6</v>
      </c>
      <c r="O58" s="68">
        <v>1.0190000000000019</v>
      </c>
    </row>
    <row r="59" spans="2:15" ht="15.75">
      <c r="B59" s="70" t="s">
        <v>503</v>
      </c>
      <c r="C59" s="77">
        <v>43642</v>
      </c>
      <c r="D59" s="70" t="s">
        <v>419</v>
      </c>
      <c r="E59" s="68" t="s">
        <v>131</v>
      </c>
      <c r="F59" s="68" t="s">
        <v>420</v>
      </c>
      <c r="G59" s="68" t="s">
        <v>415</v>
      </c>
      <c r="H59" s="68" t="s">
        <v>416</v>
      </c>
      <c r="I59" s="68" t="s">
        <v>1115</v>
      </c>
      <c r="J59" s="68">
        <v>99.19</v>
      </c>
      <c r="K59" s="68">
        <v>104.1495</v>
      </c>
      <c r="L59" s="68">
        <v>6</v>
      </c>
      <c r="M59" s="68" t="s">
        <v>433</v>
      </c>
      <c r="N59" s="68">
        <v>5.5</v>
      </c>
      <c r="O59" s="68">
        <v>4.9595000000000056</v>
      </c>
    </row>
    <row r="60" spans="2:15" ht="15.75">
      <c r="B60" s="70" t="s">
        <v>504</v>
      </c>
      <c r="C60" s="77">
        <v>43643</v>
      </c>
      <c r="D60" s="70" t="s">
        <v>266</v>
      </c>
      <c r="E60" s="68" t="s">
        <v>135</v>
      </c>
      <c r="F60" s="68" t="s">
        <v>420</v>
      </c>
      <c r="G60" s="68" t="s">
        <v>415</v>
      </c>
      <c r="H60" s="68" t="s">
        <v>467</v>
      </c>
      <c r="I60" s="68" t="s">
        <v>1114</v>
      </c>
      <c r="J60" s="68">
        <v>96.68</v>
      </c>
      <c r="K60" s="68">
        <v>101.514</v>
      </c>
      <c r="L60" s="68">
        <v>3</v>
      </c>
      <c r="M60" s="68" t="s">
        <v>417</v>
      </c>
      <c r="N60" s="68">
        <v>6.4</v>
      </c>
      <c r="O60" s="68">
        <v>4.833999999999989</v>
      </c>
    </row>
    <row r="61" spans="2:15" ht="15.75">
      <c r="B61" s="70" t="s">
        <v>505</v>
      </c>
      <c r="C61" s="77">
        <v>43644</v>
      </c>
      <c r="D61" s="70" t="s">
        <v>419</v>
      </c>
      <c r="E61" s="68" t="s">
        <v>131</v>
      </c>
      <c r="F61" s="68" t="s">
        <v>420</v>
      </c>
      <c r="G61" s="68" t="s">
        <v>494</v>
      </c>
      <c r="H61" s="68" t="s">
        <v>467</v>
      </c>
      <c r="I61" s="68" t="s">
        <v>1114</v>
      </c>
      <c r="J61" s="68">
        <v>19.25</v>
      </c>
      <c r="K61" s="68">
        <v>20.212499999999999</v>
      </c>
      <c r="L61" s="68">
        <v>8</v>
      </c>
      <c r="M61" s="68" t="s">
        <v>417</v>
      </c>
      <c r="N61" s="68">
        <v>6.6</v>
      </c>
      <c r="O61" s="68">
        <v>0.96249999999999858</v>
      </c>
    </row>
    <row r="62" spans="2:15" ht="15.75">
      <c r="B62" s="70" t="s">
        <v>506</v>
      </c>
      <c r="C62" s="77">
        <v>43645</v>
      </c>
      <c r="D62" s="70" t="s">
        <v>419</v>
      </c>
      <c r="E62" s="68" t="s">
        <v>131</v>
      </c>
      <c r="F62" s="68" t="s">
        <v>414</v>
      </c>
      <c r="G62" s="68" t="s">
        <v>415</v>
      </c>
      <c r="H62" s="68" t="s">
        <v>467</v>
      </c>
      <c r="I62" s="68" t="s">
        <v>1114</v>
      </c>
      <c r="J62" s="68">
        <v>80.36</v>
      </c>
      <c r="K62" s="68">
        <v>84.378</v>
      </c>
      <c r="L62" s="68">
        <v>4</v>
      </c>
      <c r="M62" s="68" t="s">
        <v>433</v>
      </c>
      <c r="N62" s="68">
        <v>8.3000000000000007</v>
      </c>
      <c r="O62" s="68">
        <v>4.0180000000000007</v>
      </c>
    </row>
    <row r="63" spans="2:15" ht="15.75">
      <c r="B63" s="70" t="s">
        <v>507</v>
      </c>
      <c r="C63" s="77">
        <v>43646</v>
      </c>
      <c r="D63" s="70" t="s">
        <v>419</v>
      </c>
      <c r="E63" s="68" t="s">
        <v>131</v>
      </c>
      <c r="F63" s="68" t="s">
        <v>414</v>
      </c>
      <c r="G63" s="68" t="s">
        <v>494</v>
      </c>
      <c r="H63" s="68" t="s">
        <v>448</v>
      </c>
      <c r="I63" s="68" t="s">
        <v>1113</v>
      </c>
      <c r="J63" s="68">
        <v>48.91</v>
      </c>
      <c r="K63" s="68">
        <v>51.355499999999992</v>
      </c>
      <c r="L63" s="68">
        <v>5</v>
      </c>
      <c r="M63" s="68" t="s">
        <v>422</v>
      </c>
      <c r="N63" s="68">
        <v>6.6</v>
      </c>
      <c r="O63" s="68">
        <v>2.4454999999999956</v>
      </c>
    </row>
    <row r="64" spans="2:15" ht="15.75">
      <c r="B64" s="70" t="s">
        <v>508</v>
      </c>
      <c r="C64" s="77">
        <v>43647</v>
      </c>
      <c r="D64" s="70" t="s">
        <v>419</v>
      </c>
      <c r="E64" s="68" t="s">
        <v>131</v>
      </c>
      <c r="F64" s="68" t="s">
        <v>420</v>
      </c>
      <c r="G64" s="68" t="s">
        <v>415</v>
      </c>
      <c r="H64" s="68" t="s">
        <v>469</v>
      </c>
      <c r="I64" s="68" t="s">
        <v>1113</v>
      </c>
      <c r="J64" s="68">
        <v>83.06</v>
      </c>
      <c r="K64" s="68">
        <v>87.212999999999994</v>
      </c>
      <c r="L64" s="68">
        <v>7</v>
      </c>
      <c r="M64" s="68" t="s">
        <v>417</v>
      </c>
      <c r="N64" s="68">
        <v>4</v>
      </c>
      <c r="O64" s="68">
        <v>4.1529999999999916</v>
      </c>
    </row>
    <row r="65" spans="2:15" ht="15.75">
      <c r="B65" s="70" t="s">
        <v>509</v>
      </c>
      <c r="C65" s="77">
        <v>43648</v>
      </c>
      <c r="D65" s="70" t="s">
        <v>175</v>
      </c>
      <c r="E65" s="68" t="s">
        <v>134</v>
      </c>
      <c r="F65" s="68" t="s">
        <v>414</v>
      </c>
      <c r="G65" s="68" t="s">
        <v>494</v>
      </c>
      <c r="H65" s="68" t="s">
        <v>450</v>
      </c>
      <c r="I65" s="68" t="s">
        <v>1114</v>
      </c>
      <c r="J65" s="68">
        <v>49.38</v>
      </c>
      <c r="K65" s="68">
        <v>51.848999999999997</v>
      </c>
      <c r="L65" s="68">
        <v>7</v>
      </c>
      <c r="M65" s="68" t="s">
        <v>433</v>
      </c>
      <c r="N65" s="68">
        <v>7.3</v>
      </c>
      <c r="O65" s="68">
        <v>2.4689999999999941</v>
      </c>
    </row>
    <row r="66" spans="2:15" ht="15.75">
      <c r="B66" s="70" t="s">
        <v>510</v>
      </c>
      <c r="C66" s="77">
        <v>43649</v>
      </c>
      <c r="D66" s="70" t="s">
        <v>175</v>
      </c>
      <c r="E66" s="68" t="s">
        <v>134</v>
      </c>
      <c r="F66" s="68" t="s">
        <v>420</v>
      </c>
      <c r="G66" s="68" t="s">
        <v>494</v>
      </c>
      <c r="H66" s="68" t="s">
        <v>455</v>
      </c>
      <c r="I66" s="68" t="s">
        <v>1113</v>
      </c>
      <c r="J66" s="68">
        <v>42.47</v>
      </c>
      <c r="K66" s="68">
        <v>44.593499999999999</v>
      </c>
      <c r="L66" s="68">
        <v>1</v>
      </c>
      <c r="M66" s="68" t="s">
        <v>422</v>
      </c>
      <c r="N66" s="68">
        <v>5.7</v>
      </c>
      <c r="O66" s="68">
        <v>2.1234999999999999</v>
      </c>
    </row>
    <row r="67" spans="2:15" ht="15.75">
      <c r="B67" s="70" t="s">
        <v>511</v>
      </c>
      <c r="C67" s="77">
        <v>43650</v>
      </c>
      <c r="D67" s="70" t="s">
        <v>266</v>
      </c>
      <c r="E67" s="68" t="s">
        <v>135</v>
      </c>
      <c r="F67" s="68" t="s">
        <v>420</v>
      </c>
      <c r="G67" s="68" t="s">
        <v>415</v>
      </c>
      <c r="H67" s="68" t="s">
        <v>459</v>
      </c>
      <c r="I67" s="68" t="s">
        <v>1115</v>
      </c>
      <c r="J67" s="68">
        <v>76.989999999999995</v>
      </c>
      <c r="K67" s="68">
        <v>80.839500000000001</v>
      </c>
      <c r="L67" s="68">
        <v>6</v>
      </c>
      <c r="M67" s="68" t="s">
        <v>422</v>
      </c>
      <c r="N67" s="68">
        <v>6.1</v>
      </c>
      <c r="O67" s="68">
        <v>3.8495000000000061</v>
      </c>
    </row>
    <row r="68" spans="2:15" ht="15.75">
      <c r="B68" s="70" t="s">
        <v>512</v>
      </c>
      <c r="C68" s="77">
        <v>43651</v>
      </c>
      <c r="D68" s="70" t="s">
        <v>419</v>
      </c>
      <c r="E68" s="68" t="s">
        <v>131</v>
      </c>
      <c r="F68" s="68" t="s">
        <v>420</v>
      </c>
      <c r="G68" s="68" t="s">
        <v>415</v>
      </c>
      <c r="H68" s="68" t="s">
        <v>469</v>
      </c>
      <c r="I68" s="68" t="s">
        <v>1113</v>
      </c>
      <c r="J68" s="68">
        <v>44.86</v>
      </c>
      <c r="K68" s="68">
        <v>47.102999999999994</v>
      </c>
      <c r="L68" s="68">
        <v>10</v>
      </c>
      <c r="M68" s="68" t="s">
        <v>417</v>
      </c>
      <c r="N68" s="68">
        <v>8.1999999999999993</v>
      </c>
      <c r="O68" s="68">
        <v>2.242999999999995</v>
      </c>
    </row>
    <row r="69" spans="2:15" ht="15.75">
      <c r="B69" s="70" t="s">
        <v>513</v>
      </c>
      <c r="C69" s="77">
        <v>43652</v>
      </c>
      <c r="D69" s="70" t="s">
        <v>175</v>
      </c>
      <c r="E69" s="68" t="s">
        <v>134</v>
      </c>
      <c r="F69" s="68" t="s">
        <v>414</v>
      </c>
      <c r="G69" s="68" t="s">
        <v>415</v>
      </c>
      <c r="H69" s="68" t="s">
        <v>444</v>
      </c>
      <c r="I69" s="68" t="s">
        <v>1113</v>
      </c>
      <c r="J69" s="68">
        <v>21.98</v>
      </c>
      <c r="K69" s="68">
        <v>23.079000000000001</v>
      </c>
      <c r="L69" s="68">
        <v>7</v>
      </c>
      <c r="M69" s="68" t="s">
        <v>417</v>
      </c>
      <c r="N69" s="68">
        <v>5.0999999999999996</v>
      </c>
      <c r="O69" s="68">
        <v>1.0990000000000002</v>
      </c>
    </row>
    <row r="70" spans="2:15" ht="15.75">
      <c r="B70" s="70" t="s">
        <v>514</v>
      </c>
      <c r="C70" s="77">
        <v>43653</v>
      </c>
      <c r="D70" s="70" t="s">
        <v>266</v>
      </c>
      <c r="E70" s="68" t="s">
        <v>135</v>
      </c>
      <c r="F70" s="68" t="s">
        <v>414</v>
      </c>
      <c r="G70" s="68" t="s">
        <v>494</v>
      </c>
      <c r="H70" s="68" t="s">
        <v>442</v>
      </c>
      <c r="I70" s="68" t="s">
        <v>1115</v>
      </c>
      <c r="J70" s="68">
        <v>64.36</v>
      </c>
      <c r="K70" s="68">
        <v>67.578000000000003</v>
      </c>
      <c r="L70" s="68">
        <v>9</v>
      </c>
      <c r="M70" s="68" t="s">
        <v>433</v>
      </c>
      <c r="N70" s="68">
        <v>8.6</v>
      </c>
      <c r="O70" s="68">
        <v>3.2180000000000035</v>
      </c>
    </row>
    <row r="71" spans="2:15" ht="15.75">
      <c r="B71" s="70" t="s">
        <v>515</v>
      </c>
      <c r="C71" s="77">
        <v>43654</v>
      </c>
      <c r="D71" s="70" t="s">
        <v>419</v>
      </c>
      <c r="E71" s="68" t="s">
        <v>131</v>
      </c>
      <c r="F71" s="68" t="s">
        <v>420</v>
      </c>
      <c r="G71" s="68" t="s">
        <v>494</v>
      </c>
      <c r="H71" s="68" t="s">
        <v>459</v>
      </c>
      <c r="I71" s="68" t="s">
        <v>1115</v>
      </c>
      <c r="J71" s="68">
        <v>89.75</v>
      </c>
      <c r="K71" s="68">
        <v>94.237499999999997</v>
      </c>
      <c r="L71" s="68">
        <v>1</v>
      </c>
      <c r="M71" s="68" t="s">
        <v>433</v>
      </c>
      <c r="N71" s="68">
        <v>6.6</v>
      </c>
      <c r="O71" s="68">
        <v>4.4874999999999972</v>
      </c>
    </row>
    <row r="72" spans="2:15" ht="15.75">
      <c r="B72" s="70" t="s">
        <v>516</v>
      </c>
      <c r="C72" s="77">
        <v>43655</v>
      </c>
      <c r="D72" s="70" t="s">
        <v>175</v>
      </c>
      <c r="E72" s="68" t="s">
        <v>134</v>
      </c>
      <c r="F72" s="68" t="s">
        <v>420</v>
      </c>
      <c r="G72" s="68" t="s">
        <v>494</v>
      </c>
      <c r="H72" s="68" t="s">
        <v>421</v>
      </c>
      <c r="I72" s="68" t="s">
        <v>1116</v>
      </c>
      <c r="J72" s="68">
        <v>97.16</v>
      </c>
      <c r="K72" s="68">
        <v>102.018</v>
      </c>
      <c r="L72" s="68">
        <v>1</v>
      </c>
      <c r="M72" s="68" t="s">
        <v>417</v>
      </c>
      <c r="N72" s="68">
        <v>7.2</v>
      </c>
      <c r="O72" s="68">
        <v>4.8580000000000041</v>
      </c>
    </row>
    <row r="73" spans="2:15" ht="15.75">
      <c r="B73" s="70" t="s">
        <v>517</v>
      </c>
      <c r="C73" s="77">
        <v>43656</v>
      </c>
      <c r="D73" s="70" t="s">
        <v>266</v>
      </c>
      <c r="E73" s="68" t="s">
        <v>135</v>
      </c>
      <c r="F73" s="68" t="s">
        <v>420</v>
      </c>
      <c r="G73" s="68" t="s">
        <v>494</v>
      </c>
      <c r="H73" s="68" t="s">
        <v>459</v>
      </c>
      <c r="I73" s="68" t="s">
        <v>1115</v>
      </c>
      <c r="J73" s="68">
        <v>87.87</v>
      </c>
      <c r="K73" s="68">
        <v>92.263499999999993</v>
      </c>
      <c r="L73" s="68">
        <v>10</v>
      </c>
      <c r="M73" s="68" t="s">
        <v>417</v>
      </c>
      <c r="N73" s="68">
        <v>5.0999999999999996</v>
      </c>
      <c r="O73" s="68">
        <v>4.3934999999999889</v>
      </c>
    </row>
    <row r="74" spans="2:15" ht="15.75">
      <c r="B74" s="70" t="s">
        <v>518</v>
      </c>
      <c r="C74" s="77">
        <v>43657</v>
      </c>
      <c r="D74" s="70" t="s">
        <v>419</v>
      </c>
      <c r="E74" s="68" t="s">
        <v>131</v>
      </c>
      <c r="F74" s="68" t="s">
        <v>420</v>
      </c>
      <c r="G74" s="68" t="s">
        <v>415</v>
      </c>
      <c r="H74" s="68" t="s">
        <v>421</v>
      </c>
      <c r="I74" s="68" t="s">
        <v>1116</v>
      </c>
      <c r="J74" s="68">
        <v>12.45</v>
      </c>
      <c r="K74" s="68">
        <v>13.0725</v>
      </c>
      <c r="L74" s="68">
        <v>6</v>
      </c>
      <c r="M74" s="68" t="s">
        <v>422</v>
      </c>
      <c r="N74" s="68">
        <v>4.0999999999999996</v>
      </c>
      <c r="O74" s="68">
        <v>0.6225000000000005</v>
      </c>
    </row>
    <row r="75" spans="2:15" ht="15.75">
      <c r="B75" s="70" t="s">
        <v>519</v>
      </c>
      <c r="C75" s="77">
        <v>43658</v>
      </c>
      <c r="D75" s="70" t="s">
        <v>175</v>
      </c>
      <c r="E75" s="68" t="s">
        <v>134</v>
      </c>
      <c r="F75" s="68" t="s">
        <v>420</v>
      </c>
      <c r="G75" s="68" t="s">
        <v>494</v>
      </c>
      <c r="H75" s="68" t="s">
        <v>467</v>
      </c>
      <c r="I75" s="68" t="s">
        <v>1114</v>
      </c>
      <c r="J75" s="68">
        <v>52.75</v>
      </c>
      <c r="K75" s="68">
        <v>55.387499999999996</v>
      </c>
      <c r="L75" s="68">
        <v>3</v>
      </c>
      <c r="M75" s="68" t="s">
        <v>417</v>
      </c>
      <c r="N75" s="68">
        <v>9.3000000000000007</v>
      </c>
      <c r="O75" s="68">
        <v>2.6374999999999957</v>
      </c>
    </row>
    <row r="76" spans="2:15" ht="15.75">
      <c r="B76" s="70" t="s">
        <v>520</v>
      </c>
      <c r="C76" s="77">
        <v>43659</v>
      </c>
      <c r="D76" s="70" t="s">
        <v>419</v>
      </c>
      <c r="E76" s="68" t="s">
        <v>131</v>
      </c>
      <c r="F76" s="68" t="s">
        <v>420</v>
      </c>
      <c r="G76" s="68" t="s">
        <v>415</v>
      </c>
      <c r="H76" s="68" t="s">
        <v>421</v>
      </c>
      <c r="I76" s="68" t="s">
        <v>1116</v>
      </c>
      <c r="J76" s="68">
        <v>23.07</v>
      </c>
      <c r="K76" s="68">
        <v>24.223500000000001</v>
      </c>
      <c r="L76" s="68">
        <v>9</v>
      </c>
      <c r="M76" s="68" t="s">
        <v>422</v>
      </c>
      <c r="N76" s="68">
        <v>4.9000000000000004</v>
      </c>
      <c r="O76" s="68">
        <v>1.1535000000000011</v>
      </c>
    </row>
    <row r="77" spans="2:15" ht="15.75">
      <c r="B77" s="70" t="s">
        <v>521</v>
      </c>
      <c r="C77" s="77">
        <v>43660</v>
      </c>
      <c r="D77" s="70" t="s">
        <v>175</v>
      </c>
      <c r="E77" s="68" t="s">
        <v>134</v>
      </c>
      <c r="F77" s="68" t="s">
        <v>420</v>
      </c>
      <c r="G77" s="68" t="s">
        <v>494</v>
      </c>
      <c r="H77" s="68" t="s">
        <v>467</v>
      </c>
      <c r="I77" s="68" t="s">
        <v>1114</v>
      </c>
      <c r="J77" s="68">
        <v>58.26</v>
      </c>
      <c r="K77" s="68">
        <v>61.173000000000002</v>
      </c>
      <c r="L77" s="68">
        <v>6</v>
      </c>
      <c r="M77" s="68" t="s">
        <v>422</v>
      </c>
      <c r="N77" s="68">
        <v>9.9</v>
      </c>
      <c r="O77" s="68">
        <v>2.9130000000000038</v>
      </c>
    </row>
    <row r="78" spans="2:15" ht="15.75">
      <c r="B78" s="70" t="s">
        <v>522</v>
      </c>
      <c r="C78" s="77">
        <v>43661</v>
      </c>
      <c r="D78" s="70" t="s">
        <v>266</v>
      </c>
      <c r="E78" s="68" t="s">
        <v>135</v>
      </c>
      <c r="F78" s="68" t="s">
        <v>420</v>
      </c>
      <c r="G78" s="68" t="s">
        <v>494</v>
      </c>
      <c r="H78" s="68" t="s">
        <v>416</v>
      </c>
      <c r="I78" s="68" t="s">
        <v>1115</v>
      </c>
      <c r="J78" s="68">
        <v>30.35</v>
      </c>
      <c r="K78" s="68">
        <v>31.8675</v>
      </c>
      <c r="L78" s="68">
        <v>7</v>
      </c>
      <c r="M78" s="68" t="s">
        <v>422</v>
      </c>
      <c r="N78" s="68">
        <v>8</v>
      </c>
      <c r="O78" s="68">
        <v>1.5174999999999983</v>
      </c>
    </row>
    <row r="79" spans="2:15" ht="15.75">
      <c r="B79" s="70" t="s">
        <v>523</v>
      </c>
      <c r="C79" s="77">
        <v>43662</v>
      </c>
      <c r="D79" s="70" t="s">
        <v>175</v>
      </c>
      <c r="E79" s="68" t="s">
        <v>134</v>
      </c>
      <c r="F79" s="68" t="s">
        <v>414</v>
      </c>
      <c r="G79" s="68" t="s">
        <v>494</v>
      </c>
      <c r="H79" s="68" t="s">
        <v>428</v>
      </c>
      <c r="I79" s="68" t="s">
        <v>1116</v>
      </c>
      <c r="J79" s="68">
        <v>88.67</v>
      </c>
      <c r="K79" s="68">
        <v>93.103499999999997</v>
      </c>
      <c r="L79" s="68">
        <v>10</v>
      </c>
      <c r="M79" s="68" t="s">
        <v>417</v>
      </c>
      <c r="N79" s="68">
        <v>7.3</v>
      </c>
      <c r="O79" s="68">
        <v>4.4334999999999951</v>
      </c>
    </row>
    <row r="80" spans="2:15" ht="15.75">
      <c r="B80" s="70" t="s">
        <v>524</v>
      </c>
      <c r="C80" s="77">
        <v>43663</v>
      </c>
      <c r="D80" s="70" t="s">
        <v>175</v>
      </c>
      <c r="E80" s="68" t="s">
        <v>134</v>
      </c>
      <c r="F80" s="68" t="s">
        <v>420</v>
      </c>
      <c r="G80" s="68" t="s">
        <v>494</v>
      </c>
      <c r="H80" s="68" t="s">
        <v>469</v>
      </c>
      <c r="I80" s="68" t="s">
        <v>1113</v>
      </c>
      <c r="J80" s="68">
        <v>62.13</v>
      </c>
      <c r="K80" s="68">
        <v>65.236499999999992</v>
      </c>
      <c r="L80" s="68">
        <v>6</v>
      </c>
      <c r="M80" s="68" t="s">
        <v>422</v>
      </c>
      <c r="N80" s="68">
        <v>7.4</v>
      </c>
      <c r="O80" s="68">
        <v>3.1064999999999898</v>
      </c>
    </row>
    <row r="81" spans="2:15" ht="15.75">
      <c r="B81" s="70" t="s">
        <v>525</v>
      </c>
      <c r="C81" s="77">
        <v>43664</v>
      </c>
      <c r="D81" s="70" t="s">
        <v>419</v>
      </c>
      <c r="E81" s="68" t="s">
        <v>131</v>
      </c>
      <c r="F81" s="68" t="s">
        <v>420</v>
      </c>
      <c r="G81" s="68" t="s">
        <v>415</v>
      </c>
      <c r="H81" s="68" t="s">
        <v>435</v>
      </c>
      <c r="I81" s="68" t="s">
        <v>1114</v>
      </c>
      <c r="J81" s="68">
        <v>33.979999999999997</v>
      </c>
      <c r="K81" s="68">
        <v>35.679000000000002</v>
      </c>
      <c r="L81" s="68">
        <v>9</v>
      </c>
      <c r="M81" s="68" t="s">
        <v>422</v>
      </c>
      <c r="N81" s="68">
        <v>4.2</v>
      </c>
      <c r="O81" s="68">
        <v>1.6990000000000052</v>
      </c>
    </row>
    <row r="82" spans="2:15" ht="15.75">
      <c r="B82" s="70" t="s">
        <v>526</v>
      </c>
      <c r="C82" s="77">
        <v>43665</v>
      </c>
      <c r="D82" s="70" t="s">
        <v>419</v>
      </c>
      <c r="E82" s="68" t="s">
        <v>131</v>
      </c>
      <c r="F82" s="68" t="s">
        <v>414</v>
      </c>
      <c r="G82" s="68" t="s">
        <v>494</v>
      </c>
      <c r="H82" s="68" t="s">
        <v>421</v>
      </c>
      <c r="I82" s="68" t="s">
        <v>1116</v>
      </c>
      <c r="J82" s="68">
        <v>81.97</v>
      </c>
      <c r="K82" s="68">
        <v>86.0685</v>
      </c>
      <c r="L82" s="68">
        <v>10</v>
      </c>
      <c r="M82" s="68" t="s">
        <v>422</v>
      </c>
      <c r="N82" s="68">
        <v>9.1999999999999993</v>
      </c>
      <c r="O82" s="68">
        <v>4.0985000000000014</v>
      </c>
    </row>
    <row r="83" spans="2:15" ht="15.75">
      <c r="B83" s="70" t="s">
        <v>527</v>
      </c>
      <c r="C83" s="77">
        <v>43666</v>
      </c>
      <c r="D83" s="70" t="s">
        <v>266</v>
      </c>
      <c r="E83" s="68" t="s">
        <v>135</v>
      </c>
      <c r="F83" s="68" t="s">
        <v>414</v>
      </c>
      <c r="G83" s="68" t="s">
        <v>415</v>
      </c>
      <c r="H83" s="68" t="s">
        <v>469</v>
      </c>
      <c r="I83" s="68" t="s">
        <v>1113</v>
      </c>
      <c r="J83" s="68">
        <v>16.489999999999998</v>
      </c>
      <c r="K83" s="68">
        <v>17.314499999999999</v>
      </c>
      <c r="L83" s="68">
        <v>2</v>
      </c>
      <c r="M83" s="68" t="s">
        <v>417</v>
      </c>
      <c r="N83" s="68">
        <v>4.5999999999999996</v>
      </c>
      <c r="O83" s="68">
        <v>0.82450000000000045</v>
      </c>
    </row>
    <row r="84" spans="2:15" ht="15.75">
      <c r="B84" s="70" t="s">
        <v>528</v>
      </c>
      <c r="C84" s="77">
        <v>43667</v>
      </c>
      <c r="D84" s="70" t="s">
        <v>419</v>
      </c>
      <c r="E84" s="68" t="s">
        <v>131</v>
      </c>
      <c r="F84" s="68" t="s">
        <v>414</v>
      </c>
      <c r="G84" s="68" t="s">
        <v>415</v>
      </c>
      <c r="H84" s="68" t="s">
        <v>442</v>
      </c>
      <c r="I84" s="68" t="s">
        <v>1115</v>
      </c>
      <c r="J84" s="68">
        <v>98.21</v>
      </c>
      <c r="K84" s="68">
        <v>103.12049999999999</v>
      </c>
      <c r="L84" s="68">
        <v>3</v>
      </c>
      <c r="M84" s="68" t="s">
        <v>433</v>
      </c>
      <c r="N84" s="68">
        <v>7.8</v>
      </c>
      <c r="O84" s="68">
        <v>4.910499999999999</v>
      </c>
    </row>
    <row r="85" spans="2:15" ht="15.75">
      <c r="B85" s="70" t="s">
        <v>529</v>
      </c>
      <c r="C85" s="77">
        <v>43668</v>
      </c>
      <c r="D85" s="70" t="s">
        <v>175</v>
      </c>
      <c r="E85" s="68" t="s">
        <v>134</v>
      </c>
      <c r="F85" s="68" t="s">
        <v>420</v>
      </c>
      <c r="G85" s="68" t="s">
        <v>415</v>
      </c>
      <c r="H85" s="68" t="s">
        <v>435</v>
      </c>
      <c r="I85" s="68" t="s">
        <v>1114</v>
      </c>
      <c r="J85" s="68">
        <v>10.96</v>
      </c>
      <c r="K85" s="68">
        <v>11.507999999999999</v>
      </c>
      <c r="L85" s="68">
        <v>10</v>
      </c>
      <c r="M85" s="68" t="s">
        <v>417</v>
      </c>
      <c r="N85" s="68">
        <v>6</v>
      </c>
      <c r="O85" s="68">
        <v>0.54799999999999827</v>
      </c>
    </row>
    <row r="86" spans="2:15" ht="15.75">
      <c r="B86" s="70" t="s">
        <v>530</v>
      </c>
      <c r="C86" s="77">
        <v>43669</v>
      </c>
      <c r="D86" s="70" t="s">
        <v>175</v>
      </c>
      <c r="E86" s="68" t="s">
        <v>134</v>
      </c>
      <c r="F86" s="68" t="s">
        <v>420</v>
      </c>
      <c r="G86" s="68" t="s">
        <v>415</v>
      </c>
      <c r="H86" s="68" t="s">
        <v>421</v>
      </c>
      <c r="I86" s="68" t="s">
        <v>1116</v>
      </c>
      <c r="J86" s="68">
        <v>99.56</v>
      </c>
      <c r="K86" s="68">
        <v>104.538</v>
      </c>
      <c r="L86" s="68">
        <v>8</v>
      </c>
      <c r="M86" s="68" t="s">
        <v>433</v>
      </c>
      <c r="N86" s="68">
        <v>5.2</v>
      </c>
      <c r="O86" s="68">
        <v>4.9779999999999944</v>
      </c>
    </row>
    <row r="87" spans="2:15" ht="15.75">
      <c r="B87" s="70" t="s">
        <v>531</v>
      </c>
      <c r="C87" s="77">
        <v>43670</v>
      </c>
      <c r="D87" s="70" t="s">
        <v>419</v>
      </c>
      <c r="E87" s="68" t="s">
        <v>131</v>
      </c>
      <c r="F87" s="68" t="s">
        <v>414</v>
      </c>
      <c r="G87" s="68" t="s">
        <v>494</v>
      </c>
      <c r="H87" s="68" t="s">
        <v>469</v>
      </c>
      <c r="I87" s="68" t="s">
        <v>1113</v>
      </c>
      <c r="J87" s="68">
        <v>57.12</v>
      </c>
      <c r="K87" s="68">
        <v>59.975999999999999</v>
      </c>
      <c r="L87" s="68">
        <v>7</v>
      </c>
      <c r="M87" s="68" t="s">
        <v>433</v>
      </c>
      <c r="N87" s="68">
        <v>6.5</v>
      </c>
      <c r="O87" s="68">
        <v>2.8560000000000016</v>
      </c>
    </row>
    <row r="88" spans="2:15" ht="15.75">
      <c r="B88" s="70" t="s">
        <v>532</v>
      </c>
      <c r="C88" s="77">
        <v>43671</v>
      </c>
      <c r="D88" s="70" t="s">
        <v>266</v>
      </c>
      <c r="E88" s="68" t="s">
        <v>135</v>
      </c>
      <c r="F88" s="68" t="s">
        <v>414</v>
      </c>
      <c r="G88" s="68" t="s">
        <v>494</v>
      </c>
      <c r="H88" s="68" t="s">
        <v>469</v>
      </c>
      <c r="I88" s="68" t="s">
        <v>1113</v>
      </c>
      <c r="J88" s="68">
        <v>99.96</v>
      </c>
      <c r="K88" s="68">
        <v>104.958</v>
      </c>
      <c r="L88" s="68">
        <v>9</v>
      </c>
      <c r="M88" s="68" t="s">
        <v>433</v>
      </c>
      <c r="N88" s="68">
        <v>4.2</v>
      </c>
      <c r="O88" s="68">
        <v>4.9980000000000047</v>
      </c>
    </row>
    <row r="89" spans="2:15" ht="15.75">
      <c r="B89" s="70" t="s">
        <v>533</v>
      </c>
      <c r="C89" s="77">
        <v>43672</v>
      </c>
      <c r="D89" s="70" t="s">
        <v>175</v>
      </c>
      <c r="E89" s="68" t="s">
        <v>134</v>
      </c>
      <c r="F89" s="68" t="s">
        <v>420</v>
      </c>
      <c r="G89" s="68" t="s">
        <v>415</v>
      </c>
      <c r="H89" s="68" t="s">
        <v>469</v>
      </c>
      <c r="I89" s="68" t="s">
        <v>1113</v>
      </c>
      <c r="J89" s="68">
        <v>32.25</v>
      </c>
      <c r="K89" s="68">
        <v>33.862499999999997</v>
      </c>
      <c r="L89" s="68">
        <v>5</v>
      </c>
      <c r="M89" s="68" t="s">
        <v>422</v>
      </c>
      <c r="N89" s="68">
        <v>9</v>
      </c>
      <c r="O89" s="68">
        <v>1.6124999999999972</v>
      </c>
    </row>
    <row r="90" spans="2:15" ht="15.75">
      <c r="B90" s="70" t="s">
        <v>534</v>
      </c>
      <c r="C90" s="77">
        <v>43673</v>
      </c>
      <c r="D90" s="70" t="s">
        <v>419</v>
      </c>
      <c r="E90" s="68" t="s">
        <v>131</v>
      </c>
      <c r="F90" s="68" t="s">
        <v>414</v>
      </c>
      <c r="G90" s="68" t="s">
        <v>415</v>
      </c>
      <c r="H90" s="68" t="s">
        <v>435</v>
      </c>
      <c r="I90" s="68" t="s">
        <v>1114</v>
      </c>
      <c r="J90" s="68">
        <v>68.540000000000006</v>
      </c>
      <c r="K90" s="68">
        <v>71.966999999999999</v>
      </c>
      <c r="L90" s="68">
        <v>8</v>
      </c>
      <c r="M90" s="68" t="s">
        <v>417</v>
      </c>
      <c r="N90" s="68">
        <v>8.5</v>
      </c>
      <c r="O90" s="68">
        <v>3.4269999999999925</v>
      </c>
    </row>
    <row r="91" spans="2:15" ht="15.75">
      <c r="B91" s="70" t="s">
        <v>535</v>
      </c>
      <c r="C91" s="77">
        <v>43674</v>
      </c>
      <c r="D91" s="70" t="s">
        <v>266</v>
      </c>
      <c r="E91" s="68" t="s">
        <v>135</v>
      </c>
      <c r="F91" s="68" t="s">
        <v>420</v>
      </c>
      <c r="G91" s="68" t="s">
        <v>415</v>
      </c>
      <c r="H91" s="68" t="s">
        <v>455</v>
      </c>
      <c r="I91" s="68" t="s">
        <v>1113</v>
      </c>
      <c r="J91" s="68">
        <v>90.28</v>
      </c>
      <c r="K91" s="68">
        <v>94.793999999999997</v>
      </c>
      <c r="L91" s="68">
        <v>9</v>
      </c>
      <c r="M91" s="68" t="s">
        <v>417</v>
      </c>
      <c r="N91" s="68">
        <v>7.2</v>
      </c>
      <c r="O91" s="68">
        <v>4.5139999999999958</v>
      </c>
    </row>
    <row r="92" spans="2:15" ht="15.75">
      <c r="B92" s="70" t="s">
        <v>536</v>
      </c>
      <c r="C92" s="77">
        <v>43675</v>
      </c>
      <c r="D92" s="70" t="s">
        <v>175</v>
      </c>
      <c r="E92" s="68" t="s">
        <v>134</v>
      </c>
      <c r="F92" s="68" t="s">
        <v>414</v>
      </c>
      <c r="G92" s="68" t="s">
        <v>415</v>
      </c>
      <c r="H92" s="68" t="s">
        <v>444</v>
      </c>
      <c r="I92" s="68" t="s">
        <v>1113</v>
      </c>
      <c r="J92" s="68">
        <v>92.13</v>
      </c>
      <c r="K92" s="68">
        <v>96.736499999999992</v>
      </c>
      <c r="L92" s="68">
        <v>6</v>
      </c>
      <c r="M92" s="68" t="s">
        <v>422</v>
      </c>
      <c r="N92" s="68">
        <v>8.3000000000000007</v>
      </c>
      <c r="O92" s="68">
        <v>4.6064999999999969</v>
      </c>
    </row>
    <row r="93" spans="2:15" ht="15.75">
      <c r="B93" s="70" t="s">
        <v>537</v>
      </c>
      <c r="C93" s="77">
        <v>43676</v>
      </c>
      <c r="D93" s="70" t="s">
        <v>266</v>
      </c>
      <c r="E93" s="68" t="s">
        <v>135</v>
      </c>
      <c r="F93" s="68" t="s">
        <v>420</v>
      </c>
      <c r="G93" s="68" t="s">
        <v>415</v>
      </c>
      <c r="H93" s="68" t="s">
        <v>426</v>
      </c>
      <c r="I93" s="68" t="s">
        <v>1113</v>
      </c>
      <c r="J93" s="68">
        <v>34.840000000000003</v>
      </c>
      <c r="K93" s="68">
        <v>36.582000000000001</v>
      </c>
      <c r="L93" s="68">
        <v>4</v>
      </c>
      <c r="M93" s="68" t="s">
        <v>422</v>
      </c>
      <c r="N93" s="68">
        <v>7.4</v>
      </c>
      <c r="O93" s="68">
        <v>1.7419999999999973</v>
      </c>
    </row>
    <row r="94" spans="2:15" ht="15.75">
      <c r="B94" s="70" t="s">
        <v>538</v>
      </c>
      <c r="C94" s="77">
        <v>43677</v>
      </c>
      <c r="D94" s="70" t="s">
        <v>266</v>
      </c>
      <c r="E94" s="68" t="s">
        <v>135</v>
      </c>
      <c r="F94" s="68" t="s">
        <v>414</v>
      </c>
      <c r="G94" s="68" t="s">
        <v>494</v>
      </c>
      <c r="H94" s="68" t="s">
        <v>421</v>
      </c>
      <c r="I94" s="68" t="s">
        <v>1116</v>
      </c>
      <c r="J94" s="68">
        <v>87.45</v>
      </c>
      <c r="K94" s="68">
        <v>91.822499999999991</v>
      </c>
      <c r="L94" s="68">
        <v>6</v>
      </c>
      <c r="M94" s="68" t="s">
        <v>433</v>
      </c>
      <c r="N94" s="68">
        <v>8.8000000000000007</v>
      </c>
      <c r="O94" s="68">
        <v>4.3724999999999881</v>
      </c>
    </row>
    <row r="95" spans="2:15" ht="15.75">
      <c r="B95" s="70" t="s">
        <v>539</v>
      </c>
      <c r="C95" s="77">
        <v>43678</v>
      </c>
      <c r="D95" s="70" t="s">
        <v>419</v>
      </c>
      <c r="E95" s="68" t="s">
        <v>131</v>
      </c>
      <c r="F95" s="68" t="s">
        <v>420</v>
      </c>
      <c r="G95" s="68" t="s">
        <v>415</v>
      </c>
      <c r="H95" s="68" t="s">
        <v>442</v>
      </c>
      <c r="I95" s="68" t="s">
        <v>1115</v>
      </c>
      <c r="J95" s="68">
        <v>81.3</v>
      </c>
      <c r="K95" s="68">
        <v>85.365000000000009</v>
      </c>
      <c r="L95" s="68">
        <v>6</v>
      </c>
      <c r="M95" s="68" t="s">
        <v>417</v>
      </c>
      <c r="N95" s="68">
        <v>5.3</v>
      </c>
      <c r="O95" s="68">
        <v>4.0650000000000119</v>
      </c>
    </row>
    <row r="96" spans="2:15" ht="15.75">
      <c r="B96" s="70" t="s">
        <v>540</v>
      </c>
      <c r="C96" s="77">
        <v>43679</v>
      </c>
      <c r="D96" s="70" t="s">
        <v>175</v>
      </c>
      <c r="E96" s="68" t="s">
        <v>134</v>
      </c>
      <c r="F96" s="68" t="s">
        <v>420</v>
      </c>
      <c r="G96" s="68" t="s">
        <v>415</v>
      </c>
      <c r="H96" s="68" t="s">
        <v>430</v>
      </c>
      <c r="I96" s="68" t="s">
        <v>1116</v>
      </c>
      <c r="J96" s="68">
        <v>26.31</v>
      </c>
      <c r="K96" s="68">
        <v>27.625499999999999</v>
      </c>
      <c r="L96" s="68">
        <v>5</v>
      </c>
      <c r="M96" s="68" t="s">
        <v>433</v>
      </c>
      <c r="N96" s="68">
        <v>8.8000000000000007</v>
      </c>
      <c r="O96" s="68">
        <v>1.3155000000000001</v>
      </c>
    </row>
    <row r="97" spans="2:15" ht="15.75">
      <c r="B97" s="70" t="s">
        <v>541</v>
      </c>
      <c r="C97" s="77">
        <v>43680</v>
      </c>
      <c r="D97" s="70" t="s">
        <v>266</v>
      </c>
      <c r="E97" s="68" t="s">
        <v>135</v>
      </c>
      <c r="F97" s="68" t="s">
        <v>420</v>
      </c>
      <c r="G97" s="68" t="s">
        <v>494</v>
      </c>
      <c r="H97" s="68" t="s">
        <v>461</v>
      </c>
      <c r="I97" s="68" t="s">
        <v>1113</v>
      </c>
      <c r="J97" s="68">
        <v>51.91</v>
      </c>
      <c r="K97" s="68">
        <v>54.505499999999998</v>
      </c>
      <c r="L97" s="68">
        <v>10</v>
      </c>
      <c r="M97" s="68" t="s">
        <v>422</v>
      </c>
      <c r="N97" s="68">
        <v>8.1999999999999993</v>
      </c>
      <c r="O97" s="68">
        <v>2.5955000000000013</v>
      </c>
    </row>
    <row r="98" spans="2:15" ht="15.75">
      <c r="B98" s="70" t="s">
        <v>542</v>
      </c>
      <c r="C98" s="77">
        <v>43681</v>
      </c>
      <c r="D98" s="70" t="s">
        <v>175</v>
      </c>
      <c r="E98" s="68" t="s">
        <v>134</v>
      </c>
      <c r="F98" s="68" t="s">
        <v>420</v>
      </c>
      <c r="G98" s="68" t="s">
        <v>494</v>
      </c>
      <c r="H98" s="68" t="s">
        <v>461</v>
      </c>
      <c r="I98" s="68" t="s">
        <v>1113</v>
      </c>
      <c r="J98" s="68">
        <v>72.5</v>
      </c>
      <c r="K98" s="68">
        <v>76.125</v>
      </c>
      <c r="L98" s="68">
        <v>8</v>
      </c>
      <c r="M98" s="68" t="s">
        <v>417</v>
      </c>
      <c r="N98" s="68">
        <v>9.1999999999999993</v>
      </c>
      <c r="O98" s="68">
        <v>3.625</v>
      </c>
    </row>
    <row r="99" spans="2:15" ht="15.75">
      <c r="B99" s="70" t="s">
        <v>543</v>
      </c>
      <c r="C99" s="77">
        <v>43682</v>
      </c>
      <c r="D99" s="70" t="s">
        <v>419</v>
      </c>
      <c r="E99" s="68" t="s">
        <v>131</v>
      </c>
      <c r="F99" s="68" t="s">
        <v>414</v>
      </c>
      <c r="G99" s="68" t="s">
        <v>415</v>
      </c>
      <c r="H99" s="68" t="s">
        <v>461</v>
      </c>
      <c r="I99" s="68" t="s">
        <v>1113</v>
      </c>
      <c r="J99" s="68">
        <v>89.8</v>
      </c>
      <c r="K99" s="68">
        <v>94.289999999999992</v>
      </c>
      <c r="L99" s="68">
        <v>10</v>
      </c>
      <c r="M99" s="68" t="s">
        <v>433</v>
      </c>
      <c r="N99" s="68">
        <v>5.4</v>
      </c>
      <c r="O99" s="68">
        <v>4.4899999999999949</v>
      </c>
    </row>
    <row r="100" spans="2:15" ht="15.75">
      <c r="B100" s="70" t="s">
        <v>544</v>
      </c>
      <c r="C100" s="77">
        <v>43683</v>
      </c>
      <c r="D100" s="70" t="s">
        <v>419</v>
      </c>
      <c r="E100" s="68" t="s">
        <v>131</v>
      </c>
      <c r="F100" s="68" t="s">
        <v>414</v>
      </c>
      <c r="G100" s="68" t="s">
        <v>494</v>
      </c>
      <c r="H100" s="68" t="s">
        <v>416</v>
      </c>
      <c r="I100" s="68" t="s">
        <v>1115</v>
      </c>
      <c r="J100" s="68">
        <v>90.5</v>
      </c>
      <c r="K100" s="68">
        <v>95.025000000000006</v>
      </c>
      <c r="L100" s="68">
        <v>10</v>
      </c>
      <c r="M100" s="68" t="s">
        <v>422</v>
      </c>
      <c r="N100" s="68">
        <v>8.1</v>
      </c>
      <c r="O100" s="68">
        <v>4.5250000000000057</v>
      </c>
    </row>
    <row r="101" spans="2:15" ht="15.75">
      <c r="B101" s="70" t="s">
        <v>545</v>
      </c>
      <c r="C101" s="77">
        <v>43684</v>
      </c>
      <c r="D101" s="70" t="s">
        <v>419</v>
      </c>
      <c r="E101" s="68" t="s">
        <v>131</v>
      </c>
      <c r="F101" s="68" t="s">
        <v>414</v>
      </c>
      <c r="G101" s="68" t="s">
        <v>415</v>
      </c>
      <c r="H101" s="68" t="s">
        <v>416</v>
      </c>
      <c r="I101" s="68" t="s">
        <v>1115</v>
      </c>
      <c r="J101" s="68">
        <v>68.599999999999994</v>
      </c>
      <c r="K101" s="68">
        <v>72.03</v>
      </c>
      <c r="L101" s="68">
        <v>10</v>
      </c>
      <c r="M101" s="68" t="s">
        <v>422</v>
      </c>
      <c r="N101" s="68">
        <v>9.1</v>
      </c>
      <c r="O101" s="68">
        <v>3.4300000000000068</v>
      </c>
    </row>
    <row r="102" spans="2:15" ht="15.75">
      <c r="B102" s="70" t="s">
        <v>546</v>
      </c>
      <c r="C102" s="77">
        <v>43685</v>
      </c>
      <c r="D102" s="70" t="s">
        <v>419</v>
      </c>
      <c r="E102" s="68" t="s">
        <v>131</v>
      </c>
      <c r="F102" s="68" t="s">
        <v>414</v>
      </c>
      <c r="G102" s="68" t="s">
        <v>415</v>
      </c>
      <c r="H102" s="68" t="s">
        <v>435</v>
      </c>
      <c r="I102" s="68" t="s">
        <v>1114</v>
      </c>
      <c r="J102" s="68">
        <v>30.41</v>
      </c>
      <c r="K102" s="68">
        <v>31.930499999999999</v>
      </c>
      <c r="L102" s="68">
        <v>1</v>
      </c>
      <c r="M102" s="68" t="s">
        <v>433</v>
      </c>
      <c r="N102" s="68">
        <v>8.4</v>
      </c>
      <c r="O102" s="68">
        <v>1.5204999999999984</v>
      </c>
    </row>
    <row r="103" spans="2:15" ht="15.75">
      <c r="B103" s="70" t="s">
        <v>547</v>
      </c>
      <c r="C103" s="77">
        <v>43686</v>
      </c>
      <c r="D103" s="70" t="s">
        <v>419</v>
      </c>
      <c r="E103" s="68" t="s">
        <v>131</v>
      </c>
      <c r="F103" s="68" t="s">
        <v>420</v>
      </c>
      <c r="G103" s="68" t="s">
        <v>415</v>
      </c>
      <c r="H103" s="68" t="s">
        <v>459</v>
      </c>
      <c r="I103" s="68" t="s">
        <v>1115</v>
      </c>
      <c r="J103" s="68">
        <v>46.26</v>
      </c>
      <c r="K103" s="68">
        <v>48.573</v>
      </c>
      <c r="L103" s="68">
        <v>6</v>
      </c>
      <c r="M103" s="68" t="s">
        <v>433</v>
      </c>
      <c r="N103" s="68">
        <v>9.5</v>
      </c>
      <c r="O103" s="68">
        <v>2.3130000000000024</v>
      </c>
    </row>
    <row r="104" spans="2:15" ht="15.75">
      <c r="B104" s="70" t="s">
        <v>548</v>
      </c>
      <c r="C104" s="77">
        <v>43687</v>
      </c>
      <c r="D104" s="70" t="s">
        <v>419</v>
      </c>
      <c r="E104" s="68" t="s">
        <v>131</v>
      </c>
      <c r="F104" s="68" t="s">
        <v>420</v>
      </c>
      <c r="G104" s="68" t="s">
        <v>494</v>
      </c>
      <c r="H104" s="68" t="s">
        <v>416</v>
      </c>
      <c r="I104" s="68" t="s">
        <v>1115</v>
      </c>
      <c r="J104" s="68">
        <v>66.14</v>
      </c>
      <c r="K104" s="68">
        <v>69.447000000000003</v>
      </c>
      <c r="L104" s="68">
        <v>4</v>
      </c>
      <c r="M104" s="68" t="s">
        <v>433</v>
      </c>
      <c r="N104" s="68">
        <v>5.6</v>
      </c>
      <c r="O104" s="68">
        <v>3.3070000000000022</v>
      </c>
    </row>
    <row r="105" spans="2:15" ht="15.75">
      <c r="B105" s="70" t="s">
        <v>549</v>
      </c>
      <c r="C105" s="77">
        <v>43688</v>
      </c>
      <c r="D105" s="70" t="s">
        <v>175</v>
      </c>
      <c r="E105" s="68" t="s">
        <v>134</v>
      </c>
      <c r="F105" s="68" t="s">
        <v>420</v>
      </c>
      <c r="G105" s="68" t="s">
        <v>494</v>
      </c>
      <c r="H105" s="68" t="s">
        <v>459</v>
      </c>
      <c r="I105" s="68" t="s">
        <v>1115</v>
      </c>
      <c r="J105" s="68">
        <v>32.46</v>
      </c>
      <c r="K105" s="68">
        <v>34.082999999999998</v>
      </c>
      <c r="L105" s="68">
        <v>8</v>
      </c>
      <c r="M105" s="68" t="s">
        <v>433</v>
      </c>
      <c r="N105" s="68">
        <v>4.9000000000000004</v>
      </c>
      <c r="O105" s="68">
        <v>1.6229999999999976</v>
      </c>
    </row>
    <row r="106" spans="2:15" ht="15.75">
      <c r="B106" s="70" t="s">
        <v>550</v>
      </c>
      <c r="C106" s="77">
        <v>43689</v>
      </c>
      <c r="D106" s="70" t="s">
        <v>419</v>
      </c>
      <c r="E106" s="68" t="s">
        <v>131</v>
      </c>
      <c r="F106" s="68" t="s">
        <v>414</v>
      </c>
      <c r="G106" s="68" t="s">
        <v>494</v>
      </c>
      <c r="H106" s="68" t="s">
        <v>461</v>
      </c>
      <c r="I106" s="68" t="s">
        <v>1113</v>
      </c>
      <c r="J106" s="68">
        <v>34.56</v>
      </c>
      <c r="K106" s="68">
        <v>36.287999999999997</v>
      </c>
      <c r="L106" s="68">
        <v>7</v>
      </c>
      <c r="M106" s="68" t="s">
        <v>433</v>
      </c>
      <c r="N106" s="68">
        <v>7.3</v>
      </c>
      <c r="O106" s="68">
        <v>1.7279999999999944</v>
      </c>
    </row>
    <row r="107" spans="2:15" ht="15.75">
      <c r="B107" s="70" t="s">
        <v>551</v>
      </c>
      <c r="C107" s="77">
        <v>43690</v>
      </c>
      <c r="D107" s="70" t="s">
        <v>419</v>
      </c>
      <c r="E107" s="68" t="s">
        <v>131</v>
      </c>
      <c r="F107" s="68" t="s">
        <v>420</v>
      </c>
      <c r="G107" s="68" t="s">
        <v>415</v>
      </c>
      <c r="H107" s="68" t="s">
        <v>435</v>
      </c>
      <c r="I107" s="68" t="s">
        <v>1114</v>
      </c>
      <c r="J107" s="68">
        <v>16.48</v>
      </c>
      <c r="K107" s="68">
        <v>17.303999999999998</v>
      </c>
      <c r="L107" s="68">
        <v>6</v>
      </c>
      <c r="M107" s="68" t="s">
        <v>417</v>
      </c>
      <c r="N107" s="68">
        <v>9.9</v>
      </c>
      <c r="O107" s="68">
        <v>0.82399999999999807</v>
      </c>
    </row>
    <row r="108" spans="2:15" ht="15.75">
      <c r="B108" s="70" t="s">
        <v>552</v>
      </c>
      <c r="C108" s="77">
        <v>43691</v>
      </c>
      <c r="D108" s="70" t="s">
        <v>419</v>
      </c>
      <c r="E108" s="68" t="s">
        <v>131</v>
      </c>
      <c r="F108" s="68" t="s">
        <v>420</v>
      </c>
      <c r="G108" s="68" t="s">
        <v>415</v>
      </c>
      <c r="H108" s="68" t="s">
        <v>461</v>
      </c>
      <c r="I108" s="68" t="s">
        <v>1113</v>
      </c>
      <c r="J108" s="68">
        <v>80.97</v>
      </c>
      <c r="K108" s="68">
        <v>85.018500000000003</v>
      </c>
      <c r="L108" s="68">
        <v>8</v>
      </c>
      <c r="M108" s="68" t="s">
        <v>422</v>
      </c>
      <c r="N108" s="68">
        <v>9.3000000000000007</v>
      </c>
      <c r="O108" s="68">
        <v>4.0485000000000042</v>
      </c>
    </row>
    <row r="109" spans="2:15" ht="15.75">
      <c r="B109" s="70" t="s">
        <v>553</v>
      </c>
      <c r="C109" s="77">
        <v>43692</v>
      </c>
      <c r="D109" s="70" t="s">
        <v>175</v>
      </c>
      <c r="E109" s="68" t="s">
        <v>134</v>
      </c>
      <c r="F109" s="68" t="s">
        <v>414</v>
      </c>
      <c r="G109" s="68" t="s">
        <v>494</v>
      </c>
      <c r="H109" s="68" t="s">
        <v>435</v>
      </c>
      <c r="I109" s="68" t="s">
        <v>1114</v>
      </c>
      <c r="J109" s="68">
        <v>92.29</v>
      </c>
      <c r="K109" s="68">
        <v>96.904499999999999</v>
      </c>
      <c r="L109" s="68">
        <v>5</v>
      </c>
      <c r="M109" s="68" t="s">
        <v>433</v>
      </c>
      <c r="N109" s="68">
        <v>9</v>
      </c>
      <c r="O109" s="68">
        <v>4.6144999999999925</v>
      </c>
    </row>
    <row r="110" spans="2:15" ht="15.75">
      <c r="B110" s="70" t="s">
        <v>554</v>
      </c>
      <c r="C110" s="77">
        <v>43693</v>
      </c>
      <c r="D110" s="70" t="s">
        <v>266</v>
      </c>
      <c r="E110" s="68" t="s">
        <v>135</v>
      </c>
      <c r="F110" s="68" t="s">
        <v>414</v>
      </c>
      <c r="G110" s="68" t="s">
        <v>494</v>
      </c>
      <c r="H110" s="68" t="s">
        <v>421</v>
      </c>
      <c r="I110" s="68" t="s">
        <v>1116</v>
      </c>
      <c r="J110" s="68">
        <v>72.17</v>
      </c>
      <c r="K110" s="68">
        <v>75.778499999999994</v>
      </c>
      <c r="L110" s="68">
        <v>1</v>
      </c>
      <c r="M110" s="68" t="s">
        <v>422</v>
      </c>
      <c r="N110" s="68">
        <v>6.1</v>
      </c>
      <c r="O110" s="68">
        <v>3.6084999999999923</v>
      </c>
    </row>
    <row r="111" spans="2:15" ht="15.75">
      <c r="B111" s="70" t="s">
        <v>555</v>
      </c>
      <c r="C111" s="77">
        <v>43694</v>
      </c>
      <c r="D111" s="70" t="s">
        <v>266</v>
      </c>
      <c r="E111" s="68" t="s">
        <v>135</v>
      </c>
      <c r="F111" s="68" t="s">
        <v>414</v>
      </c>
      <c r="G111" s="68" t="s">
        <v>494</v>
      </c>
      <c r="H111" s="68" t="s">
        <v>459</v>
      </c>
      <c r="I111" s="68" t="s">
        <v>1115</v>
      </c>
      <c r="J111" s="68">
        <v>97.22</v>
      </c>
      <c r="K111" s="68">
        <v>102.081</v>
      </c>
      <c r="L111" s="68">
        <v>9</v>
      </c>
      <c r="M111" s="68" t="s">
        <v>417</v>
      </c>
      <c r="N111" s="68">
        <v>6</v>
      </c>
      <c r="O111" s="68">
        <v>4.8610000000000042</v>
      </c>
    </row>
    <row r="112" spans="2:15" ht="15.75">
      <c r="B112" s="70" t="s">
        <v>556</v>
      </c>
      <c r="C112" s="77">
        <v>43695</v>
      </c>
      <c r="D112" s="70" t="s">
        <v>266</v>
      </c>
      <c r="E112" s="68" t="s">
        <v>135</v>
      </c>
      <c r="F112" s="68" t="s">
        <v>420</v>
      </c>
      <c r="G112" s="68" t="s">
        <v>494</v>
      </c>
      <c r="H112" s="68" t="s">
        <v>461</v>
      </c>
      <c r="I112" s="68" t="s">
        <v>1113</v>
      </c>
      <c r="J112" s="68">
        <v>93.39</v>
      </c>
      <c r="K112" s="68">
        <v>98.0595</v>
      </c>
      <c r="L112" s="68">
        <v>6</v>
      </c>
      <c r="M112" s="68" t="s">
        <v>417</v>
      </c>
      <c r="N112" s="68">
        <v>10</v>
      </c>
      <c r="O112" s="68">
        <v>4.6694999999999993</v>
      </c>
    </row>
    <row r="113" spans="2:15" ht="15.75">
      <c r="B113" s="70" t="s">
        <v>557</v>
      </c>
      <c r="C113" s="77">
        <v>43696</v>
      </c>
      <c r="D113" s="70" t="s">
        <v>419</v>
      </c>
      <c r="E113" s="68" t="s">
        <v>131</v>
      </c>
      <c r="F113" s="68" t="s">
        <v>420</v>
      </c>
      <c r="G113" s="68" t="s">
        <v>415</v>
      </c>
      <c r="H113" s="68" t="s">
        <v>440</v>
      </c>
      <c r="I113" s="68" t="s">
        <v>1114</v>
      </c>
      <c r="J113" s="68">
        <v>43.18</v>
      </c>
      <c r="K113" s="68">
        <v>45.338999999999999</v>
      </c>
      <c r="L113" s="68">
        <v>8</v>
      </c>
      <c r="M113" s="68" t="s">
        <v>433</v>
      </c>
      <c r="N113" s="68">
        <v>8.3000000000000007</v>
      </c>
      <c r="O113" s="68">
        <v>2.1589999999999989</v>
      </c>
    </row>
    <row r="114" spans="2:15" ht="15.75">
      <c r="B114" s="70" t="s">
        <v>558</v>
      </c>
      <c r="C114" s="77">
        <v>43697</v>
      </c>
      <c r="D114" s="70" t="s">
        <v>175</v>
      </c>
      <c r="E114" s="68" t="s">
        <v>134</v>
      </c>
      <c r="F114" s="68" t="s">
        <v>420</v>
      </c>
      <c r="G114" s="68" t="s">
        <v>494</v>
      </c>
      <c r="H114" s="68" t="s">
        <v>461</v>
      </c>
      <c r="I114" s="68" t="s">
        <v>1113</v>
      </c>
      <c r="J114" s="68">
        <v>63.69</v>
      </c>
      <c r="K114" s="68">
        <v>66.874499999999998</v>
      </c>
      <c r="L114" s="68">
        <v>1</v>
      </c>
      <c r="M114" s="68" t="s">
        <v>422</v>
      </c>
      <c r="N114" s="68">
        <v>6</v>
      </c>
      <c r="O114" s="68">
        <v>3.1844999999999999</v>
      </c>
    </row>
    <row r="115" spans="2:15" ht="15.75">
      <c r="B115" s="70" t="s">
        <v>559</v>
      </c>
      <c r="C115" s="77">
        <v>43698</v>
      </c>
      <c r="D115" s="70" t="s">
        <v>175</v>
      </c>
      <c r="E115" s="68" t="s">
        <v>134</v>
      </c>
      <c r="F115" s="68" t="s">
        <v>420</v>
      </c>
      <c r="G115" s="68" t="s">
        <v>494</v>
      </c>
      <c r="H115" s="68" t="s">
        <v>435</v>
      </c>
      <c r="I115" s="68" t="s">
        <v>1114</v>
      </c>
      <c r="J115" s="68">
        <v>45.79</v>
      </c>
      <c r="K115" s="68">
        <v>48.079500000000003</v>
      </c>
      <c r="L115" s="68">
        <v>7</v>
      </c>
      <c r="M115" s="68" t="s">
        <v>433</v>
      </c>
      <c r="N115" s="68">
        <v>7</v>
      </c>
      <c r="O115" s="68">
        <v>2.2895000000000039</v>
      </c>
    </row>
    <row r="116" spans="2:15" ht="15.75">
      <c r="B116" s="70" t="s">
        <v>560</v>
      </c>
      <c r="C116" s="77">
        <v>43699</v>
      </c>
      <c r="D116" s="70" t="s">
        <v>419</v>
      </c>
      <c r="E116" s="68" t="s">
        <v>131</v>
      </c>
      <c r="F116" s="68" t="s">
        <v>420</v>
      </c>
      <c r="G116" s="68" t="s">
        <v>494</v>
      </c>
      <c r="H116" s="68" t="s">
        <v>444</v>
      </c>
      <c r="I116" s="68" t="s">
        <v>1113</v>
      </c>
      <c r="J116" s="68">
        <v>76.400000000000006</v>
      </c>
      <c r="K116" s="68">
        <v>80.22</v>
      </c>
      <c r="L116" s="68">
        <v>2</v>
      </c>
      <c r="M116" s="68" t="s">
        <v>417</v>
      </c>
      <c r="N116" s="68">
        <v>6.5</v>
      </c>
      <c r="O116" s="68">
        <v>3.8199999999999932</v>
      </c>
    </row>
    <row r="117" spans="2:15" ht="15.75">
      <c r="B117" s="70" t="s">
        <v>561</v>
      </c>
      <c r="C117" s="77">
        <v>43700</v>
      </c>
      <c r="D117" s="70" t="s">
        <v>266</v>
      </c>
      <c r="E117" s="68" t="s">
        <v>135</v>
      </c>
      <c r="F117" s="68" t="s">
        <v>420</v>
      </c>
      <c r="G117" s="68" t="s">
        <v>494</v>
      </c>
      <c r="H117" s="68" t="s">
        <v>435</v>
      </c>
      <c r="I117" s="68" t="s">
        <v>1114</v>
      </c>
      <c r="J117" s="68">
        <v>39.9</v>
      </c>
      <c r="K117" s="68">
        <v>41.894999999999996</v>
      </c>
      <c r="L117" s="68">
        <v>10</v>
      </c>
      <c r="M117" s="68" t="s">
        <v>433</v>
      </c>
      <c r="N117" s="68">
        <v>5.9</v>
      </c>
      <c r="O117" s="68">
        <v>1.9949999999999974</v>
      </c>
    </row>
    <row r="118" spans="2:15" ht="15.75">
      <c r="B118" s="70" t="s">
        <v>562</v>
      </c>
      <c r="C118" s="77">
        <v>43701</v>
      </c>
      <c r="D118" s="70" t="s">
        <v>266</v>
      </c>
      <c r="E118" s="68" t="s">
        <v>135</v>
      </c>
      <c r="F118" s="68" t="s">
        <v>414</v>
      </c>
      <c r="G118" s="68" t="s">
        <v>494</v>
      </c>
      <c r="H118" s="68" t="s">
        <v>442</v>
      </c>
      <c r="I118" s="68" t="s">
        <v>1115</v>
      </c>
      <c r="J118" s="68">
        <v>42.57</v>
      </c>
      <c r="K118" s="68">
        <v>44.698500000000003</v>
      </c>
      <c r="L118" s="68">
        <v>8</v>
      </c>
      <c r="M118" s="68" t="s">
        <v>417</v>
      </c>
      <c r="N118" s="68">
        <v>5.6</v>
      </c>
      <c r="O118" s="68">
        <v>2.1285000000000025</v>
      </c>
    </row>
    <row r="119" spans="2:15" ht="15.75">
      <c r="B119" s="70" t="s">
        <v>563</v>
      </c>
      <c r="C119" s="77">
        <v>43702</v>
      </c>
      <c r="D119" s="70" t="s">
        <v>175</v>
      </c>
      <c r="E119" s="68" t="s">
        <v>134</v>
      </c>
      <c r="F119" s="68" t="s">
        <v>420</v>
      </c>
      <c r="G119" s="68" t="s">
        <v>494</v>
      </c>
      <c r="H119" s="68" t="s">
        <v>435</v>
      </c>
      <c r="I119" s="68" t="s">
        <v>1114</v>
      </c>
      <c r="J119" s="68">
        <v>51.28</v>
      </c>
      <c r="K119" s="68">
        <v>53.844000000000001</v>
      </c>
      <c r="L119" s="68">
        <v>6</v>
      </c>
      <c r="M119" s="68" t="s">
        <v>422</v>
      </c>
      <c r="N119" s="68">
        <v>6.5</v>
      </c>
      <c r="O119" s="68">
        <v>2.5640000000000001</v>
      </c>
    </row>
    <row r="120" spans="2:15" ht="15.75">
      <c r="B120" s="70" t="s">
        <v>564</v>
      </c>
      <c r="C120" s="77">
        <v>43703</v>
      </c>
      <c r="D120" s="70" t="s">
        <v>175</v>
      </c>
      <c r="E120" s="68" t="s">
        <v>134</v>
      </c>
      <c r="F120" s="68" t="s">
        <v>414</v>
      </c>
      <c r="G120" s="68" t="s">
        <v>494</v>
      </c>
      <c r="H120" s="68" t="s">
        <v>426</v>
      </c>
      <c r="I120" s="68" t="s">
        <v>1113</v>
      </c>
      <c r="J120" s="68">
        <v>69.52</v>
      </c>
      <c r="K120" s="68">
        <v>72.995999999999995</v>
      </c>
      <c r="L120" s="68">
        <v>7</v>
      </c>
      <c r="M120" s="68" t="s">
        <v>433</v>
      </c>
      <c r="N120" s="68">
        <v>8.5</v>
      </c>
      <c r="O120" s="68">
        <v>3.4759999999999991</v>
      </c>
    </row>
    <row r="121" spans="2:15" ht="15.75">
      <c r="B121" s="70" t="s">
        <v>565</v>
      </c>
      <c r="C121" s="77">
        <v>43704</v>
      </c>
      <c r="D121" s="70" t="s">
        <v>175</v>
      </c>
      <c r="E121" s="68" t="s">
        <v>134</v>
      </c>
      <c r="F121" s="68" t="s">
        <v>420</v>
      </c>
      <c r="G121" s="68" t="s">
        <v>494</v>
      </c>
      <c r="H121" s="68" t="s">
        <v>416</v>
      </c>
      <c r="I121" s="68" t="s">
        <v>1115</v>
      </c>
      <c r="J121" s="68">
        <v>70.010000000000005</v>
      </c>
      <c r="K121" s="68">
        <v>73.510500000000008</v>
      </c>
      <c r="L121" s="68">
        <v>5</v>
      </c>
      <c r="M121" s="68" t="s">
        <v>417</v>
      </c>
      <c r="N121" s="68">
        <v>5.5</v>
      </c>
      <c r="O121" s="68">
        <v>3.5005000000000024</v>
      </c>
    </row>
    <row r="122" spans="2:15" ht="15.75">
      <c r="B122" s="70" t="s">
        <v>566</v>
      </c>
      <c r="C122" s="77">
        <v>43705</v>
      </c>
      <c r="D122" s="70" t="s">
        <v>266</v>
      </c>
      <c r="E122" s="68" t="s">
        <v>135</v>
      </c>
      <c r="F122" s="68" t="s">
        <v>414</v>
      </c>
      <c r="G122" s="68" t="s">
        <v>494</v>
      </c>
      <c r="H122" s="68" t="s">
        <v>435</v>
      </c>
      <c r="I122" s="68" t="s">
        <v>1114</v>
      </c>
      <c r="J122" s="68">
        <v>80.05</v>
      </c>
      <c r="K122" s="68">
        <v>84.052499999999995</v>
      </c>
      <c r="L122" s="68">
        <v>5</v>
      </c>
      <c r="M122" s="68" t="s">
        <v>433</v>
      </c>
      <c r="N122" s="68">
        <v>9.4</v>
      </c>
      <c r="O122" s="68">
        <v>4.0024999999999977</v>
      </c>
    </row>
    <row r="123" spans="2:15" ht="15.75">
      <c r="B123" s="70" t="s">
        <v>567</v>
      </c>
      <c r="C123" s="77">
        <v>43706</v>
      </c>
      <c r="D123" s="70" t="s">
        <v>419</v>
      </c>
      <c r="E123" s="68" t="s">
        <v>131</v>
      </c>
      <c r="F123" s="68" t="s">
        <v>420</v>
      </c>
      <c r="G123" s="68" t="s">
        <v>494</v>
      </c>
      <c r="H123" s="68" t="s">
        <v>421</v>
      </c>
      <c r="I123" s="68" t="s">
        <v>1116</v>
      </c>
      <c r="J123" s="68">
        <v>20.85</v>
      </c>
      <c r="K123" s="68">
        <v>21.892499999999998</v>
      </c>
      <c r="L123" s="68">
        <v>8</v>
      </c>
      <c r="M123" s="68" t="s">
        <v>422</v>
      </c>
      <c r="N123" s="68">
        <v>6.3</v>
      </c>
      <c r="O123" s="68">
        <v>1.0424999999999969</v>
      </c>
    </row>
    <row r="124" spans="2:15" ht="15.75">
      <c r="B124" s="70" t="s">
        <v>568</v>
      </c>
      <c r="C124" s="77">
        <v>43707</v>
      </c>
      <c r="D124" s="70" t="s">
        <v>266</v>
      </c>
      <c r="E124" s="68" t="s">
        <v>135</v>
      </c>
      <c r="F124" s="68" t="s">
        <v>414</v>
      </c>
      <c r="G124" s="68" t="s">
        <v>494</v>
      </c>
      <c r="H124" s="68" t="s">
        <v>499</v>
      </c>
      <c r="I124" s="68" t="s">
        <v>1116</v>
      </c>
      <c r="J124" s="68">
        <v>52.89</v>
      </c>
      <c r="K124" s="68">
        <v>55.534500000000001</v>
      </c>
      <c r="L124" s="68">
        <v>6</v>
      </c>
      <c r="M124" s="68" t="s">
        <v>433</v>
      </c>
      <c r="N124" s="68">
        <v>9.8000000000000007</v>
      </c>
      <c r="O124" s="68">
        <v>2.6445000000000007</v>
      </c>
    </row>
    <row r="125" spans="2:15" ht="15.75">
      <c r="B125" s="70" t="s">
        <v>569</v>
      </c>
      <c r="C125" s="77">
        <v>43708</v>
      </c>
      <c r="D125" s="70" t="s">
        <v>266</v>
      </c>
      <c r="E125" s="68" t="s">
        <v>135</v>
      </c>
      <c r="F125" s="68" t="s">
        <v>420</v>
      </c>
      <c r="G125" s="68" t="s">
        <v>494</v>
      </c>
      <c r="H125" s="68" t="s">
        <v>435</v>
      </c>
      <c r="I125" s="68" t="s">
        <v>1114</v>
      </c>
      <c r="J125" s="68">
        <v>19.79</v>
      </c>
      <c r="K125" s="68">
        <v>20.779499999999999</v>
      </c>
      <c r="L125" s="68">
        <v>8</v>
      </c>
      <c r="M125" s="68" t="s">
        <v>417</v>
      </c>
      <c r="N125" s="68">
        <v>8.6999999999999993</v>
      </c>
      <c r="O125" s="68">
        <v>0.9894999999999996</v>
      </c>
    </row>
    <row r="126" spans="2:15" ht="15.75">
      <c r="B126" s="70" t="s">
        <v>570</v>
      </c>
      <c r="C126" s="77">
        <v>43709</v>
      </c>
      <c r="D126" s="70" t="s">
        <v>175</v>
      </c>
      <c r="E126" s="68" t="s">
        <v>134</v>
      </c>
      <c r="F126" s="68" t="s">
        <v>414</v>
      </c>
      <c r="G126" s="68" t="s">
        <v>494</v>
      </c>
      <c r="H126" s="68" t="s">
        <v>435</v>
      </c>
      <c r="I126" s="68" t="s">
        <v>1114</v>
      </c>
      <c r="J126" s="68">
        <v>22.17</v>
      </c>
      <c r="K126" s="68">
        <v>23.278500000000001</v>
      </c>
      <c r="L126" s="68">
        <v>8</v>
      </c>
      <c r="M126" s="68" t="s">
        <v>433</v>
      </c>
      <c r="N126" s="68">
        <v>9.6</v>
      </c>
      <c r="O126" s="68">
        <v>1.1084999999999994</v>
      </c>
    </row>
    <row r="127" spans="2:15" ht="15.75">
      <c r="B127" s="70" t="s">
        <v>571</v>
      </c>
      <c r="C127" s="77">
        <v>43710</v>
      </c>
      <c r="D127" s="70" t="s">
        <v>175</v>
      </c>
      <c r="E127" s="68" t="s">
        <v>134</v>
      </c>
      <c r="F127" s="68" t="s">
        <v>420</v>
      </c>
      <c r="G127" s="68" t="s">
        <v>494</v>
      </c>
      <c r="H127" s="68" t="s">
        <v>440</v>
      </c>
      <c r="I127" s="68" t="s">
        <v>1114</v>
      </c>
      <c r="J127" s="68">
        <v>73.88</v>
      </c>
      <c r="K127" s="68">
        <v>77.573999999999998</v>
      </c>
      <c r="L127" s="68">
        <v>6</v>
      </c>
      <c r="M127" s="68" t="s">
        <v>417</v>
      </c>
      <c r="N127" s="68">
        <v>4.4000000000000004</v>
      </c>
      <c r="O127" s="68">
        <v>3.6940000000000026</v>
      </c>
    </row>
    <row r="128" spans="2:15" ht="15.75">
      <c r="B128" s="70" t="s">
        <v>572</v>
      </c>
      <c r="C128" s="77">
        <v>43711</v>
      </c>
      <c r="D128" s="70" t="s">
        <v>419</v>
      </c>
      <c r="E128" s="68" t="s">
        <v>131</v>
      </c>
      <c r="F128" s="68" t="s">
        <v>414</v>
      </c>
      <c r="G128" s="68" t="s">
        <v>494</v>
      </c>
      <c r="H128" s="68" t="s">
        <v>459</v>
      </c>
      <c r="I128" s="68" t="s">
        <v>1115</v>
      </c>
      <c r="J128" s="68">
        <v>86.8</v>
      </c>
      <c r="K128" s="68">
        <v>91.14</v>
      </c>
      <c r="L128" s="68">
        <v>3</v>
      </c>
      <c r="M128" s="68" t="s">
        <v>417</v>
      </c>
      <c r="N128" s="68">
        <v>9.9</v>
      </c>
      <c r="O128" s="68">
        <v>4.3400000000000034</v>
      </c>
    </row>
    <row r="129" spans="2:15" ht="15.75">
      <c r="B129" s="70" t="s">
        <v>573</v>
      </c>
      <c r="C129" s="77">
        <v>43712</v>
      </c>
      <c r="D129" s="70" t="s">
        <v>419</v>
      </c>
      <c r="E129" s="68" t="s">
        <v>131</v>
      </c>
      <c r="F129" s="68" t="s">
        <v>414</v>
      </c>
      <c r="G129" s="68" t="s">
        <v>494</v>
      </c>
      <c r="H129" s="68" t="s">
        <v>435</v>
      </c>
      <c r="I129" s="68" t="s">
        <v>1114</v>
      </c>
      <c r="J129" s="68">
        <v>38.47</v>
      </c>
      <c r="K129" s="68">
        <v>40.393500000000003</v>
      </c>
      <c r="L129" s="68">
        <v>8</v>
      </c>
      <c r="M129" s="68" t="s">
        <v>422</v>
      </c>
      <c r="N129" s="68">
        <v>7.7</v>
      </c>
      <c r="O129" s="68">
        <v>1.9235000000000042</v>
      </c>
    </row>
    <row r="130" spans="2:15" ht="15.75">
      <c r="B130" s="70" t="s">
        <v>574</v>
      </c>
      <c r="C130" s="77">
        <v>43713</v>
      </c>
      <c r="D130" s="70" t="s">
        <v>175</v>
      </c>
      <c r="E130" s="68" t="s">
        <v>134</v>
      </c>
      <c r="F130" s="68" t="s">
        <v>414</v>
      </c>
      <c r="G130" s="68" t="s">
        <v>494</v>
      </c>
      <c r="H130" s="68" t="s">
        <v>448</v>
      </c>
      <c r="I130" s="68" t="s">
        <v>1113</v>
      </c>
      <c r="J130" s="68">
        <v>15.5</v>
      </c>
      <c r="K130" s="68">
        <v>16.274999999999999</v>
      </c>
      <c r="L130" s="68">
        <v>10</v>
      </c>
      <c r="M130" s="68" t="s">
        <v>417</v>
      </c>
      <c r="N130" s="68">
        <v>8</v>
      </c>
      <c r="O130" s="68">
        <v>0.77499999999999858</v>
      </c>
    </row>
    <row r="131" spans="2:15" ht="15.75">
      <c r="B131" s="70" t="s">
        <v>575</v>
      </c>
      <c r="C131" s="77">
        <v>43714</v>
      </c>
      <c r="D131" s="70" t="s">
        <v>419</v>
      </c>
      <c r="E131" s="68" t="s">
        <v>131</v>
      </c>
      <c r="F131" s="68" t="s">
        <v>420</v>
      </c>
      <c r="G131" s="68" t="s">
        <v>494</v>
      </c>
      <c r="H131" s="68" t="s">
        <v>416</v>
      </c>
      <c r="I131" s="68" t="s">
        <v>1115</v>
      </c>
      <c r="J131" s="68">
        <v>34.31</v>
      </c>
      <c r="K131" s="68">
        <v>36.025500000000001</v>
      </c>
      <c r="L131" s="68">
        <v>8</v>
      </c>
      <c r="M131" s="68" t="s">
        <v>417</v>
      </c>
      <c r="N131" s="68">
        <v>5.7</v>
      </c>
      <c r="O131" s="68">
        <v>1.7154999999999987</v>
      </c>
    </row>
    <row r="132" spans="2:15" ht="15.75">
      <c r="B132" s="70" t="s">
        <v>576</v>
      </c>
      <c r="C132" s="77">
        <v>43715</v>
      </c>
      <c r="D132" s="70" t="s">
        <v>175</v>
      </c>
      <c r="E132" s="68" t="s">
        <v>134</v>
      </c>
      <c r="F132" s="68" t="s">
        <v>420</v>
      </c>
      <c r="G132" s="68" t="s">
        <v>415</v>
      </c>
      <c r="H132" s="68" t="s">
        <v>448</v>
      </c>
      <c r="I132" s="68" t="s">
        <v>1113</v>
      </c>
      <c r="J132" s="68">
        <v>12.34</v>
      </c>
      <c r="K132" s="68">
        <v>12.956999999999999</v>
      </c>
      <c r="L132" s="68">
        <v>7</v>
      </c>
      <c r="M132" s="68" t="s">
        <v>433</v>
      </c>
      <c r="N132" s="68">
        <v>6.7</v>
      </c>
      <c r="O132" s="68">
        <v>0.6169999999999991</v>
      </c>
    </row>
    <row r="133" spans="2:15" ht="15.75">
      <c r="B133" s="70" t="s">
        <v>577</v>
      </c>
      <c r="C133" s="77">
        <v>43716</v>
      </c>
      <c r="D133" s="70" t="s">
        <v>266</v>
      </c>
      <c r="E133" s="68" t="s">
        <v>135</v>
      </c>
      <c r="F133" s="68" t="s">
        <v>414</v>
      </c>
      <c r="G133" s="68" t="s">
        <v>494</v>
      </c>
      <c r="H133" s="68" t="s">
        <v>435</v>
      </c>
      <c r="I133" s="68" t="s">
        <v>1114</v>
      </c>
      <c r="J133" s="68">
        <v>18.079999999999998</v>
      </c>
      <c r="K133" s="68">
        <v>18.983999999999998</v>
      </c>
      <c r="L133" s="68">
        <v>3</v>
      </c>
      <c r="M133" s="68" t="s">
        <v>417</v>
      </c>
      <c r="N133" s="68">
        <v>8</v>
      </c>
      <c r="O133" s="68">
        <v>0.90399999999999991</v>
      </c>
    </row>
    <row r="134" spans="2:15" ht="15.75">
      <c r="B134" s="70" t="s">
        <v>578</v>
      </c>
      <c r="C134" s="77">
        <v>43717</v>
      </c>
      <c r="D134" s="70" t="s">
        <v>419</v>
      </c>
      <c r="E134" s="68" t="s">
        <v>131</v>
      </c>
      <c r="F134" s="68" t="s">
        <v>420</v>
      </c>
      <c r="G134" s="68" t="s">
        <v>415</v>
      </c>
      <c r="H134" s="68" t="s">
        <v>435</v>
      </c>
      <c r="I134" s="68" t="s">
        <v>1114</v>
      </c>
      <c r="J134" s="68">
        <v>87.8</v>
      </c>
      <c r="K134" s="68">
        <v>92.19</v>
      </c>
      <c r="L134" s="68">
        <v>9</v>
      </c>
      <c r="M134" s="68" t="s">
        <v>422</v>
      </c>
      <c r="N134" s="68">
        <v>9.1999999999999993</v>
      </c>
      <c r="O134" s="68">
        <v>4.3900000000000006</v>
      </c>
    </row>
    <row r="135" spans="2:15" ht="15.75">
      <c r="B135" s="70" t="s">
        <v>579</v>
      </c>
      <c r="C135" s="77">
        <v>43718</v>
      </c>
      <c r="D135" s="70" t="s">
        <v>175</v>
      </c>
      <c r="E135" s="68" t="s">
        <v>134</v>
      </c>
      <c r="F135" s="68" t="s">
        <v>420</v>
      </c>
      <c r="G135" s="68" t="s">
        <v>494</v>
      </c>
      <c r="H135" s="68" t="s">
        <v>421</v>
      </c>
      <c r="I135" s="68" t="s">
        <v>1116</v>
      </c>
      <c r="J135" s="68">
        <v>32.71</v>
      </c>
      <c r="K135" s="68">
        <v>34.345500000000001</v>
      </c>
      <c r="L135" s="68">
        <v>5</v>
      </c>
      <c r="M135" s="68" t="s">
        <v>433</v>
      </c>
      <c r="N135" s="68">
        <v>9.9</v>
      </c>
      <c r="O135" s="68">
        <v>1.6355000000000004</v>
      </c>
    </row>
    <row r="136" spans="2:15" ht="15.75">
      <c r="B136" s="70" t="s">
        <v>580</v>
      </c>
      <c r="C136" s="77">
        <v>43719</v>
      </c>
      <c r="D136" s="70" t="s">
        <v>419</v>
      </c>
      <c r="E136" s="68" t="s">
        <v>131</v>
      </c>
      <c r="F136" s="68" t="s">
        <v>414</v>
      </c>
      <c r="G136" s="68" t="s">
        <v>494</v>
      </c>
      <c r="H136" s="68" t="s">
        <v>416</v>
      </c>
      <c r="I136" s="68" t="s">
        <v>1115</v>
      </c>
      <c r="J136" s="68">
        <v>43.7</v>
      </c>
      <c r="K136" s="68">
        <v>45.884999999999998</v>
      </c>
      <c r="L136" s="68">
        <v>2</v>
      </c>
      <c r="M136" s="68" t="s">
        <v>422</v>
      </c>
      <c r="N136" s="68">
        <v>4.9000000000000004</v>
      </c>
      <c r="O136" s="68">
        <v>2.1849999999999952</v>
      </c>
    </row>
    <row r="137" spans="2:15" ht="15.75">
      <c r="B137" s="70" t="s">
        <v>581</v>
      </c>
      <c r="C137" s="77">
        <v>43720</v>
      </c>
      <c r="D137" s="70" t="s">
        <v>419</v>
      </c>
      <c r="E137" s="68" t="s">
        <v>131</v>
      </c>
      <c r="F137" s="68" t="s">
        <v>420</v>
      </c>
      <c r="G137" s="68" t="s">
        <v>494</v>
      </c>
      <c r="H137" s="68" t="s">
        <v>416</v>
      </c>
      <c r="I137" s="68" t="s">
        <v>1115</v>
      </c>
      <c r="J137" s="68">
        <v>41.5</v>
      </c>
      <c r="K137" s="68">
        <v>43.575000000000003</v>
      </c>
      <c r="L137" s="68">
        <v>4</v>
      </c>
      <c r="M137" s="68" t="s">
        <v>433</v>
      </c>
      <c r="N137" s="68">
        <v>8.1999999999999993</v>
      </c>
      <c r="O137" s="68">
        <v>2.0750000000000028</v>
      </c>
    </row>
    <row r="138" spans="2:15" ht="15.75">
      <c r="B138" s="70" t="s">
        <v>582</v>
      </c>
      <c r="C138" s="77">
        <v>43721</v>
      </c>
      <c r="D138" s="70" t="s">
        <v>419</v>
      </c>
      <c r="E138" s="68" t="s">
        <v>131</v>
      </c>
      <c r="F138" s="68" t="s">
        <v>414</v>
      </c>
      <c r="G138" s="68" t="s">
        <v>415</v>
      </c>
      <c r="H138" s="68" t="s">
        <v>435</v>
      </c>
      <c r="I138" s="68" t="s">
        <v>1114</v>
      </c>
      <c r="J138" s="68">
        <v>71.39</v>
      </c>
      <c r="K138" s="68">
        <v>74.959500000000006</v>
      </c>
      <c r="L138" s="68">
        <v>5</v>
      </c>
      <c r="M138" s="68" t="s">
        <v>433</v>
      </c>
      <c r="N138" s="68">
        <v>5.5</v>
      </c>
      <c r="O138" s="68">
        <v>3.569500000000005</v>
      </c>
    </row>
    <row r="139" spans="2:15" ht="15.75">
      <c r="B139" s="70" t="s">
        <v>583</v>
      </c>
      <c r="C139" s="77">
        <v>43722</v>
      </c>
      <c r="D139" s="70" t="s">
        <v>419</v>
      </c>
      <c r="E139" s="68" t="s">
        <v>131</v>
      </c>
      <c r="F139" s="68" t="s">
        <v>414</v>
      </c>
      <c r="G139" s="68" t="s">
        <v>415</v>
      </c>
      <c r="H139" s="68" t="s">
        <v>448</v>
      </c>
      <c r="I139" s="68" t="s">
        <v>1113</v>
      </c>
      <c r="J139" s="68">
        <v>19.149999999999999</v>
      </c>
      <c r="K139" s="68">
        <v>20.107499999999998</v>
      </c>
      <c r="L139" s="68">
        <v>6</v>
      </c>
      <c r="M139" s="68" t="s">
        <v>433</v>
      </c>
      <c r="N139" s="68">
        <v>6.8</v>
      </c>
      <c r="O139" s="68">
        <v>0.95749999999999957</v>
      </c>
    </row>
    <row r="140" spans="2:15" ht="15.75">
      <c r="B140" s="70" t="s">
        <v>584</v>
      </c>
      <c r="C140" s="77">
        <v>43723</v>
      </c>
      <c r="D140" s="70" t="s">
        <v>266</v>
      </c>
      <c r="E140" s="68" t="s">
        <v>135</v>
      </c>
      <c r="F140" s="68" t="s">
        <v>414</v>
      </c>
      <c r="G140" s="68" t="s">
        <v>415</v>
      </c>
      <c r="H140" s="68" t="s">
        <v>421</v>
      </c>
      <c r="I140" s="68" t="s">
        <v>1116</v>
      </c>
      <c r="J140" s="68">
        <v>57.49</v>
      </c>
      <c r="K140" s="68">
        <v>60.3645</v>
      </c>
      <c r="L140" s="68">
        <v>4</v>
      </c>
      <c r="M140" s="68" t="s">
        <v>422</v>
      </c>
      <c r="N140" s="68">
        <v>6.6</v>
      </c>
      <c r="O140" s="68">
        <v>2.8744999999999976</v>
      </c>
    </row>
    <row r="141" spans="2:15" ht="15.75">
      <c r="B141" s="70" t="s">
        <v>585</v>
      </c>
      <c r="C141" s="77">
        <v>43724</v>
      </c>
      <c r="D141" s="70" t="s">
        <v>419</v>
      </c>
      <c r="E141" s="68" t="s">
        <v>131</v>
      </c>
      <c r="F141" s="68" t="s">
        <v>420</v>
      </c>
      <c r="G141" s="68" t="s">
        <v>494</v>
      </c>
      <c r="H141" s="68" t="s">
        <v>428</v>
      </c>
      <c r="I141" s="68" t="s">
        <v>1116</v>
      </c>
      <c r="J141" s="68">
        <v>61.41</v>
      </c>
      <c r="K141" s="68">
        <v>64.480499999999992</v>
      </c>
      <c r="L141" s="68">
        <v>7</v>
      </c>
      <c r="M141" s="68" t="s">
        <v>422</v>
      </c>
      <c r="N141" s="68">
        <v>9.8000000000000007</v>
      </c>
      <c r="O141" s="68">
        <v>3.0704999999999956</v>
      </c>
    </row>
    <row r="142" spans="2:15" ht="15.75">
      <c r="B142" s="70" t="s">
        <v>586</v>
      </c>
      <c r="C142" s="77">
        <v>43725</v>
      </c>
      <c r="D142" s="70" t="s">
        <v>266</v>
      </c>
      <c r="E142" s="68" t="s">
        <v>135</v>
      </c>
      <c r="F142" s="68" t="s">
        <v>414</v>
      </c>
      <c r="G142" s="68" t="s">
        <v>494</v>
      </c>
      <c r="H142" s="68" t="s">
        <v>459</v>
      </c>
      <c r="I142" s="68" t="s">
        <v>1115</v>
      </c>
      <c r="J142" s="68">
        <v>25.9</v>
      </c>
      <c r="K142" s="68">
        <v>27.195</v>
      </c>
      <c r="L142" s="68">
        <v>10</v>
      </c>
      <c r="M142" s="68" t="s">
        <v>417</v>
      </c>
      <c r="N142" s="68">
        <v>8.6999999999999993</v>
      </c>
      <c r="O142" s="68">
        <v>1.2950000000000017</v>
      </c>
    </row>
    <row r="143" spans="2:15" ht="15.75">
      <c r="B143" s="70" t="s">
        <v>587</v>
      </c>
      <c r="C143" s="77">
        <v>43726</v>
      </c>
      <c r="D143" s="70" t="s">
        <v>175</v>
      </c>
      <c r="E143" s="68" t="s">
        <v>134</v>
      </c>
      <c r="F143" s="68" t="s">
        <v>420</v>
      </c>
      <c r="G143" s="68" t="s">
        <v>415</v>
      </c>
      <c r="H143" s="68" t="s">
        <v>416</v>
      </c>
      <c r="I143" s="68" t="s">
        <v>1115</v>
      </c>
      <c r="J143" s="68">
        <v>23.03</v>
      </c>
      <c r="K143" s="68">
        <v>24.1815</v>
      </c>
      <c r="L143" s="68">
        <v>9</v>
      </c>
      <c r="M143" s="68" t="s">
        <v>417</v>
      </c>
      <c r="N143" s="68">
        <v>7.9</v>
      </c>
      <c r="O143" s="68">
        <v>1.1514999999999986</v>
      </c>
    </row>
    <row r="144" spans="2:15" ht="15.75">
      <c r="B144" s="70" t="s">
        <v>588</v>
      </c>
      <c r="C144" s="77">
        <v>43727</v>
      </c>
      <c r="D144" s="70" t="s">
        <v>419</v>
      </c>
      <c r="E144" s="68" t="s">
        <v>131</v>
      </c>
      <c r="F144" s="68" t="s">
        <v>414</v>
      </c>
      <c r="G144" s="68" t="s">
        <v>415</v>
      </c>
      <c r="H144" s="68" t="s">
        <v>428</v>
      </c>
      <c r="I144" s="68" t="s">
        <v>1116</v>
      </c>
      <c r="J144" s="68">
        <v>66.650000000000006</v>
      </c>
      <c r="K144" s="68">
        <v>69.982500000000002</v>
      </c>
      <c r="L144" s="68">
        <v>9</v>
      </c>
      <c r="M144" s="68" t="s">
        <v>433</v>
      </c>
      <c r="N144" s="68">
        <v>9.6999999999999993</v>
      </c>
      <c r="O144" s="68">
        <v>3.332499999999996</v>
      </c>
    </row>
    <row r="145" spans="2:15" ht="15.75">
      <c r="B145" s="70" t="s">
        <v>589</v>
      </c>
      <c r="C145" s="77">
        <v>43728</v>
      </c>
      <c r="D145" s="70" t="s">
        <v>266</v>
      </c>
      <c r="E145" s="68" t="s">
        <v>135</v>
      </c>
      <c r="F145" s="68" t="s">
        <v>420</v>
      </c>
      <c r="G145" s="68" t="s">
        <v>415</v>
      </c>
      <c r="H145" s="68" t="s">
        <v>428</v>
      </c>
      <c r="I145" s="68" t="s">
        <v>1116</v>
      </c>
      <c r="J145" s="68">
        <v>99.73</v>
      </c>
      <c r="K145" s="68">
        <v>104.7165</v>
      </c>
      <c r="L145" s="68">
        <v>9</v>
      </c>
      <c r="M145" s="68" t="s">
        <v>433</v>
      </c>
      <c r="N145" s="68">
        <v>6.5</v>
      </c>
      <c r="O145" s="68">
        <v>4.9864999999999924</v>
      </c>
    </row>
    <row r="146" spans="2:15" ht="15.75">
      <c r="B146" s="70" t="s">
        <v>590</v>
      </c>
      <c r="C146" s="77">
        <v>43729</v>
      </c>
      <c r="D146" s="70" t="s">
        <v>175</v>
      </c>
      <c r="E146" s="68" t="s">
        <v>134</v>
      </c>
      <c r="F146" s="68" t="s">
        <v>420</v>
      </c>
      <c r="G146" s="68" t="s">
        <v>494</v>
      </c>
      <c r="H146" s="68" t="s">
        <v>428</v>
      </c>
      <c r="I146" s="68" t="s">
        <v>1116</v>
      </c>
      <c r="J146" s="68">
        <v>26.23</v>
      </c>
      <c r="K146" s="68">
        <v>27.541499999999999</v>
      </c>
      <c r="L146" s="68">
        <v>9</v>
      </c>
      <c r="M146" s="68" t="s">
        <v>417</v>
      </c>
      <c r="N146" s="68">
        <v>5.9</v>
      </c>
      <c r="O146" s="68">
        <v>1.3114999999999988</v>
      </c>
    </row>
    <row r="147" spans="2:15" ht="15.75">
      <c r="B147" s="70" t="s">
        <v>591</v>
      </c>
      <c r="C147" s="77">
        <v>43730</v>
      </c>
      <c r="D147" s="70" t="s">
        <v>419</v>
      </c>
      <c r="E147" s="68" t="s">
        <v>131</v>
      </c>
      <c r="F147" s="68" t="s">
        <v>420</v>
      </c>
      <c r="G147" s="68" t="s">
        <v>415</v>
      </c>
      <c r="H147" s="68" t="s">
        <v>435</v>
      </c>
      <c r="I147" s="68" t="s">
        <v>1114</v>
      </c>
      <c r="J147" s="68">
        <v>93.26</v>
      </c>
      <c r="K147" s="68">
        <v>97.923000000000002</v>
      </c>
      <c r="L147" s="68">
        <v>9</v>
      </c>
      <c r="M147" s="68" t="s">
        <v>422</v>
      </c>
      <c r="N147" s="68">
        <v>8.8000000000000007</v>
      </c>
      <c r="O147" s="68">
        <v>4.6629999999999967</v>
      </c>
    </row>
    <row r="148" spans="2:15" ht="15.75">
      <c r="B148" s="70" t="s">
        <v>592</v>
      </c>
      <c r="C148" s="77">
        <v>43731</v>
      </c>
      <c r="D148" s="70" t="s">
        <v>266</v>
      </c>
      <c r="E148" s="68" t="s">
        <v>135</v>
      </c>
      <c r="F148" s="68" t="s">
        <v>420</v>
      </c>
      <c r="G148" s="68" t="s">
        <v>494</v>
      </c>
      <c r="H148" s="68" t="s">
        <v>448</v>
      </c>
      <c r="I148" s="68" t="s">
        <v>1113</v>
      </c>
      <c r="J148" s="68">
        <v>46.42</v>
      </c>
      <c r="K148" s="68">
        <v>48.741000000000007</v>
      </c>
      <c r="L148" s="68">
        <v>3</v>
      </c>
      <c r="M148" s="68" t="s">
        <v>433</v>
      </c>
      <c r="N148" s="68">
        <v>4.4000000000000004</v>
      </c>
      <c r="O148" s="68">
        <v>2.3210000000000051</v>
      </c>
    </row>
    <row r="149" spans="2:15" ht="15.75">
      <c r="B149" s="70" t="s">
        <v>593</v>
      </c>
      <c r="C149" s="77">
        <v>43732</v>
      </c>
      <c r="D149" s="70" t="s">
        <v>266</v>
      </c>
      <c r="E149" s="68" t="s">
        <v>135</v>
      </c>
      <c r="F149" s="68" t="s">
        <v>414</v>
      </c>
      <c r="G149" s="68" t="s">
        <v>415</v>
      </c>
      <c r="H149" s="68" t="s">
        <v>448</v>
      </c>
      <c r="I149" s="68" t="s">
        <v>1113</v>
      </c>
      <c r="J149" s="68">
        <v>29.61</v>
      </c>
      <c r="K149" s="68">
        <v>31.090499999999999</v>
      </c>
      <c r="L149" s="68">
        <v>7</v>
      </c>
      <c r="M149" s="68" t="s">
        <v>422</v>
      </c>
      <c r="N149" s="68">
        <v>6.5</v>
      </c>
      <c r="O149" s="68">
        <v>1.4804999999999993</v>
      </c>
    </row>
    <row r="150" spans="2:15" ht="15.75">
      <c r="B150" s="70" t="s">
        <v>594</v>
      </c>
      <c r="C150" s="77">
        <v>43733</v>
      </c>
      <c r="D150" s="70" t="s">
        <v>266</v>
      </c>
      <c r="E150" s="68" t="s">
        <v>135</v>
      </c>
      <c r="F150" s="68" t="s">
        <v>420</v>
      </c>
      <c r="G150" s="68" t="s">
        <v>415</v>
      </c>
      <c r="H150" s="68" t="s">
        <v>461</v>
      </c>
      <c r="I150" s="68" t="s">
        <v>1113</v>
      </c>
      <c r="J150" s="68">
        <v>24.77</v>
      </c>
      <c r="K150" s="68">
        <v>26.008499999999998</v>
      </c>
      <c r="L150" s="68">
        <v>5</v>
      </c>
      <c r="M150" s="68" t="s">
        <v>422</v>
      </c>
      <c r="N150" s="68">
        <v>8.5</v>
      </c>
      <c r="O150" s="68">
        <v>1.2384999999999984</v>
      </c>
    </row>
    <row r="151" spans="2:15" ht="15.75">
      <c r="B151" s="70" t="s">
        <v>595</v>
      </c>
      <c r="C151" s="77">
        <v>43734</v>
      </c>
      <c r="D151" s="70" t="s">
        <v>175</v>
      </c>
      <c r="E151" s="68" t="s">
        <v>134</v>
      </c>
      <c r="F151" s="68" t="s">
        <v>414</v>
      </c>
      <c r="G151" s="68" t="s">
        <v>415</v>
      </c>
      <c r="H151" s="68" t="s">
        <v>428</v>
      </c>
      <c r="I151" s="68" t="s">
        <v>1116</v>
      </c>
      <c r="J151" s="68">
        <v>94.64</v>
      </c>
      <c r="K151" s="68">
        <v>99.372</v>
      </c>
      <c r="L151" s="68">
        <v>3</v>
      </c>
      <c r="M151" s="68" t="s">
        <v>422</v>
      </c>
      <c r="N151" s="68">
        <v>5.5</v>
      </c>
      <c r="O151" s="68">
        <v>4.7319999999999993</v>
      </c>
    </row>
    <row r="152" spans="2:15" ht="15.75">
      <c r="B152" s="70" t="s">
        <v>596</v>
      </c>
      <c r="C152" s="77">
        <v>43735</v>
      </c>
      <c r="D152" s="70" t="s">
        <v>266</v>
      </c>
      <c r="E152" s="68" t="s">
        <v>135</v>
      </c>
      <c r="F152" s="68" t="s">
        <v>420</v>
      </c>
      <c r="G152" s="68" t="s">
        <v>415</v>
      </c>
      <c r="H152" s="68" t="s">
        <v>435</v>
      </c>
      <c r="I152" s="68" t="s">
        <v>1114</v>
      </c>
      <c r="J152" s="68">
        <v>57.34</v>
      </c>
      <c r="K152" s="68">
        <v>60.207000000000001</v>
      </c>
      <c r="L152" s="68">
        <v>3</v>
      </c>
      <c r="M152" s="68" t="s">
        <v>433</v>
      </c>
      <c r="N152" s="68">
        <v>7.9</v>
      </c>
      <c r="O152" s="68">
        <v>2.8669999999999973</v>
      </c>
    </row>
    <row r="153" spans="2:15" ht="15.75">
      <c r="B153" s="70" t="s">
        <v>597</v>
      </c>
      <c r="C153" s="77">
        <v>43736</v>
      </c>
      <c r="D153" s="70" t="s">
        <v>266</v>
      </c>
      <c r="E153" s="68" t="s">
        <v>135</v>
      </c>
      <c r="F153" s="68" t="s">
        <v>420</v>
      </c>
      <c r="G153" s="68" t="s">
        <v>494</v>
      </c>
      <c r="H153" s="68" t="s">
        <v>430</v>
      </c>
      <c r="I153" s="68" t="s">
        <v>1116</v>
      </c>
      <c r="J153" s="68">
        <v>45.35</v>
      </c>
      <c r="K153" s="68">
        <v>47.6175</v>
      </c>
      <c r="L153" s="68">
        <v>6</v>
      </c>
      <c r="M153" s="68" t="s">
        <v>417</v>
      </c>
      <c r="N153" s="68">
        <v>6.1</v>
      </c>
      <c r="O153" s="68">
        <v>2.2674999999999983</v>
      </c>
    </row>
    <row r="154" spans="2:15" ht="15.75">
      <c r="B154" s="70" t="s">
        <v>598</v>
      </c>
      <c r="C154" s="77">
        <v>43737</v>
      </c>
      <c r="D154" s="70" t="s">
        <v>266</v>
      </c>
      <c r="E154" s="68" t="s">
        <v>135</v>
      </c>
      <c r="F154" s="68" t="s">
        <v>420</v>
      </c>
      <c r="G154" s="68" t="s">
        <v>494</v>
      </c>
      <c r="H154" s="68" t="s">
        <v>476</v>
      </c>
      <c r="I154" s="68" t="s">
        <v>1114</v>
      </c>
      <c r="J154" s="68">
        <v>62.08</v>
      </c>
      <c r="K154" s="68">
        <v>65.183999999999997</v>
      </c>
      <c r="L154" s="68">
        <v>7</v>
      </c>
      <c r="M154" s="68" t="s">
        <v>417</v>
      </c>
      <c r="N154" s="68">
        <v>5.4</v>
      </c>
      <c r="O154" s="68">
        <v>3.1039999999999992</v>
      </c>
    </row>
    <row r="155" spans="2:15" ht="15.75">
      <c r="B155" s="70" t="s">
        <v>599</v>
      </c>
      <c r="C155" s="77">
        <v>43738</v>
      </c>
      <c r="D155" s="70" t="s">
        <v>419</v>
      </c>
      <c r="E155" s="68" t="s">
        <v>131</v>
      </c>
      <c r="F155" s="68" t="s">
        <v>420</v>
      </c>
      <c r="G155" s="68" t="s">
        <v>494</v>
      </c>
      <c r="H155" s="68" t="s">
        <v>428</v>
      </c>
      <c r="I155" s="68" t="s">
        <v>1116</v>
      </c>
      <c r="J155" s="68">
        <v>11.81</v>
      </c>
      <c r="K155" s="68">
        <v>12.400499999999999</v>
      </c>
      <c r="L155" s="68">
        <v>5</v>
      </c>
      <c r="M155" s="68" t="s">
        <v>422</v>
      </c>
      <c r="N155" s="68">
        <v>9.4</v>
      </c>
      <c r="O155" s="68">
        <v>0.59049999999999869</v>
      </c>
    </row>
    <row r="156" spans="2:15" ht="15.75">
      <c r="B156" s="70" t="s">
        <v>600</v>
      </c>
      <c r="C156" s="77">
        <v>43739</v>
      </c>
      <c r="D156" s="70" t="s">
        <v>175</v>
      </c>
      <c r="E156" s="68" t="s">
        <v>134</v>
      </c>
      <c r="F156" s="68" t="s">
        <v>420</v>
      </c>
      <c r="G156" s="68" t="s">
        <v>494</v>
      </c>
      <c r="H156" s="68" t="s">
        <v>476</v>
      </c>
      <c r="I156" s="68" t="s">
        <v>1114</v>
      </c>
      <c r="J156" s="68">
        <v>43.25</v>
      </c>
      <c r="K156" s="68">
        <v>45.412500000000001</v>
      </c>
      <c r="L156" s="68">
        <v>2</v>
      </c>
      <c r="M156" s="68" t="s">
        <v>422</v>
      </c>
      <c r="N156" s="68">
        <v>6.2</v>
      </c>
      <c r="O156" s="68">
        <v>2.1625000000000014</v>
      </c>
    </row>
    <row r="157" spans="2:15" ht="15.75">
      <c r="B157" s="70" t="s">
        <v>601</v>
      </c>
      <c r="C157" s="77">
        <v>43740</v>
      </c>
      <c r="D157" s="70" t="s">
        <v>419</v>
      </c>
      <c r="E157" s="68" t="s">
        <v>131</v>
      </c>
      <c r="F157" s="68" t="s">
        <v>414</v>
      </c>
      <c r="G157" s="68" t="s">
        <v>415</v>
      </c>
      <c r="H157" s="68" t="s">
        <v>426</v>
      </c>
      <c r="I157" s="68" t="s">
        <v>1113</v>
      </c>
      <c r="J157" s="68">
        <v>87.16</v>
      </c>
      <c r="K157" s="68">
        <v>91.518000000000001</v>
      </c>
      <c r="L157" s="68">
        <v>2</v>
      </c>
      <c r="M157" s="68" t="s">
        <v>433</v>
      </c>
      <c r="N157" s="68">
        <v>9.6999999999999993</v>
      </c>
      <c r="O157" s="68">
        <v>4.3580000000000041</v>
      </c>
    </row>
    <row r="158" spans="2:15" ht="15.75">
      <c r="B158" s="70" t="s">
        <v>602</v>
      </c>
      <c r="C158" s="77">
        <v>43741</v>
      </c>
      <c r="D158" s="70" t="s">
        <v>266</v>
      </c>
      <c r="E158" s="68" t="s">
        <v>135</v>
      </c>
      <c r="F158" s="68" t="s">
        <v>414</v>
      </c>
      <c r="G158" s="68" t="s">
        <v>494</v>
      </c>
      <c r="H158" s="68" t="s">
        <v>459</v>
      </c>
      <c r="I158" s="68" t="s">
        <v>1115</v>
      </c>
      <c r="J158" s="68">
        <v>69.37</v>
      </c>
      <c r="K158" s="68">
        <v>72.83850000000001</v>
      </c>
      <c r="L158" s="68">
        <v>9</v>
      </c>
      <c r="M158" s="68" t="s">
        <v>417</v>
      </c>
      <c r="N158" s="68">
        <v>4</v>
      </c>
      <c r="O158" s="68">
        <v>3.4685000000000059</v>
      </c>
    </row>
    <row r="159" spans="2:15" ht="15.75">
      <c r="B159" s="70" t="s">
        <v>603</v>
      </c>
      <c r="C159" s="77">
        <v>43742</v>
      </c>
      <c r="D159" s="70" t="s">
        <v>419</v>
      </c>
      <c r="E159" s="68" t="s">
        <v>131</v>
      </c>
      <c r="F159" s="68" t="s">
        <v>414</v>
      </c>
      <c r="G159" s="68" t="s">
        <v>494</v>
      </c>
      <c r="H159" s="68" t="s">
        <v>428</v>
      </c>
      <c r="I159" s="68" t="s">
        <v>1116</v>
      </c>
      <c r="J159" s="68">
        <v>37.06</v>
      </c>
      <c r="K159" s="68">
        <v>38.912999999999997</v>
      </c>
      <c r="L159" s="68">
        <v>4</v>
      </c>
      <c r="M159" s="68" t="s">
        <v>417</v>
      </c>
      <c r="N159" s="68">
        <v>9.6999999999999993</v>
      </c>
      <c r="O159" s="68">
        <v>1.8529999999999944</v>
      </c>
    </row>
    <row r="160" spans="2:15" ht="15.75">
      <c r="B160" s="70" t="s">
        <v>604</v>
      </c>
      <c r="C160" s="77">
        <v>43743</v>
      </c>
      <c r="D160" s="70" t="s">
        <v>266</v>
      </c>
      <c r="E160" s="68" t="s">
        <v>135</v>
      </c>
      <c r="F160" s="68" t="s">
        <v>414</v>
      </c>
      <c r="G160" s="68" t="s">
        <v>415</v>
      </c>
      <c r="H160" s="68" t="s">
        <v>428</v>
      </c>
      <c r="I160" s="68" t="s">
        <v>1116</v>
      </c>
      <c r="J160" s="68">
        <v>90.7</v>
      </c>
      <c r="K160" s="68">
        <v>95.234999999999999</v>
      </c>
      <c r="L160" s="68">
        <v>6</v>
      </c>
      <c r="M160" s="68" t="s">
        <v>422</v>
      </c>
      <c r="N160" s="68">
        <v>5.3</v>
      </c>
      <c r="O160" s="68">
        <v>4.5349999999999966</v>
      </c>
    </row>
    <row r="161" spans="2:15" ht="15.75">
      <c r="B161" s="70" t="s">
        <v>605</v>
      </c>
      <c r="C161" s="77">
        <v>43744</v>
      </c>
      <c r="D161" s="70" t="s">
        <v>266</v>
      </c>
      <c r="E161" s="68" t="s">
        <v>135</v>
      </c>
      <c r="F161" s="68" t="s">
        <v>414</v>
      </c>
      <c r="G161" s="68" t="s">
        <v>415</v>
      </c>
      <c r="H161" s="68" t="s">
        <v>428</v>
      </c>
      <c r="I161" s="68" t="s">
        <v>1116</v>
      </c>
      <c r="J161" s="68">
        <v>10.59</v>
      </c>
      <c r="K161" s="68">
        <v>11.1195</v>
      </c>
      <c r="L161" s="68">
        <v>3</v>
      </c>
      <c r="M161" s="68" t="s">
        <v>433</v>
      </c>
      <c r="N161" s="68">
        <v>8.6999999999999993</v>
      </c>
      <c r="O161" s="68">
        <v>0.52950000000000053</v>
      </c>
    </row>
    <row r="162" spans="2:15" ht="15.75">
      <c r="B162" s="70" t="s">
        <v>606</v>
      </c>
      <c r="C162" s="77">
        <v>43745</v>
      </c>
      <c r="D162" s="70" t="s">
        <v>266</v>
      </c>
      <c r="E162" s="68" t="s">
        <v>135</v>
      </c>
      <c r="F162" s="68" t="s">
        <v>420</v>
      </c>
      <c r="G162" s="68" t="s">
        <v>415</v>
      </c>
      <c r="H162" s="68" t="s">
        <v>416</v>
      </c>
      <c r="I162" s="68" t="s">
        <v>1115</v>
      </c>
      <c r="J162" s="68">
        <v>84.09</v>
      </c>
      <c r="K162" s="68">
        <v>88.294499999999999</v>
      </c>
      <c r="L162" s="68">
        <v>9</v>
      </c>
      <c r="M162" s="68" t="s">
        <v>422</v>
      </c>
      <c r="N162" s="68">
        <v>8</v>
      </c>
      <c r="O162" s="68">
        <v>4.2044999999999959</v>
      </c>
    </row>
    <row r="163" spans="2:15" ht="15.75">
      <c r="B163" s="70" t="s">
        <v>607</v>
      </c>
      <c r="C163" s="77">
        <v>43746</v>
      </c>
      <c r="D163" s="70" t="s">
        <v>175</v>
      </c>
      <c r="E163" s="68" t="s">
        <v>134</v>
      </c>
      <c r="F163" s="68" t="s">
        <v>414</v>
      </c>
      <c r="G163" s="68" t="s">
        <v>494</v>
      </c>
      <c r="H163" s="68" t="s">
        <v>459</v>
      </c>
      <c r="I163" s="68" t="s">
        <v>1115</v>
      </c>
      <c r="J163" s="68">
        <v>51.94</v>
      </c>
      <c r="K163" s="68">
        <v>54.536999999999999</v>
      </c>
      <c r="L163" s="68">
        <v>10</v>
      </c>
      <c r="M163" s="68" t="s">
        <v>417</v>
      </c>
      <c r="N163" s="68">
        <v>6.5</v>
      </c>
      <c r="O163" s="68">
        <v>2.5970000000000013</v>
      </c>
    </row>
    <row r="164" spans="2:15" ht="15.75">
      <c r="B164" s="70" t="s">
        <v>608</v>
      </c>
      <c r="C164" s="77">
        <v>43747</v>
      </c>
      <c r="D164" s="70" t="s">
        <v>175</v>
      </c>
      <c r="E164" s="68" t="s">
        <v>134</v>
      </c>
      <c r="F164" s="68" t="s">
        <v>420</v>
      </c>
      <c r="G164" s="68" t="s">
        <v>415</v>
      </c>
      <c r="H164" s="68" t="s">
        <v>444</v>
      </c>
      <c r="I164" s="68" t="s">
        <v>1113</v>
      </c>
      <c r="J164" s="68">
        <v>93.14</v>
      </c>
      <c r="K164" s="68">
        <v>97.796999999999997</v>
      </c>
      <c r="L164" s="68">
        <v>2</v>
      </c>
      <c r="M164" s="68" t="s">
        <v>417</v>
      </c>
      <c r="N164" s="68">
        <v>4.0999999999999996</v>
      </c>
      <c r="O164" s="68">
        <v>4.6569999999999965</v>
      </c>
    </row>
    <row r="165" spans="2:15" ht="15.75">
      <c r="B165" s="70" t="s">
        <v>609</v>
      </c>
      <c r="C165" s="77">
        <v>43748</v>
      </c>
      <c r="D165" s="70" t="s">
        <v>419</v>
      </c>
      <c r="E165" s="68" t="s">
        <v>131</v>
      </c>
      <c r="F165" s="68" t="s">
        <v>420</v>
      </c>
      <c r="G165" s="68" t="s">
        <v>494</v>
      </c>
      <c r="H165" s="68" t="s">
        <v>416</v>
      </c>
      <c r="I165" s="68" t="s">
        <v>1115</v>
      </c>
      <c r="J165" s="68">
        <v>17.41</v>
      </c>
      <c r="K165" s="68">
        <v>18.2805</v>
      </c>
      <c r="L165" s="68">
        <v>5</v>
      </c>
      <c r="M165" s="68" t="s">
        <v>433</v>
      </c>
      <c r="N165" s="68">
        <v>4.9000000000000004</v>
      </c>
      <c r="O165" s="68">
        <v>0.87049999999999983</v>
      </c>
    </row>
    <row r="166" spans="2:15" ht="15.75">
      <c r="B166" s="70" t="s">
        <v>610</v>
      </c>
      <c r="C166" s="77">
        <v>43749</v>
      </c>
      <c r="D166" s="70" t="s">
        <v>266</v>
      </c>
      <c r="E166" s="68" t="s">
        <v>135</v>
      </c>
      <c r="F166" s="68" t="s">
        <v>414</v>
      </c>
      <c r="G166" s="68" t="s">
        <v>415</v>
      </c>
      <c r="H166" s="68" t="s">
        <v>428</v>
      </c>
      <c r="I166" s="68" t="s">
        <v>1116</v>
      </c>
      <c r="J166" s="68">
        <v>13.22</v>
      </c>
      <c r="K166" s="68">
        <v>13.881</v>
      </c>
      <c r="L166" s="68">
        <v>5</v>
      </c>
      <c r="M166" s="68" t="s">
        <v>422</v>
      </c>
      <c r="N166" s="68">
        <v>4.3</v>
      </c>
      <c r="O166" s="68">
        <v>0.66099999999999959</v>
      </c>
    </row>
    <row r="167" spans="2:15" ht="15.75">
      <c r="B167" s="70" t="s">
        <v>611</v>
      </c>
      <c r="C167" s="77">
        <v>43750</v>
      </c>
      <c r="D167" s="70" t="s">
        <v>175</v>
      </c>
      <c r="E167" s="68" t="s">
        <v>134</v>
      </c>
      <c r="F167" s="68" t="s">
        <v>420</v>
      </c>
      <c r="G167" s="68" t="s">
        <v>494</v>
      </c>
      <c r="H167" s="68" t="s">
        <v>440</v>
      </c>
      <c r="I167" s="68" t="s">
        <v>1114</v>
      </c>
      <c r="J167" s="68">
        <v>24.94</v>
      </c>
      <c r="K167" s="68">
        <v>26.186999999999998</v>
      </c>
      <c r="L167" s="68">
        <v>9</v>
      </c>
      <c r="M167" s="68" t="s">
        <v>433</v>
      </c>
      <c r="N167" s="68">
        <v>5.6</v>
      </c>
      <c r="O167" s="68">
        <v>1.2469999999999963</v>
      </c>
    </row>
    <row r="168" spans="2:15" ht="15.75">
      <c r="B168" s="70" t="s">
        <v>612</v>
      </c>
      <c r="C168" s="77">
        <v>43751</v>
      </c>
      <c r="D168" s="70" t="s">
        <v>175</v>
      </c>
      <c r="E168" s="68" t="s">
        <v>134</v>
      </c>
      <c r="F168" s="68" t="s">
        <v>420</v>
      </c>
      <c r="G168" s="68" t="s">
        <v>494</v>
      </c>
      <c r="H168" s="68" t="s">
        <v>459</v>
      </c>
      <c r="I168" s="68" t="s">
        <v>1115</v>
      </c>
      <c r="J168" s="68">
        <v>59.77</v>
      </c>
      <c r="K168" s="68">
        <v>62.758499999999998</v>
      </c>
      <c r="L168" s="68">
        <v>2</v>
      </c>
      <c r="M168" s="68" t="s">
        <v>433</v>
      </c>
      <c r="N168" s="68">
        <v>5.8</v>
      </c>
      <c r="O168" s="68">
        <v>2.9884999999999948</v>
      </c>
    </row>
    <row r="169" spans="2:15" ht="15.75">
      <c r="B169" s="70" t="s">
        <v>613</v>
      </c>
      <c r="C169" s="77">
        <v>43752</v>
      </c>
      <c r="D169" s="70" t="s">
        <v>266</v>
      </c>
      <c r="E169" s="68" t="s">
        <v>135</v>
      </c>
      <c r="F169" s="68" t="s">
        <v>414</v>
      </c>
      <c r="G169" s="68" t="s">
        <v>415</v>
      </c>
      <c r="H169" s="68" t="s">
        <v>428</v>
      </c>
      <c r="I169" s="68" t="s">
        <v>1116</v>
      </c>
      <c r="J169" s="68">
        <v>81.400000000000006</v>
      </c>
      <c r="K169" s="68">
        <v>85.470000000000013</v>
      </c>
      <c r="L169" s="68">
        <v>3</v>
      </c>
      <c r="M169" s="68" t="s">
        <v>422</v>
      </c>
      <c r="N169" s="68">
        <v>4.8</v>
      </c>
      <c r="O169" s="68">
        <v>4.0700000000000074</v>
      </c>
    </row>
    <row r="170" spans="2:15" ht="15.75">
      <c r="B170" s="70" t="s">
        <v>614</v>
      </c>
      <c r="C170" s="77">
        <v>43753</v>
      </c>
      <c r="D170" s="70" t="s">
        <v>175</v>
      </c>
      <c r="E170" s="68" t="s">
        <v>134</v>
      </c>
      <c r="F170" s="68" t="s">
        <v>414</v>
      </c>
      <c r="G170" s="68" t="s">
        <v>494</v>
      </c>
      <c r="H170" s="68" t="s">
        <v>428</v>
      </c>
      <c r="I170" s="68" t="s">
        <v>1116</v>
      </c>
      <c r="J170" s="68">
        <v>77.72</v>
      </c>
      <c r="K170" s="68">
        <v>81.605999999999995</v>
      </c>
      <c r="L170" s="68">
        <v>4</v>
      </c>
      <c r="M170" s="68" t="s">
        <v>433</v>
      </c>
      <c r="N170" s="68">
        <v>8.8000000000000007</v>
      </c>
      <c r="O170" s="68">
        <v>3.8859999999999957</v>
      </c>
    </row>
    <row r="171" spans="2:15" ht="15.75">
      <c r="B171" s="70" t="s">
        <v>615</v>
      </c>
      <c r="C171" s="77">
        <v>43754</v>
      </c>
      <c r="D171" s="70" t="s">
        <v>266</v>
      </c>
      <c r="E171" s="68" t="s">
        <v>135</v>
      </c>
      <c r="F171" s="68" t="s">
        <v>420</v>
      </c>
      <c r="G171" s="68" t="s">
        <v>494</v>
      </c>
      <c r="H171" s="68" t="s">
        <v>476</v>
      </c>
      <c r="I171" s="68" t="s">
        <v>1114</v>
      </c>
      <c r="J171" s="68">
        <v>73.06</v>
      </c>
      <c r="K171" s="68">
        <v>76.712999999999994</v>
      </c>
      <c r="L171" s="68">
        <v>7</v>
      </c>
      <c r="M171" s="68" t="s">
        <v>433</v>
      </c>
      <c r="N171" s="68">
        <v>4.2</v>
      </c>
      <c r="O171" s="68">
        <v>3.6529999999999916</v>
      </c>
    </row>
    <row r="172" spans="2:15" ht="15.75">
      <c r="B172" s="70" t="s">
        <v>616</v>
      </c>
      <c r="C172" s="77">
        <v>43755</v>
      </c>
      <c r="D172" s="70" t="s">
        <v>266</v>
      </c>
      <c r="E172" s="68" t="s">
        <v>135</v>
      </c>
      <c r="F172" s="68" t="s">
        <v>414</v>
      </c>
      <c r="G172" s="68" t="s">
        <v>494</v>
      </c>
      <c r="H172" s="68" t="s">
        <v>476</v>
      </c>
      <c r="I172" s="68" t="s">
        <v>1114</v>
      </c>
      <c r="J172" s="68">
        <v>46.55</v>
      </c>
      <c r="K172" s="68">
        <v>48.877499999999998</v>
      </c>
      <c r="L172" s="68">
        <v>9</v>
      </c>
      <c r="M172" s="68" t="s">
        <v>417</v>
      </c>
      <c r="N172" s="68">
        <v>6.4</v>
      </c>
      <c r="O172" s="68">
        <v>2.3275000000000006</v>
      </c>
    </row>
    <row r="173" spans="2:15" ht="15.75">
      <c r="B173" s="70" t="s">
        <v>617</v>
      </c>
      <c r="C173" s="77">
        <v>43756</v>
      </c>
      <c r="D173" s="70" t="s">
        <v>419</v>
      </c>
      <c r="E173" s="68" t="s">
        <v>131</v>
      </c>
      <c r="F173" s="68" t="s">
        <v>420</v>
      </c>
      <c r="G173" s="68" t="s">
        <v>415</v>
      </c>
      <c r="H173" s="68" t="s">
        <v>461</v>
      </c>
      <c r="I173" s="68" t="s">
        <v>1113</v>
      </c>
      <c r="J173" s="68">
        <v>14.39</v>
      </c>
      <c r="K173" s="68">
        <v>15.109500000000001</v>
      </c>
      <c r="L173" s="68">
        <v>2</v>
      </c>
      <c r="M173" s="68" t="s">
        <v>433</v>
      </c>
      <c r="N173" s="68">
        <v>7.2</v>
      </c>
      <c r="O173" s="68">
        <v>0.71950000000000003</v>
      </c>
    </row>
    <row r="174" spans="2:15" ht="15.75">
      <c r="B174" s="70" t="s">
        <v>618</v>
      </c>
      <c r="C174" s="77">
        <v>43757</v>
      </c>
      <c r="D174" s="70" t="s">
        <v>175</v>
      </c>
      <c r="E174" s="68" t="s">
        <v>134</v>
      </c>
      <c r="F174" s="68" t="s">
        <v>414</v>
      </c>
      <c r="G174" s="68" t="s">
        <v>494</v>
      </c>
      <c r="H174" s="68" t="s">
        <v>428</v>
      </c>
      <c r="I174" s="68" t="s">
        <v>1116</v>
      </c>
      <c r="J174" s="68">
        <v>66.349999999999994</v>
      </c>
      <c r="K174" s="68">
        <v>69.667500000000004</v>
      </c>
      <c r="L174" s="68">
        <v>1</v>
      </c>
      <c r="M174" s="68" t="s">
        <v>433</v>
      </c>
      <c r="N174" s="68">
        <v>9.6999999999999993</v>
      </c>
      <c r="O174" s="68">
        <v>3.3175000000000097</v>
      </c>
    </row>
    <row r="175" spans="2:15" ht="15.75">
      <c r="B175" s="70" t="s">
        <v>619</v>
      </c>
      <c r="C175" s="77">
        <v>43758</v>
      </c>
      <c r="D175" s="70" t="s">
        <v>175</v>
      </c>
      <c r="E175" s="68" t="s">
        <v>134</v>
      </c>
      <c r="F175" s="68" t="s">
        <v>414</v>
      </c>
      <c r="G175" s="68" t="s">
        <v>494</v>
      </c>
      <c r="H175" s="68" t="s">
        <v>428</v>
      </c>
      <c r="I175" s="68" t="s">
        <v>1116</v>
      </c>
      <c r="J175" s="68">
        <v>32.25</v>
      </c>
      <c r="K175" s="68">
        <v>33.862499999999997</v>
      </c>
      <c r="L175" s="68">
        <v>4</v>
      </c>
      <c r="M175" s="68" t="s">
        <v>417</v>
      </c>
      <c r="N175" s="68">
        <v>6.5</v>
      </c>
      <c r="O175" s="68">
        <v>1.6124999999999972</v>
      </c>
    </row>
    <row r="176" spans="2:15" ht="15.75">
      <c r="B176" s="70" t="s">
        <v>620</v>
      </c>
      <c r="C176" s="77">
        <v>43759</v>
      </c>
      <c r="D176" s="70" t="s">
        <v>419</v>
      </c>
      <c r="E176" s="68" t="s">
        <v>131</v>
      </c>
      <c r="F176" s="68" t="s">
        <v>414</v>
      </c>
      <c r="G176" s="68" t="s">
        <v>494</v>
      </c>
      <c r="H176" s="68" t="s">
        <v>428</v>
      </c>
      <c r="I176" s="68" t="s">
        <v>1116</v>
      </c>
      <c r="J176" s="68">
        <v>65.94</v>
      </c>
      <c r="K176" s="68">
        <v>69.236999999999995</v>
      </c>
      <c r="L176" s="68">
        <v>4</v>
      </c>
      <c r="M176" s="68" t="s">
        <v>433</v>
      </c>
      <c r="N176" s="68">
        <v>6.9</v>
      </c>
      <c r="O176" s="68">
        <v>3.296999999999997</v>
      </c>
    </row>
    <row r="177" spans="2:15" ht="15.75">
      <c r="B177" s="70" t="s">
        <v>621</v>
      </c>
      <c r="C177" s="77">
        <v>43760</v>
      </c>
      <c r="D177" s="70" t="s">
        <v>175</v>
      </c>
      <c r="E177" s="68" t="s">
        <v>134</v>
      </c>
      <c r="F177" s="68" t="s">
        <v>420</v>
      </c>
      <c r="G177" s="68" t="s">
        <v>415</v>
      </c>
      <c r="H177" s="68" t="s">
        <v>430</v>
      </c>
      <c r="I177" s="68" t="s">
        <v>1116</v>
      </c>
      <c r="J177" s="68">
        <v>75.06</v>
      </c>
      <c r="K177" s="68">
        <v>78.813000000000002</v>
      </c>
      <c r="L177" s="68">
        <v>9</v>
      </c>
      <c r="M177" s="68" t="s">
        <v>417</v>
      </c>
      <c r="N177" s="68">
        <v>6.2</v>
      </c>
      <c r="O177" s="68">
        <v>3.7530000000000001</v>
      </c>
    </row>
    <row r="178" spans="2:15" ht="15.75">
      <c r="B178" s="70" t="s">
        <v>622</v>
      </c>
      <c r="C178" s="77">
        <v>43761</v>
      </c>
      <c r="D178" s="70" t="s">
        <v>175</v>
      </c>
      <c r="E178" s="68" t="s">
        <v>134</v>
      </c>
      <c r="F178" s="68" t="s">
        <v>414</v>
      </c>
      <c r="G178" s="68" t="s">
        <v>415</v>
      </c>
      <c r="H178" s="68" t="s">
        <v>461</v>
      </c>
      <c r="I178" s="68" t="s">
        <v>1113</v>
      </c>
      <c r="J178" s="68">
        <v>22.24</v>
      </c>
      <c r="K178" s="68">
        <v>23.352</v>
      </c>
      <c r="L178" s="68">
        <v>10</v>
      </c>
      <c r="M178" s="68" t="s">
        <v>422</v>
      </c>
      <c r="N178" s="68">
        <v>4.2</v>
      </c>
      <c r="O178" s="68">
        <v>1.1120000000000019</v>
      </c>
    </row>
    <row r="179" spans="2:15" ht="15.75">
      <c r="B179" s="70" t="s">
        <v>623</v>
      </c>
      <c r="C179" s="77">
        <v>43762</v>
      </c>
      <c r="D179" s="70" t="s">
        <v>266</v>
      </c>
      <c r="E179" s="68" t="s">
        <v>135</v>
      </c>
      <c r="F179" s="68" t="s">
        <v>420</v>
      </c>
      <c r="G179" s="68" t="s">
        <v>494</v>
      </c>
      <c r="H179" s="68" t="s">
        <v>455</v>
      </c>
      <c r="I179" s="68" t="s">
        <v>1113</v>
      </c>
      <c r="J179" s="68">
        <v>54.45</v>
      </c>
      <c r="K179" s="68">
        <v>57.172499999999999</v>
      </c>
      <c r="L179" s="68">
        <v>1</v>
      </c>
      <c r="M179" s="68" t="s">
        <v>417</v>
      </c>
      <c r="N179" s="68">
        <v>7.9</v>
      </c>
      <c r="O179" s="68">
        <v>2.7224999999999966</v>
      </c>
    </row>
    <row r="180" spans="2:15" ht="15.75">
      <c r="B180" s="70" t="s">
        <v>624</v>
      </c>
      <c r="C180" s="77">
        <v>43763</v>
      </c>
      <c r="D180" s="70" t="s">
        <v>175</v>
      </c>
      <c r="E180" s="68" t="s">
        <v>134</v>
      </c>
      <c r="F180" s="68" t="s">
        <v>414</v>
      </c>
      <c r="G180" s="68" t="s">
        <v>415</v>
      </c>
      <c r="H180" s="68" t="s">
        <v>461</v>
      </c>
      <c r="I180" s="68" t="s">
        <v>1113</v>
      </c>
      <c r="J180" s="68">
        <v>98.4</v>
      </c>
      <c r="K180" s="68">
        <v>103.32000000000001</v>
      </c>
      <c r="L180" s="68">
        <v>7</v>
      </c>
      <c r="M180" s="68" t="s">
        <v>433</v>
      </c>
      <c r="N180" s="68">
        <v>8.6999999999999993</v>
      </c>
      <c r="O180" s="68">
        <v>4.9200000000000017</v>
      </c>
    </row>
    <row r="181" spans="2:15" ht="15.75">
      <c r="B181" s="70" t="s">
        <v>625</v>
      </c>
      <c r="C181" s="77">
        <v>43764</v>
      </c>
      <c r="D181" s="70" t="s">
        <v>266</v>
      </c>
      <c r="E181" s="68" t="s">
        <v>135</v>
      </c>
      <c r="F181" s="68" t="s">
        <v>414</v>
      </c>
      <c r="G181" s="68" t="s">
        <v>415</v>
      </c>
      <c r="H181" s="68" t="s">
        <v>476</v>
      </c>
      <c r="I181" s="68" t="s">
        <v>1114</v>
      </c>
      <c r="J181" s="68">
        <v>74.599999999999994</v>
      </c>
      <c r="K181" s="68">
        <v>78.33</v>
      </c>
      <c r="L181" s="68">
        <v>10</v>
      </c>
      <c r="M181" s="68" t="s">
        <v>422</v>
      </c>
      <c r="N181" s="68">
        <v>9.5</v>
      </c>
      <c r="O181" s="68">
        <v>3.730000000000004</v>
      </c>
    </row>
    <row r="182" spans="2:15" ht="15.75">
      <c r="B182" s="70" t="s">
        <v>626</v>
      </c>
      <c r="C182" s="77">
        <v>43765</v>
      </c>
      <c r="D182" s="70" t="s">
        <v>266</v>
      </c>
      <c r="E182" s="68" t="s">
        <v>135</v>
      </c>
      <c r="F182" s="68" t="s">
        <v>420</v>
      </c>
      <c r="G182" s="68" t="s">
        <v>415</v>
      </c>
      <c r="H182" s="68" t="s">
        <v>461</v>
      </c>
      <c r="I182" s="68" t="s">
        <v>1113</v>
      </c>
      <c r="J182" s="68">
        <v>67.430000000000007</v>
      </c>
      <c r="K182" s="68">
        <v>70.801500000000004</v>
      </c>
      <c r="L182" s="68">
        <v>5</v>
      </c>
      <c r="M182" s="68" t="s">
        <v>417</v>
      </c>
      <c r="N182" s="68">
        <v>6.3</v>
      </c>
      <c r="O182" s="68">
        <v>3.3714999999999975</v>
      </c>
    </row>
    <row r="183" spans="2:15" ht="15.75">
      <c r="B183" s="70" t="s">
        <v>627</v>
      </c>
      <c r="C183" s="77">
        <v>43766</v>
      </c>
      <c r="D183" s="70" t="s">
        <v>419</v>
      </c>
      <c r="E183" s="68" t="s">
        <v>131</v>
      </c>
      <c r="F183" s="68" t="s">
        <v>414</v>
      </c>
      <c r="G183" s="68" t="s">
        <v>415</v>
      </c>
      <c r="H183" s="68" t="s">
        <v>459</v>
      </c>
      <c r="I183" s="68" t="s">
        <v>1115</v>
      </c>
      <c r="J183" s="68">
        <v>21.12</v>
      </c>
      <c r="K183" s="68">
        <v>22.175999999999998</v>
      </c>
      <c r="L183" s="68">
        <v>2</v>
      </c>
      <c r="M183" s="68" t="s">
        <v>422</v>
      </c>
      <c r="N183" s="68">
        <v>9.6999999999999993</v>
      </c>
      <c r="O183" s="68">
        <v>1.0559999999999974</v>
      </c>
    </row>
    <row r="184" spans="2:15" ht="15.75">
      <c r="B184" s="70" t="s">
        <v>628</v>
      </c>
      <c r="C184" s="77">
        <v>43767</v>
      </c>
      <c r="D184" s="70" t="s">
        <v>266</v>
      </c>
      <c r="E184" s="68" t="s">
        <v>135</v>
      </c>
      <c r="F184" s="68" t="s">
        <v>420</v>
      </c>
      <c r="G184" s="68" t="s">
        <v>415</v>
      </c>
      <c r="H184" s="68" t="s">
        <v>416</v>
      </c>
      <c r="I184" s="68" t="s">
        <v>1115</v>
      </c>
      <c r="J184" s="68">
        <v>99.71</v>
      </c>
      <c r="K184" s="68">
        <v>104.6955</v>
      </c>
      <c r="L184" s="68">
        <v>6</v>
      </c>
      <c r="M184" s="68" t="s">
        <v>417</v>
      </c>
      <c r="N184" s="68">
        <v>7.9</v>
      </c>
      <c r="O184" s="68">
        <v>4.9855000000000018</v>
      </c>
    </row>
    <row r="185" spans="2:15" ht="15.75">
      <c r="B185" s="70" t="s">
        <v>629</v>
      </c>
      <c r="C185" s="77">
        <v>43768</v>
      </c>
      <c r="D185" s="70" t="s">
        <v>175</v>
      </c>
      <c r="E185" s="68" t="s">
        <v>134</v>
      </c>
      <c r="F185" s="68" t="s">
        <v>414</v>
      </c>
      <c r="G185" s="68" t="s">
        <v>494</v>
      </c>
      <c r="H185" s="68" t="s">
        <v>426</v>
      </c>
      <c r="I185" s="68" t="s">
        <v>1113</v>
      </c>
      <c r="J185" s="68">
        <v>44.02</v>
      </c>
      <c r="K185" s="68">
        <v>46.220999999999997</v>
      </c>
      <c r="L185" s="68">
        <v>10</v>
      </c>
      <c r="M185" s="68" t="s">
        <v>433</v>
      </c>
      <c r="N185" s="68">
        <v>9.6</v>
      </c>
      <c r="O185" s="68">
        <v>2.2009999999999934</v>
      </c>
    </row>
    <row r="186" spans="2:15" ht="15.75">
      <c r="B186" s="70" t="s">
        <v>630</v>
      </c>
      <c r="C186" s="77">
        <v>43769</v>
      </c>
      <c r="D186" s="70" t="s">
        <v>175</v>
      </c>
      <c r="E186" s="68" t="s">
        <v>134</v>
      </c>
      <c r="F186" s="68" t="s">
        <v>420</v>
      </c>
      <c r="G186" s="68" t="s">
        <v>415</v>
      </c>
      <c r="H186" s="68" t="s">
        <v>461</v>
      </c>
      <c r="I186" s="68" t="s">
        <v>1113</v>
      </c>
      <c r="J186" s="68">
        <v>15.34</v>
      </c>
      <c r="K186" s="68">
        <v>16.106999999999999</v>
      </c>
      <c r="L186" s="68">
        <v>1</v>
      </c>
      <c r="M186" s="68" t="s">
        <v>422</v>
      </c>
      <c r="N186" s="68">
        <v>6.5</v>
      </c>
      <c r="O186" s="68">
        <v>0.76699999999999946</v>
      </c>
    </row>
    <row r="187" spans="2:15" ht="15.75">
      <c r="B187" s="70" t="s">
        <v>631</v>
      </c>
      <c r="C187" s="77">
        <v>43770</v>
      </c>
      <c r="D187" s="70" t="s">
        <v>175</v>
      </c>
      <c r="E187" s="68" t="s">
        <v>134</v>
      </c>
      <c r="F187" s="68" t="s">
        <v>414</v>
      </c>
      <c r="G187" s="68" t="s">
        <v>494</v>
      </c>
      <c r="H187" s="68" t="s">
        <v>442</v>
      </c>
      <c r="I187" s="68" t="s">
        <v>1115</v>
      </c>
      <c r="J187" s="68">
        <v>99.83</v>
      </c>
      <c r="K187" s="68">
        <v>104.8215</v>
      </c>
      <c r="L187" s="68">
        <v>6</v>
      </c>
      <c r="M187" s="68" t="s">
        <v>417</v>
      </c>
      <c r="N187" s="68">
        <v>8.5</v>
      </c>
      <c r="O187" s="68">
        <v>4.991500000000002</v>
      </c>
    </row>
    <row r="188" spans="2:15" ht="15.75">
      <c r="B188" s="70" t="s">
        <v>632</v>
      </c>
      <c r="C188" s="77">
        <v>43771</v>
      </c>
      <c r="D188" s="70" t="s">
        <v>175</v>
      </c>
      <c r="E188" s="68" t="s">
        <v>134</v>
      </c>
      <c r="F188" s="68" t="s">
        <v>414</v>
      </c>
      <c r="G188" s="68" t="s">
        <v>415</v>
      </c>
      <c r="H188" s="68" t="s">
        <v>446</v>
      </c>
      <c r="I188" s="68" t="s">
        <v>1115</v>
      </c>
      <c r="J188" s="68">
        <v>47.67</v>
      </c>
      <c r="K188" s="68">
        <v>50.0535</v>
      </c>
      <c r="L188" s="68">
        <v>4</v>
      </c>
      <c r="M188" s="68" t="s">
        <v>422</v>
      </c>
      <c r="N188" s="68">
        <v>9.1</v>
      </c>
      <c r="O188" s="68">
        <v>2.383499999999998</v>
      </c>
    </row>
    <row r="189" spans="2:15" ht="15.75">
      <c r="B189" s="70" t="s">
        <v>633</v>
      </c>
      <c r="C189" s="77">
        <v>43772</v>
      </c>
      <c r="D189" s="70" t="s">
        <v>266</v>
      </c>
      <c r="E189" s="68" t="s">
        <v>135</v>
      </c>
      <c r="F189" s="68" t="s">
        <v>420</v>
      </c>
      <c r="G189" s="68" t="s">
        <v>494</v>
      </c>
      <c r="H189" s="68" t="s">
        <v>465</v>
      </c>
      <c r="I189" s="68" t="s">
        <v>1115</v>
      </c>
      <c r="J189" s="68">
        <v>66.680000000000007</v>
      </c>
      <c r="K189" s="68">
        <v>70.013999999999996</v>
      </c>
      <c r="L189" s="68">
        <v>5</v>
      </c>
      <c r="M189" s="68" t="s">
        <v>422</v>
      </c>
      <c r="N189" s="68">
        <v>7.6</v>
      </c>
      <c r="O189" s="68">
        <v>3.333999999999989</v>
      </c>
    </row>
    <row r="190" spans="2:15" ht="15.75">
      <c r="B190" s="70" t="s">
        <v>634</v>
      </c>
      <c r="C190" s="77">
        <v>43773</v>
      </c>
      <c r="D190" s="70" t="s">
        <v>419</v>
      </c>
      <c r="E190" s="68" t="s">
        <v>131</v>
      </c>
      <c r="F190" s="68" t="s">
        <v>420</v>
      </c>
      <c r="G190" s="68" t="s">
        <v>415</v>
      </c>
      <c r="H190" s="68" t="s">
        <v>448</v>
      </c>
      <c r="I190" s="68" t="s">
        <v>1113</v>
      </c>
      <c r="J190" s="68">
        <v>23.75</v>
      </c>
      <c r="K190" s="68">
        <v>24.9375</v>
      </c>
      <c r="L190" s="68">
        <v>9</v>
      </c>
      <c r="M190" s="68" t="s">
        <v>422</v>
      </c>
      <c r="N190" s="68">
        <v>9.5</v>
      </c>
      <c r="O190" s="68">
        <v>1.1875</v>
      </c>
    </row>
    <row r="191" spans="2:15" ht="15.75">
      <c r="B191" s="70" t="s">
        <v>635</v>
      </c>
      <c r="C191" s="77">
        <v>43774</v>
      </c>
      <c r="D191" s="70" t="s">
        <v>266</v>
      </c>
      <c r="E191" s="68" t="s">
        <v>135</v>
      </c>
      <c r="F191" s="68" t="s">
        <v>420</v>
      </c>
      <c r="G191" s="68" t="s">
        <v>415</v>
      </c>
      <c r="H191" s="68" t="s">
        <v>476</v>
      </c>
      <c r="I191" s="68" t="s">
        <v>1114</v>
      </c>
      <c r="J191" s="68">
        <v>48.51</v>
      </c>
      <c r="K191" s="68">
        <v>50.935499999999998</v>
      </c>
      <c r="L191" s="68">
        <v>7</v>
      </c>
      <c r="M191" s="68" t="s">
        <v>433</v>
      </c>
      <c r="N191" s="68">
        <v>5.2</v>
      </c>
      <c r="O191" s="68">
        <v>2.4254999999999995</v>
      </c>
    </row>
    <row r="192" spans="2:15" ht="15.75">
      <c r="B192" s="70" t="s">
        <v>636</v>
      </c>
      <c r="C192" s="77">
        <v>43775</v>
      </c>
      <c r="D192" s="70" t="s">
        <v>266</v>
      </c>
      <c r="E192" s="68" t="s">
        <v>135</v>
      </c>
      <c r="F192" s="68" t="s">
        <v>414</v>
      </c>
      <c r="G192" s="68" t="s">
        <v>494</v>
      </c>
      <c r="H192" s="68" t="s">
        <v>428</v>
      </c>
      <c r="I192" s="68" t="s">
        <v>1116</v>
      </c>
      <c r="J192" s="68">
        <v>40.299999999999997</v>
      </c>
      <c r="K192" s="68">
        <v>42.314999999999998</v>
      </c>
      <c r="L192" s="68">
        <v>10</v>
      </c>
      <c r="M192" s="68" t="s">
        <v>433</v>
      </c>
      <c r="N192" s="68">
        <v>7</v>
      </c>
      <c r="O192" s="68">
        <v>2.0150000000000006</v>
      </c>
    </row>
    <row r="193" spans="2:15" ht="15.75">
      <c r="B193" s="70" t="s">
        <v>637</v>
      </c>
      <c r="C193" s="77">
        <v>43776</v>
      </c>
      <c r="D193" s="70" t="s">
        <v>419</v>
      </c>
      <c r="E193" s="68" t="s">
        <v>131</v>
      </c>
      <c r="F193" s="68" t="s">
        <v>420</v>
      </c>
      <c r="G193" s="68" t="s">
        <v>494</v>
      </c>
      <c r="H193" s="68" t="s">
        <v>430</v>
      </c>
      <c r="I193" s="68" t="s">
        <v>1116</v>
      </c>
      <c r="J193" s="68">
        <v>27.85</v>
      </c>
      <c r="K193" s="68">
        <v>29.2425</v>
      </c>
      <c r="L193" s="68">
        <v>7</v>
      </c>
      <c r="M193" s="68" t="s">
        <v>417</v>
      </c>
      <c r="N193" s="68">
        <v>6</v>
      </c>
      <c r="O193" s="68">
        <v>1.3924999999999983</v>
      </c>
    </row>
    <row r="194" spans="2:15" ht="15.75">
      <c r="B194" s="70" t="s">
        <v>638</v>
      </c>
      <c r="C194" s="77">
        <v>43777</v>
      </c>
      <c r="D194" s="70" t="s">
        <v>175</v>
      </c>
      <c r="E194" s="68" t="s">
        <v>134</v>
      </c>
      <c r="F194" s="68" t="s">
        <v>414</v>
      </c>
      <c r="G194" s="68" t="s">
        <v>415</v>
      </c>
      <c r="H194" s="68" t="s">
        <v>428</v>
      </c>
      <c r="I194" s="68" t="s">
        <v>1116</v>
      </c>
      <c r="J194" s="68">
        <v>62.48</v>
      </c>
      <c r="K194" s="68">
        <v>65.603999999999999</v>
      </c>
      <c r="L194" s="68">
        <v>1</v>
      </c>
      <c r="M194" s="68" t="s">
        <v>422</v>
      </c>
      <c r="N194" s="68">
        <v>4.7</v>
      </c>
      <c r="O194" s="68">
        <v>3.1240000000000023</v>
      </c>
    </row>
    <row r="195" spans="2:15" ht="15.75">
      <c r="B195" s="70" t="s">
        <v>639</v>
      </c>
      <c r="C195" s="77">
        <v>43778</v>
      </c>
      <c r="D195" s="70" t="s">
        <v>175</v>
      </c>
      <c r="E195" s="68" t="s">
        <v>134</v>
      </c>
      <c r="F195" s="68" t="s">
        <v>414</v>
      </c>
      <c r="G195" s="68" t="s">
        <v>415</v>
      </c>
      <c r="H195" s="68" t="s">
        <v>476</v>
      </c>
      <c r="I195" s="68" t="s">
        <v>1114</v>
      </c>
      <c r="J195" s="68">
        <v>36.36</v>
      </c>
      <c r="K195" s="68">
        <v>38.177999999999997</v>
      </c>
      <c r="L195" s="68">
        <v>2</v>
      </c>
      <c r="M195" s="68" t="s">
        <v>422</v>
      </c>
      <c r="N195" s="68">
        <v>7.1</v>
      </c>
      <c r="O195" s="68">
        <v>1.8179999999999978</v>
      </c>
    </row>
    <row r="196" spans="2:15" ht="15.75">
      <c r="B196" s="70" t="s">
        <v>640</v>
      </c>
      <c r="C196" s="77">
        <v>43779</v>
      </c>
      <c r="D196" s="70" t="s">
        <v>266</v>
      </c>
      <c r="E196" s="68" t="s">
        <v>135</v>
      </c>
      <c r="F196" s="68" t="s">
        <v>420</v>
      </c>
      <c r="G196" s="68" t="s">
        <v>494</v>
      </c>
      <c r="H196" s="68" t="s">
        <v>465</v>
      </c>
      <c r="I196" s="68" t="s">
        <v>1115</v>
      </c>
      <c r="J196" s="68">
        <v>18.11</v>
      </c>
      <c r="K196" s="68">
        <v>19.015499999999999</v>
      </c>
      <c r="L196" s="68">
        <v>10</v>
      </c>
      <c r="M196" s="68" t="s">
        <v>417</v>
      </c>
      <c r="N196" s="68">
        <v>5.9</v>
      </c>
      <c r="O196" s="68">
        <v>0.90549999999999997</v>
      </c>
    </row>
    <row r="197" spans="2:15" ht="15.75">
      <c r="B197" s="70" t="s">
        <v>641</v>
      </c>
      <c r="C197" s="77">
        <v>43780</v>
      </c>
      <c r="D197" s="70" t="s">
        <v>419</v>
      </c>
      <c r="E197" s="68" t="s">
        <v>131</v>
      </c>
      <c r="F197" s="68" t="s">
        <v>414</v>
      </c>
      <c r="G197" s="68" t="s">
        <v>415</v>
      </c>
      <c r="H197" s="68" t="s">
        <v>428</v>
      </c>
      <c r="I197" s="68" t="s">
        <v>1116</v>
      </c>
      <c r="J197" s="68">
        <v>51.92</v>
      </c>
      <c r="K197" s="68">
        <v>54.515999999999998</v>
      </c>
      <c r="L197" s="68">
        <v>5</v>
      </c>
      <c r="M197" s="68" t="s">
        <v>422</v>
      </c>
      <c r="N197" s="68">
        <v>7.5</v>
      </c>
      <c r="O197" s="68">
        <v>2.5959999999999965</v>
      </c>
    </row>
    <row r="198" spans="2:15" ht="15.75">
      <c r="B198" s="70" t="s">
        <v>642</v>
      </c>
      <c r="C198" s="77">
        <v>43781</v>
      </c>
      <c r="D198" s="70" t="s">
        <v>419</v>
      </c>
      <c r="E198" s="68" t="s">
        <v>131</v>
      </c>
      <c r="F198" s="68" t="s">
        <v>420</v>
      </c>
      <c r="G198" s="68" t="s">
        <v>494</v>
      </c>
      <c r="H198" s="68" t="s">
        <v>428</v>
      </c>
      <c r="I198" s="68" t="s">
        <v>1116</v>
      </c>
      <c r="J198" s="68">
        <v>28.84</v>
      </c>
      <c r="K198" s="68">
        <v>30.282</v>
      </c>
      <c r="L198" s="68">
        <v>4</v>
      </c>
      <c r="M198" s="68" t="s">
        <v>422</v>
      </c>
      <c r="N198" s="68">
        <v>6.4</v>
      </c>
      <c r="O198" s="68">
        <v>1.4420000000000002</v>
      </c>
    </row>
    <row r="199" spans="2:15" ht="15.75">
      <c r="B199" s="70" t="s">
        <v>643</v>
      </c>
      <c r="C199" s="77">
        <v>43782</v>
      </c>
      <c r="D199" s="70" t="s">
        <v>266</v>
      </c>
      <c r="E199" s="68" t="s">
        <v>135</v>
      </c>
      <c r="F199" s="68" t="s">
        <v>414</v>
      </c>
      <c r="G199" s="68" t="s">
        <v>494</v>
      </c>
      <c r="H199" s="68" t="s">
        <v>442</v>
      </c>
      <c r="I199" s="68" t="s">
        <v>1115</v>
      </c>
      <c r="J199" s="68">
        <v>39.01</v>
      </c>
      <c r="K199" s="68">
        <v>40.960500000000003</v>
      </c>
      <c r="L199" s="68">
        <v>1</v>
      </c>
      <c r="M199" s="68" t="s">
        <v>433</v>
      </c>
      <c r="N199" s="68">
        <v>4.7</v>
      </c>
      <c r="O199" s="68">
        <v>1.9505000000000052</v>
      </c>
    </row>
    <row r="200" spans="2:15" ht="15.75">
      <c r="B200" s="70" t="s">
        <v>644</v>
      </c>
      <c r="C200" s="77">
        <v>43783</v>
      </c>
      <c r="D200" s="70" t="s">
        <v>419</v>
      </c>
      <c r="E200" s="68" t="s">
        <v>131</v>
      </c>
      <c r="F200" s="68" t="s">
        <v>420</v>
      </c>
      <c r="G200" s="68" t="s">
        <v>494</v>
      </c>
      <c r="H200" s="68" t="s">
        <v>476</v>
      </c>
      <c r="I200" s="68" t="s">
        <v>1114</v>
      </c>
      <c r="J200" s="68">
        <v>48.61</v>
      </c>
      <c r="K200" s="68">
        <v>51.040500000000002</v>
      </c>
      <c r="L200" s="68">
        <v>1</v>
      </c>
      <c r="M200" s="68" t="s">
        <v>422</v>
      </c>
      <c r="N200" s="68">
        <v>4.4000000000000004</v>
      </c>
      <c r="O200" s="68">
        <v>2.4305000000000021</v>
      </c>
    </row>
    <row r="201" spans="2:15" ht="15.75">
      <c r="B201" s="70" t="s">
        <v>645</v>
      </c>
      <c r="C201" s="77">
        <v>43784</v>
      </c>
      <c r="D201" s="70" t="s">
        <v>175</v>
      </c>
      <c r="E201" s="68" t="s">
        <v>134</v>
      </c>
      <c r="F201" s="68" t="s">
        <v>420</v>
      </c>
      <c r="G201" s="68" t="s">
        <v>415</v>
      </c>
      <c r="H201" s="68" t="s">
        <v>428</v>
      </c>
      <c r="I201" s="68" t="s">
        <v>1116</v>
      </c>
      <c r="J201" s="68">
        <v>51.19</v>
      </c>
      <c r="K201" s="68">
        <v>53.749499999999998</v>
      </c>
      <c r="L201" s="68">
        <v>4</v>
      </c>
      <c r="M201" s="68" t="s">
        <v>433</v>
      </c>
      <c r="N201" s="68">
        <v>4.7</v>
      </c>
      <c r="O201" s="68">
        <v>2.5594999999999999</v>
      </c>
    </row>
    <row r="202" spans="2:15" ht="15.75">
      <c r="B202" s="70" t="s">
        <v>646</v>
      </c>
      <c r="C202" s="77">
        <v>43785</v>
      </c>
      <c r="D202" s="70" t="s">
        <v>266</v>
      </c>
      <c r="E202" s="68" t="s">
        <v>135</v>
      </c>
      <c r="F202" s="68" t="s">
        <v>420</v>
      </c>
      <c r="G202" s="68" t="s">
        <v>415</v>
      </c>
      <c r="H202" s="68" t="s">
        <v>428</v>
      </c>
      <c r="I202" s="68" t="s">
        <v>1116</v>
      </c>
      <c r="J202" s="68">
        <v>14.96</v>
      </c>
      <c r="K202" s="68">
        <v>15.708</v>
      </c>
      <c r="L202" s="68">
        <v>8</v>
      </c>
      <c r="M202" s="68" t="s">
        <v>422</v>
      </c>
      <c r="N202" s="68">
        <v>8.6</v>
      </c>
      <c r="O202" s="68">
        <v>0.74799999999999933</v>
      </c>
    </row>
    <row r="203" spans="2:15" ht="15.75">
      <c r="B203" s="70" t="s">
        <v>647</v>
      </c>
      <c r="C203" s="77">
        <v>43786</v>
      </c>
      <c r="D203" s="70" t="s">
        <v>175</v>
      </c>
      <c r="E203" s="68" t="s">
        <v>134</v>
      </c>
      <c r="F203" s="68" t="s">
        <v>414</v>
      </c>
      <c r="G203" s="68" t="s">
        <v>494</v>
      </c>
      <c r="H203" s="68" t="s">
        <v>428</v>
      </c>
      <c r="I203" s="68" t="s">
        <v>1116</v>
      </c>
      <c r="J203" s="68">
        <v>72.2</v>
      </c>
      <c r="K203" s="68">
        <v>75.809999999999988</v>
      </c>
      <c r="L203" s="68">
        <v>7</v>
      </c>
      <c r="M203" s="68" t="s">
        <v>417</v>
      </c>
      <c r="N203" s="68">
        <v>4.3</v>
      </c>
      <c r="O203" s="68">
        <v>3.6099999999999852</v>
      </c>
    </row>
    <row r="204" spans="2:15" ht="15.75">
      <c r="B204" s="70" t="s">
        <v>648</v>
      </c>
      <c r="C204" s="77">
        <v>43787</v>
      </c>
      <c r="D204" s="70" t="s">
        <v>175</v>
      </c>
      <c r="E204" s="68" t="s">
        <v>134</v>
      </c>
      <c r="F204" s="68" t="s">
        <v>420</v>
      </c>
      <c r="G204" s="68" t="s">
        <v>415</v>
      </c>
      <c r="H204" s="68" t="s">
        <v>448</v>
      </c>
      <c r="I204" s="68" t="s">
        <v>1113</v>
      </c>
      <c r="J204" s="68">
        <v>40.229999999999997</v>
      </c>
      <c r="K204" s="68">
        <v>42.241499999999995</v>
      </c>
      <c r="L204" s="68">
        <v>7</v>
      </c>
      <c r="M204" s="68" t="s">
        <v>422</v>
      </c>
      <c r="N204" s="68">
        <v>9.6</v>
      </c>
      <c r="O204" s="68">
        <v>2.0114999999999981</v>
      </c>
    </row>
    <row r="205" spans="2:15" ht="15.75">
      <c r="B205" s="70" t="s">
        <v>649</v>
      </c>
      <c r="C205" s="77">
        <v>43788</v>
      </c>
      <c r="D205" s="70" t="s">
        <v>175</v>
      </c>
      <c r="E205" s="68" t="s">
        <v>134</v>
      </c>
      <c r="F205" s="68" t="s">
        <v>414</v>
      </c>
      <c r="G205" s="68" t="s">
        <v>415</v>
      </c>
      <c r="H205" s="68" t="s">
        <v>428</v>
      </c>
      <c r="I205" s="68" t="s">
        <v>1116</v>
      </c>
      <c r="J205" s="68">
        <v>26.48</v>
      </c>
      <c r="K205" s="68">
        <v>27.804000000000002</v>
      </c>
      <c r="L205" s="68">
        <v>3</v>
      </c>
      <c r="M205" s="68" t="s">
        <v>417</v>
      </c>
      <c r="N205" s="68">
        <v>4.7</v>
      </c>
      <c r="O205" s="68">
        <v>1.3240000000000016</v>
      </c>
    </row>
    <row r="206" spans="2:15" ht="15.75">
      <c r="B206" s="70" t="s">
        <v>650</v>
      </c>
      <c r="C206" s="77">
        <v>43789</v>
      </c>
      <c r="D206" s="70" t="s">
        <v>266</v>
      </c>
      <c r="E206" s="68" t="s">
        <v>135</v>
      </c>
      <c r="F206" s="68" t="s">
        <v>414</v>
      </c>
      <c r="G206" s="68" t="s">
        <v>494</v>
      </c>
      <c r="H206" s="68" t="s">
        <v>448</v>
      </c>
      <c r="I206" s="68" t="s">
        <v>1113</v>
      </c>
      <c r="J206" s="68">
        <v>79.930000000000007</v>
      </c>
      <c r="K206" s="68">
        <v>83.926500000000004</v>
      </c>
      <c r="L206" s="68">
        <v>6</v>
      </c>
      <c r="M206" s="68" t="s">
        <v>422</v>
      </c>
      <c r="N206" s="68">
        <v>5.5</v>
      </c>
      <c r="O206" s="68">
        <v>3.9964999999999975</v>
      </c>
    </row>
    <row r="207" spans="2:15" ht="15.75">
      <c r="B207" s="70" t="s">
        <v>651</v>
      </c>
      <c r="C207" s="77">
        <v>43790</v>
      </c>
      <c r="D207" s="70" t="s">
        <v>175</v>
      </c>
      <c r="E207" s="68" t="s">
        <v>134</v>
      </c>
      <c r="F207" s="68" t="s">
        <v>414</v>
      </c>
      <c r="G207" s="68" t="s">
        <v>415</v>
      </c>
      <c r="H207" s="68" t="s">
        <v>476</v>
      </c>
      <c r="I207" s="68" t="s">
        <v>1114</v>
      </c>
      <c r="J207" s="68">
        <v>14.23</v>
      </c>
      <c r="K207" s="68">
        <v>14.9415</v>
      </c>
      <c r="L207" s="68">
        <v>5</v>
      </c>
      <c r="M207" s="68" t="s">
        <v>433</v>
      </c>
      <c r="N207" s="68">
        <v>4.4000000000000004</v>
      </c>
      <c r="O207" s="68">
        <v>0.71149999999999913</v>
      </c>
    </row>
    <row r="208" spans="2:15" ht="15.75">
      <c r="B208" s="70" t="s">
        <v>652</v>
      </c>
      <c r="C208" s="77">
        <v>43791</v>
      </c>
      <c r="D208" s="70" t="s">
        <v>175</v>
      </c>
      <c r="E208" s="68" t="s">
        <v>134</v>
      </c>
      <c r="F208" s="68" t="s">
        <v>414</v>
      </c>
      <c r="G208" s="68" t="s">
        <v>415</v>
      </c>
      <c r="H208" s="68" t="s">
        <v>465</v>
      </c>
      <c r="I208" s="68" t="s">
        <v>1115</v>
      </c>
      <c r="J208" s="68">
        <v>15.55</v>
      </c>
      <c r="K208" s="68">
        <v>16.327500000000001</v>
      </c>
      <c r="L208" s="68">
        <v>9</v>
      </c>
      <c r="M208" s="68" t="s">
        <v>422</v>
      </c>
      <c r="N208" s="68">
        <v>5</v>
      </c>
      <c r="O208" s="68">
        <v>0.77749999999999986</v>
      </c>
    </row>
    <row r="209" spans="2:15" ht="15.75">
      <c r="B209" s="70" t="s">
        <v>653</v>
      </c>
      <c r="C209" s="77">
        <v>43792</v>
      </c>
      <c r="D209" s="70" t="s">
        <v>419</v>
      </c>
      <c r="E209" s="68" t="s">
        <v>131</v>
      </c>
      <c r="F209" s="68" t="s">
        <v>414</v>
      </c>
      <c r="G209" s="68" t="s">
        <v>415</v>
      </c>
      <c r="H209" s="68" t="s">
        <v>428</v>
      </c>
      <c r="I209" s="68" t="s">
        <v>1116</v>
      </c>
      <c r="J209" s="68">
        <v>78.13</v>
      </c>
      <c r="K209" s="68">
        <v>82.036500000000004</v>
      </c>
      <c r="L209" s="68">
        <v>10</v>
      </c>
      <c r="M209" s="68" t="s">
        <v>422</v>
      </c>
      <c r="N209" s="68">
        <v>4.4000000000000004</v>
      </c>
      <c r="O209" s="68">
        <v>3.9065000000000083</v>
      </c>
    </row>
    <row r="210" spans="2:15" ht="15.75">
      <c r="B210" s="70" t="s">
        <v>654</v>
      </c>
      <c r="C210" s="77">
        <v>43793</v>
      </c>
      <c r="D210" s="70" t="s">
        <v>419</v>
      </c>
      <c r="E210" s="68" t="s">
        <v>131</v>
      </c>
      <c r="F210" s="68" t="s">
        <v>414</v>
      </c>
      <c r="G210" s="68" t="s">
        <v>494</v>
      </c>
      <c r="H210" s="68" t="s">
        <v>476</v>
      </c>
      <c r="I210" s="68" t="s">
        <v>1114</v>
      </c>
      <c r="J210" s="68">
        <v>99.37</v>
      </c>
      <c r="K210" s="68">
        <v>104.3385</v>
      </c>
      <c r="L210" s="68">
        <v>2</v>
      </c>
      <c r="M210" s="68" t="s">
        <v>422</v>
      </c>
      <c r="N210" s="68">
        <v>5.2</v>
      </c>
      <c r="O210" s="68">
        <v>4.9684999999999917</v>
      </c>
    </row>
    <row r="211" spans="2:15" ht="15.75">
      <c r="B211" s="70" t="s">
        <v>655</v>
      </c>
      <c r="C211" s="77">
        <v>43794</v>
      </c>
      <c r="D211" s="70" t="s">
        <v>419</v>
      </c>
      <c r="E211" s="68" t="s">
        <v>131</v>
      </c>
      <c r="F211" s="68" t="s">
        <v>414</v>
      </c>
      <c r="G211" s="68" t="s">
        <v>415</v>
      </c>
      <c r="H211" s="68" t="s">
        <v>440</v>
      </c>
      <c r="I211" s="68" t="s">
        <v>1114</v>
      </c>
      <c r="J211" s="68">
        <v>21.08</v>
      </c>
      <c r="K211" s="68">
        <v>22.134</v>
      </c>
      <c r="L211" s="68">
        <v>3</v>
      </c>
      <c r="M211" s="68" t="s">
        <v>422</v>
      </c>
      <c r="N211" s="68">
        <v>7.3</v>
      </c>
      <c r="O211" s="68">
        <v>1.054000000000002</v>
      </c>
    </row>
    <row r="212" spans="2:15" ht="15.75">
      <c r="B212" s="70" t="s">
        <v>656</v>
      </c>
      <c r="C212" s="77">
        <v>43795</v>
      </c>
      <c r="D212" s="70" t="s">
        <v>419</v>
      </c>
      <c r="E212" s="68" t="s">
        <v>131</v>
      </c>
      <c r="F212" s="68" t="s">
        <v>414</v>
      </c>
      <c r="G212" s="68" t="s">
        <v>494</v>
      </c>
      <c r="H212" s="68" t="s">
        <v>421</v>
      </c>
      <c r="I212" s="68" t="s">
        <v>1116</v>
      </c>
      <c r="J212" s="68">
        <v>74.790000000000006</v>
      </c>
      <c r="K212" s="68">
        <v>78.529499999999999</v>
      </c>
      <c r="L212" s="68">
        <v>5</v>
      </c>
      <c r="M212" s="68" t="s">
        <v>422</v>
      </c>
      <c r="N212" s="68">
        <v>4.9000000000000004</v>
      </c>
      <c r="O212" s="68">
        <v>3.7394999999999925</v>
      </c>
    </row>
    <row r="213" spans="2:15" ht="15.75">
      <c r="B213" s="70" t="s">
        <v>657</v>
      </c>
      <c r="C213" s="77">
        <v>43796</v>
      </c>
      <c r="D213" s="70" t="s">
        <v>419</v>
      </c>
      <c r="E213" s="68" t="s">
        <v>131</v>
      </c>
      <c r="F213" s="68" t="s">
        <v>414</v>
      </c>
      <c r="G213" s="68" t="s">
        <v>415</v>
      </c>
      <c r="H213" s="68" t="s">
        <v>465</v>
      </c>
      <c r="I213" s="68" t="s">
        <v>1115</v>
      </c>
      <c r="J213" s="68">
        <v>29.67</v>
      </c>
      <c r="K213" s="68">
        <v>31.153500000000001</v>
      </c>
      <c r="L213" s="68">
        <v>7</v>
      </c>
      <c r="M213" s="68" t="s">
        <v>433</v>
      </c>
      <c r="N213" s="68">
        <v>8.1</v>
      </c>
      <c r="O213" s="68">
        <v>1.4834999999999994</v>
      </c>
    </row>
    <row r="214" spans="2:15" ht="15.75">
      <c r="B214" s="70" t="s">
        <v>658</v>
      </c>
      <c r="C214" s="77">
        <v>43797</v>
      </c>
      <c r="D214" s="70" t="s">
        <v>419</v>
      </c>
      <c r="E214" s="68" t="s">
        <v>131</v>
      </c>
      <c r="F214" s="68" t="s">
        <v>414</v>
      </c>
      <c r="G214" s="68" t="s">
        <v>494</v>
      </c>
      <c r="H214" s="68" t="s">
        <v>459</v>
      </c>
      <c r="I214" s="68" t="s">
        <v>1115</v>
      </c>
      <c r="J214" s="68">
        <v>44.07</v>
      </c>
      <c r="K214" s="68">
        <v>46.273499999999999</v>
      </c>
      <c r="L214" s="68">
        <v>4</v>
      </c>
      <c r="M214" s="68" t="s">
        <v>417</v>
      </c>
      <c r="N214" s="68">
        <v>8.4</v>
      </c>
      <c r="O214" s="68">
        <v>2.2034999999999982</v>
      </c>
    </row>
    <row r="215" spans="2:15" ht="15.75">
      <c r="B215" s="70" t="s">
        <v>659</v>
      </c>
      <c r="C215" s="77">
        <v>43798</v>
      </c>
      <c r="D215" s="70" t="s">
        <v>419</v>
      </c>
      <c r="E215" s="68" t="s">
        <v>131</v>
      </c>
      <c r="F215" s="68" t="s">
        <v>420</v>
      </c>
      <c r="G215" s="68" t="s">
        <v>415</v>
      </c>
      <c r="H215" s="68" t="s">
        <v>476</v>
      </c>
      <c r="I215" s="68" t="s">
        <v>1114</v>
      </c>
      <c r="J215" s="68">
        <v>22.93</v>
      </c>
      <c r="K215" s="68">
        <v>24.076499999999999</v>
      </c>
      <c r="L215" s="68">
        <v>9</v>
      </c>
      <c r="M215" s="68" t="s">
        <v>422</v>
      </c>
      <c r="N215" s="68">
        <v>5.5</v>
      </c>
      <c r="O215" s="68">
        <v>1.1464999999999996</v>
      </c>
    </row>
    <row r="216" spans="2:15" ht="15.75">
      <c r="B216" s="70" t="s">
        <v>660</v>
      </c>
      <c r="C216" s="77">
        <v>43799</v>
      </c>
      <c r="D216" s="70" t="s">
        <v>419</v>
      </c>
      <c r="E216" s="68" t="s">
        <v>131</v>
      </c>
      <c r="F216" s="68" t="s">
        <v>420</v>
      </c>
      <c r="G216" s="68" t="s">
        <v>415</v>
      </c>
      <c r="H216" s="68" t="s">
        <v>432</v>
      </c>
      <c r="I216" s="68" t="s">
        <v>1115</v>
      </c>
      <c r="J216" s="68">
        <v>39.42</v>
      </c>
      <c r="K216" s="68">
        <v>41.390999999999998</v>
      </c>
      <c r="L216" s="68">
        <v>1</v>
      </c>
      <c r="M216" s="68" t="s">
        <v>422</v>
      </c>
      <c r="N216" s="68">
        <v>8.4</v>
      </c>
      <c r="O216" s="68">
        <v>1.9709999999999965</v>
      </c>
    </row>
    <row r="217" spans="2:15" ht="15.75">
      <c r="B217" s="70" t="s">
        <v>661</v>
      </c>
      <c r="C217" s="77">
        <v>43800</v>
      </c>
      <c r="D217" s="70" t="s">
        <v>175</v>
      </c>
      <c r="E217" s="68" t="s">
        <v>134</v>
      </c>
      <c r="F217" s="68" t="s">
        <v>420</v>
      </c>
      <c r="G217" s="68" t="s">
        <v>494</v>
      </c>
      <c r="H217" s="68" t="s">
        <v>465</v>
      </c>
      <c r="I217" s="68" t="s">
        <v>1115</v>
      </c>
      <c r="J217" s="68">
        <v>15.26</v>
      </c>
      <c r="K217" s="68">
        <v>16.023</v>
      </c>
      <c r="L217" s="68">
        <v>6</v>
      </c>
      <c r="M217" s="68" t="s">
        <v>417</v>
      </c>
      <c r="N217" s="68">
        <v>9.8000000000000007</v>
      </c>
      <c r="O217" s="68">
        <v>0.7629999999999999</v>
      </c>
    </row>
    <row r="218" spans="2:15" ht="15.75">
      <c r="B218" s="70" t="s">
        <v>662</v>
      </c>
      <c r="C218" s="77">
        <v>43801</v>
      </c>
      <c r="D218" s="70" t="s">
        <v>266</v>
      </c>
      <c r="E218" s="68" t="s">
        <v>135</v>
      </c>
      <c r="F218" s="68" t="s">
        <v>420</v>
      </c>
      <c r="G218" s="68" t="s">
        <v>494</v>
      </c>
      <c r="H218" s="68" t="s">
        <v>444</v>
      </c>
      <c r="I218" s="68" t="s">
        <v>1113</v>
      </c>
      <c r="J218" s="68">
        <v>97.74</v>
      </c>
      <c r="K218" s="68">
        <v>102.627</v>
      </c>
      <c r="L218" s="68">
        <v>4</v>
      </c>
      <c r="M218" s="68" t="s">
        <v>417</v>
      </c>
      <c r="N218" s="68">
        <v>6.4</v>
      </c>
      <c r="O218" s="68">
        <v>4.8870000000000005</v>
      </c>
    </row>
    <row r="219" spans="2:15" ht="15.75">
      <c r="B219" s="70" t="s">
        <v>663</v>
      </c>
      <c r="C219" s="77">
        <v>43802</v>
      </c>
      <c r="D219" s="70" t="s">
        <v>175</v>
      </c>
      <c r="E219" s="68" t="s">
        <v>134</v>
      </c>
      <c r="F219" s="68" t="s">
        <v>414</v>
      </c>
      <c r="G219" s="68" t="s">
        <v>494</v>
      </c>
      <c r="H219" s="68" t="s">
        <v>476</v>
      </c>
      <c r="I219" s="68" t="s">
        <v>1114</v>
      </c>
      <c r="J219" s="68">
        <v>99.78</v>
      </c>
      <c r="K219" s="68">
        <v>104.76900000000001</v>
      </c>
      <c r="L219" s="68">
        <v>5</v>
      </c>
      <c r="M219" s="68" t="s">
        <v>422</v>
      </c>
      <c r="N219" s="68">
        <v>5.4</v>
      </c>
      <c r="O219" s="68">
        <v>4.9890000000000043</v>
      </c>
    </row>
    <row r="220" spans="2:15" ht="15.75">
      <c r="B220" s="70" t="s">
        <v>664</v>
      </c>
      <c r="C220" s="77">
        <v>43803</v>
      </c>
      <c r="D220" s="70" t="s">
        <v>419</v>
      </c>
      <c r="E220" s="68" t="s">
        <v>131</v>
      </c>
      <c r="F220" s="68" t="s">
        <v>414</v>
      </c>
      <c r="G220" s="68" t="s">
        <v>494</v>
      </c>
      <c r="H220" s="68" t="s">
        <v>476</v>
      </c>
      <c r="I220" s="68" t="s">
        <v>1114</v>
      </c>
      <c r="J220" s="68">
        <v>94.26</v>
      </c>
      <c r="K220" s="68">
        <v>98.972999999999999</v>
      </c>
      <c r="L220" s="68">
        <v>4</v>
      </c>
      <c r="M220" s="68" t="s">
        <v>422</v>
      </c>
      <c r="N220" s="68">
        <v>8.6</v>
      </c>
      <c r="O220" s="68">
        <v>4.7129999999999939</v>
      </c>
    </row>
    <row r="221" spans="2:15" ht="15.75">
      <c r="B221" s="70" t="s">
        <v>665</v>
      </c>
      <c r="C221" s="77">
        <v>43804</v>
      </c>
      <c r="D221" s="70" t="s">
        <v>266</v>
      </c>
      <c r="E221" s="68" t="s">
        <v>135</v>
      </c>
      <c r="F221" s="68" t="s">
        <v>414</v>
      </c>
      <c r="G221" s="68" t="s">
        <v>494</v>
      </c>
      <c r="H221" s="68" t="s">
        <v>446</v>
      </c>
      <c r="I221" s="68" t="s">
        <v>1115</v>
      </c>
      <c r="J221" s="68">
        <v>51.13</v>
      </c>
      <c r="K221" s="68">
        <v>53.686500000000002</v>
      </c>
      <c r="L221" s="68">
        <v>4</v>
      </c>
      <c r="M221" s="68" t="s">
        <v>433</v>
      </c>
      <c r="N221" s="68">
        <v>4</v>
      </c>
      <c r="O221" s="68">
        <v>2.5564999999999998</v>
      </c>
    </row>
    <row r="222" spans="2:15" ht="15.75">
      <c r="B222" s="70" t="s">
        <v>666</v>
      </c>
      <c r="C222" s="77">
        <v>43805</v>
      </c>
      <c r="D222" s="70" t="s">
        <v>175</v>
      </c>
      <c r="E222" s="68" t="s">
        <v>134</v>
      </c>
      <c r="F222" s="68" t="s">
        <v>414</v>
      </c>
      <c r="G222" s="68" t="s">
        <v>494</v>
      </c>
      <c r="H222" s="68" t="s">
        <v>421</v>
      </c>
      <c r="I222" s="68" t="s">
        <v>1116</v>
      </c>
      <c r="J222" s="68">
        <v>36.36</v>
      </c>
      <c r="K222" s="68">
        <v>38.177999999999997</v>
      </c>
      <c r="L222" s="68">
        <v>4</v>
      </c>
      <c r="M222" s="68" t="s">
        <v>422</v>
      </c>
      <c r="N222" s="68">
        <v>7.6</v>
      </c>
      <c r="O222" s="68">
        <v>1.8179999999999978</v>
      </c>
    </row>
    <row r="223" spans="2:15" ht="15.75">
      <c r="B223" s="70" t="s">
        <v>667</v>
      </c>
      <c r="C223" s="77">
        <v>43806</v>
      </c>
      <c r="D223" s="70" t="s">
        <v>175</v>
      </c>
      <c r="E223" s="68" t="s">
        <v>134</v>
      </c>
      <c r="F223" s="68" t="s">
        <v>420</v>
      </c>
      <c r="G223" s="68" t="s">
        <v>494</v>
      </c>
      <c r="H223" s="68" t="s">
        <v>476</v>
      </c>
      <c r="I223" s="68" t="s">
        <v>1114</v>
      </c>
      <c r="J223" s="68">
        <v>32.9</v>
      </c>
      <c r="K223" s="68">
        <v>34.545000000000002</v>
      </c>
      <c r="L223" s="68">
        <v>3</v>
      </c>
      <c r="M223" s="68" t="s">
        <v>433</v>
      </c>
      <c r="N223" s="68">
        <v>9.1</v>
      </c>
      <c r="O223" s="68">
        <v>1.6450000000000031</v>
      </c>
    </row>
    <row r="224" spans="2:15" ht="15.75">
      <c r="B224" s="70" t="s">
        <v>668</v>
      </c>
      <c r="C224" s="77">
        <v>43807</v>
      </c>
      <c r="D224" s="70" t="s">
        <v>175</v>
      </c>
      <c r="E224" s="68" t="s">
        <v>134</v>
      </c>
      <c r="F224" s="68" t="s">
        <v>414</v>
      </c>
      <c r="G224" s="68" t="s">
        <v>494</v>
      </c>
      <c r="H224" s="68" t="s">
        <v>476</v>
      </c>
      <c r="I224" s="68" t="s">
        <v>1114</v>
      </c>
      <c r="J224" s="68">
        <v>23.48</v>
      </c>
      <c r="K224" s="68">
        <v>24.654</v>
      </c>
      <c r="L224" s="68">
        <v>2</v>
      </c>
      <c r="M224" s="68" t="s">
        <v>433</v>
      </c>
      <c r="N224" s="68">
        <v>7.9</v>
      </c>
      <c r="O224" s="68">
        <v>1.1739999999999995</v>
      </c>
    </row>
    <row r="225" spans="2:15" ht="15.75">
      <c r="B225" s="70" t="s">
        <v>669</v>
      </c>
      <c r="C225" s="77">
        <v>43808</v>
      </c>
      <c r="D225" s="70" t="s">
        <v>419</v>
      </c>
      <c r="E225" s="68" t="s">
        <v>131</v>
      </c>
      <c r="F225" s="68" t="s">
        <v>414</v>
      </c>
      <c r="G225" s="68" t="s">
        <v>494</v>
      </c>
      <c r="H225" s="68" t="s">
        <v>461</v>
      </c>
      <c r="I225" s="68" t="s">
        <v>1113</v>
      </c>
      <c r="J225" s="68">
        <v>14.7</v>
      </c>
      <c r="K225" s="68">
        <v>15.434999999999999</v>
      </c>
      <c r="L225" s="68">
        <v>5</v>
      </c>
      <c r="M225" s="68" t="s">
        <v>417</v>
      </c>
      <c r="N225" s="68">
        <v>8.5</v>
      </c>
      <c r="O225" s="68">
        <v>0.73499999999999943</v>
      </c>
    </row>
    <row r="226" spans="2:15" ht="15.75">
      <c r="B226" s="70" t="s">
        <v>670</v>
      </c>
      <c r="C226" s="77">
        <v>43809</v>
      </c>
      <c r="D226" s="70" t="s">
        <v>175</v>
      </c>
      <c r="E226" s="68" t="s">
        <v>134</v>
      </c>
      <c r="F226" s="68" t="s">
        <v>414</v>
      </c>
      <c r="G226" s="68" t="s">
        <v>415</v>
      </c>
      <c r="H226" s="68" t="s">
        <v>421</v>
      </c>
      <c r="I226" s="68" t="s">
        <v>1116</v>
      </c>
      <c r="J226" s="68">
        <v>28.45</v>
      </c>
      <c r="K226" s="68">
        <v>29.872500000000002</v>
      </c>
      <c r="L226" s="68">
        <v>5</v>
      </c>
      <c r="M226" s="68" t="s">
        <v>433</v>
      </c>
      <c r="N226" s="68">
        <v>9.1</v>
      </c>
      <c r="O226" s="68">
        <v>1.422500000000003</v>
      </c>
    </row>
    <row r="227" spans="2:15" ht="15.75">
      <c r="B227" s="70" t="s">
        <v>671</v>
      </c>
      <c r="C227" s="77">
        <v>43810</v>
      </c>
      <c r="D227" s="70" t="s">
        <v>266</v>
      </c>
      <c r="E227" s="68" t="s">
        <v>135</v>
      </c>
      <c r="F227" s="68" t="s">
        <v>420</v>
      </c>
      <c r="G227" s="68" t="s">
        <v>415</v>
      </c>
      <c r="H227" s="68" t="s">
        <v>461</v>
      </c>
      <c r="I227" s="68" t="s">
        <v>1113</v>
      </c>
      <c r="J227" s="68">
        <v>57.95</v>
      </c>
      <c r="K227" s="68">
        <v>60.847499999999997</v>
      </c>
      <c r="L227" s="68">
        <v>6</v>
      </c>
      <c r="M227" s="68" t="s">
        <v>422</v>
      </c>
      <c r="N227" s="68">
        <v>5.2</v>
      </c>
      <c r="O227" s="68">
        <v>2.8974999999999937</v>
      </c>
    </row>
    <row r="228" spans="2:15" ht="15.75">
      <c r="B228" s="70" t="s">
        <v>672</v>
      </c>
      <c r="C228" s="77">
        <v>43811</v>
      </c>
      <c r="D228" s="70" t="s">
        <v>419</v>
      </c>
      <c r="E228" s="68" t="s">
        <v>131</v>
      </c>
      <c r="F228" s="68" t="s">
        <v>420</v>
      </c>
      <c r="G228" s="68" t="s">
        <v>415</v>
      </c>
      <c r="H228" s="68" t="s">
        <v>499</v>
      </c>
      <c r="I228" s="68" t="s">
        <v>1116</v>
      </c>
      <c r="J228" s="68">
        <v>47.65</v>
      </c>
      <c r="K228" s="68">
        <v>50.032499999999999</v>
      </c>
      <c r="L228" s="68">
        <v>3</v>
      </c>
      <c r="M228" s="68" t="s">
        <v>433</v>
      </c>
      <c r="N228" s="68">
        <v>9.5</v>
      </c>
      <c r="O228" s="68">
        <v>2.3825000000000003</v>
      </c>
    </row>
    <row r="229" spans="2:15" ht="15.75">
      <c r="B229" s="70" t="s">
        <v>673</v>
      </c>
      <c r="C229" s="77">
        <v>43812</v>
      </c>
      <c r="D229" s="70" t="s">
        <v>266</v>
      </c>
      <c r="E229" s="68" t="s">
        <v>135</v>
      </c>
      <c r="F229" s="68" t="s">
        <v>414</v>
      </c>
      <c r="G229" s="68" t="s">
        <v>415</v>
      </c>
      <c r="H229" s="68" t="s">
        <v>457</v>
      </c>
      <c r="I229" s="68" t="s">
        <v>1114</v>
      </c>
      <c r="J229" s="68">
        <v>42.82</v>
      </c>
      <c r="K229" s="68">
        <v>44.960999999999999</v>
      </c>
      <c r="L229" s="68">
        <v>9</v>
      </c>
      <c r="M229" s="68" t="s">
        <v>433</v>
      </c>
      <c r="N229" s="68">
        <v>8.9</v>
      </c>
      <c r="O229" s="68">
        <v>2.1409999999999982</v>
      </c>
    </row>
    <row r="230" spans="2:15" ht="15.75">
      <c r="B230" s="70" t="s">
        <v>674</v>
      </c>
      <c r="C230" s="77">
        <v>43813</v>
      </c>
      <c r="D230" s="70" t="s">
        <v>266</v>
      </c>
      <c r="E230" s="68" t="s">
        <v>135</v>
      </c>
      <c r="F230" s="68" t="s">
        <v>414</v>
      </c>
      <c r="G230" s="68" t="s">
        <v>494</v>
      </c>
      <c r="H230" s="68" t="s">
        <v>421</v>
      </c>
      <c r="I230" s="68" t="s">
        <v>1116</v>
      </c>
      <c r="J230" s="68">
        <v>48.09</v>
      </c>
      <c r="K230" s="68">
        <v>50.494499999999995</v>
      </c>
      <c r="L230" s="68">
        <v>3</v>
      </c>
      <c r="M230" s="68" t="s">
        <v>433</v>
      </c>
      <c r="N230" s="68">
        <v>7.8</v>
      </c>
      <c r="O230" s="68">
        <v>2.4044999999999916</v>
      </c>
    </row>
    <row r="231" spans="2:15" ht="15.75">
      <c r="B231" s="70" t="s">
        <v>675</v>
      </c>
      <c r="C231" s="77">
        <v>43814</v>
      </c>
      <c r="D231" s="70" t="s">
        <v>266</v>
      </c>
      <c r="E231" s="68" t="s">
        <v>135</v>
      </c>
      <c r="F231" s="68" t="s">
        <v>414</v>
      </c>
      <c r="G231" s="68" t="s">
        <v>415</v>
      </c>
      <c r="H231" s="68" t="s">
        <v>446</v>
      </c>
      <c r="I231" s="68" t="s">
        <v>1115</v>
      </c>
      <c r="J231" s="68">
        <v>55.97</v>
      </c>
      <c r="K231" s="68">
        <v>58.768500000000003</v>
      </c>
      <c r="L231" s="68">
        <v>7</v>
      </c>
      <c r="M231" s="68" t="s">
        <v>417</v>
      </c>
      <c r="N231" s="68">
        <v>8.9</v>
      </c>
      <c r="O231" s="68">
        <v>2.7985000000000042</v>
      </c>
    </row>
    <row r="232" spans="2:15" ht="15.75">
      <c r="B232" s="70" t="s">
        <v>676</v>
      </c>
      <c r="C232" s="77">
        <v>43815</v>
      </c>
      <c r="D232" s="70" t="s">
        <v>266</v>
      </c>
      <c r="E232" s="68" t="s">
        <v>135</v>
      </c>
      <c r="F232" s="68" t="s">
        <v>414</v>
      </c>
      <c r="G232" s="68" t="s">
        <v>415</v>
      </c>
      <c r="H232" s="68" t="s">
        <v>465</v>
      </c>
      <c r="I232" s="68" t="s">
        <v>1115</v>
      </c>
      <c r="J232" s="68">
        <v>76.900000000000006</v>
      </c>
      <c r="K232" s="68">
        <v>80.745000000000005</v>
      </c>
      <c r="L232" s="68">
        <v>7</v>
      </c>
      <c r="M232" s="68" t="s">
        <v>422</v>
      </c>
      <c r="N232" s="68">
        <v>7.7</v>
      </c>
      <c r="O232" s="68">
        <v>3.8449999999999989</v>
      </c>
    </row>
    <row r="233" spans="2:15" ht="15.75">
      <c r="B233" s="70" t="s">
        <v>677</v>
      </c>
      <c r="C233" s="77">
        <v>43816</v>
      </c>
      <c r="D233" s="70" t="s">
        <v>419</v>
      </c>
      <c r="E233" s="68" t="s">
        <v>131</v>
      </c>
      <c r="F233" s="68" t="s">
        <v>420</v>
      </c>
      <c r="G233" s="68" t="s">
        <v>415</v>
      </c>
      <c r="H233" s="68" t="s">
        <v>440</v>
      </c>
      <c r="I233" s="68" t="s">
        <v>1114</v>
      </c>
      <c r="J233" s="68">
        <v>97.03</v>
      </c>
      <c r="K233" s="68">
        <v>101.8815</v>
      </c>
      <c r="L233" s="68">
        <v>5</v>
      </c>
      <c r="M233" s="68" t="s">
        <v>417</v>
      </c>
      <c r="N233" s="68">
        <v>9.3000000000000007</v>
      </c>
      <c r="O233" s="68">
        <v>4.8515000000000015</v>
      </c>
    </row>
    <row r="234" spans="2:15" ht="15.75">
      <c r="B234" s="70" t="s">
        <v>678</v>
      </c>
      <c r="C234" s="77">
        <v>43817</v>
      </c>
      <c r="D234" s="70" t="s">
        <v>175</v>
      </c>
      <c r="E234" s="68" t="s">
        <v>134</v>
      </c>
      <c r="F234" s="68" t="s">
        <v>420</v>
      </c>
      <c r="G234" s="68" t="s">
        <v>494</v>
      </c>
      <c r="H234" s="68" t="s">
        <v>426</v>
      </c>
      <c r="I234" s="68" t="s">
        <v>1113</v>
      </c>
      <c r="J234" s="68">
        <v>44.65</v>
      </c>
      <c r="K234" s="68">
        <v>46.8825</v>
      </c>
      <c r="L234" s="68">
        <v>3</v>
      </c>
      <c r="M234" s="68" t="s">
        <v>422</v>
      </c>
      <c r="N234" s="68">
        <v>6.2</v>
      </c>
      <c r="O234" s="68">
        <v>2.2325000000000017</v>
      </c>
    </row>
    <row r="235" spans="2:15" ht="15.75">
      <c r="B235" s="70" t="s">
        <v>679</v>
      </c>
      <c r="C235" s="77">
        <v>43818</v>
      </c>
      <c r="D235" s="70" t="s">
        <v>175</v>
      </c>
      <c r="E235" s="68" t="s">
        <v>134</v>
      </c>
      <c r="F235" s="68" t="s">
        <v>414</v>
      </c>
      <c r="G235" s="68" t="s">
        <v>494</v>
      </c>
      <c r="H235" s="68" t="s">
        <v>499</v>
      </c>
      <c r="I235" s="68" t="s">
        <v>1116</v>
      </c>
      <c r="J235" s="68">
        <v>71.95</v>
      </c>
      <c r="K235" s="68">
        <v>75.547499999999999</v>
      </c>
      <c r="L235" s="68">
        <v>1</v>
      </c>
      <c r="M235" s="68" t="s">
        <v>422</v>
      </c>
      <c r="N235" s="68">
        <v>7.3</v>
      </c>
      <c r="O235" s="68">
        <v>3.5974999999999966</v>
      </c>
    </row>
    <row r="236" spans="2:15" ht="15.75">
      <c r="B236" s="70" t="s">
        <v>680</v>
      </c>
      <c r="C236" s="77">
        <v>43819</v>
      </c>
      <c r="D236" s="70" t="s">
        <v>175</v>
      </c>
      <c r="E236" s="68" t="s">
        <v>134</v>
      </c>
      <c r="F236" s="68" t="s">
        <v>420</v>
      </c>
      <c r="G236" s="68" t="s">
        <v>494</v>
      </c>
      <c r="H236" s="68" t="s">
        <v>421</v>
      </c>
      <c r="I236" s="68" t="s">
        <v>1116</v>
      </c>
      <c r="J236" s="68">
        <v>26.02</v>
      </c>
      <c r="K236" s="68">
        <v>27.321000000000002</v>
      </c>
      <c r="L236" s="68">
        <v>7</v>
      </c>
      <c r="M236" s="68" t="s">
        <v>422</v>
      </c>
      <c r="N236" s="68">
        <v>5.0999999999999996</v>
      </c>
      <c r="O236" s="68">
        <v>1.3010000000000019</v>
      </c>
    </row>
    <row r="237" spans="2:15" ht="15.75">
      <c r="B237" s="70" t="s">
        <v>681</v>
      </c>
      <c r="C237" s="77">
        <v>43820</v>
      </c>
      <c r="D237" s="70" t="s">
        <v>266</v>
      </c>
      <c r="E237" s="68" t="s">
        <v>135</v>
      </c>
      <c r="F237" s="68" t="s">
        <v>420</v>
      </c>
      <c r="G237" s="68" t="s">
        <v>415</v>
      </c>
      <c r="H237" s="68" t="s">
        <v>442</v>
      </c>
      <c r="I237" s="68" t="s">
        <v>1115</v>
      </c>
      <c r="J237" s="68">
        <v>13.5</v>
      </c>
      <c r="K237" s="68">
        <v>14.175000000000001</v>
      </c>
      <c r="L237" s="68">
        <v>10</v>
      </c>
      <c r="M237" s="68" t="s">
        <v>433</v>
      </c>
      <c r="N237" s="68">
        <v>4.8</v>
      </c>
      <c r="O237" s="68">
        <v>0.67500000000000071</v>
      </c>
    </row>
    <row r="238" spans="2:15" ht="15.75">
      <c r="B238" s="70" t="s">
        <v>682</v>
      </c>
      <c r="C238" s="77">
        <v>43821</v>
      </c>
      <c r="D238" s="70" t="s">
        <v>175</v>
      </c>
      <c r="E238" s="68" t="s">
        <v>134</v>
      </c>
      <c r="F238" s="68" t="s">
        <v>420</v>
      </c>
      <c r="G238" s="68" t="s">
        <v>494</v>
      </c>
      <c r="H238" s="68" t="s">
        <v>421</v>
      </c>
      <c r="I238" s="68" t="s">
        <v>1116</v>
      </c>
      <c r="J238" s="68">
        <v>51.69</v>
      </c>
      <c r="K238" s="68">
        <v>54.274499999999996</v>
      </c>
      <c r="L238" s="68">
        <v>7</v>
      </c>
      <c r="M238" s="68" t="s">
        <v>422</v>
      </c>
      <c r="N238" s="68">
        <v>5.5</v>
      </c>
      <c r="O238" s="68">
        <v>2.5844999999999985</v>
      </c>
    </row>
    <row r="239" spans="2:15" ht="15.75">
      <c r="B239" s="70" t="s">
        <v>683</v>
      </c>
      <c r="C239" s="77">
        <v>43822</v>
      </c>
      <c r="D239" s="70" t="s">
        <v>419</v>
      </c>
      <c r="E239" s="68" t="s">
        <v>131</v>
      </c>
      <c r="F239" s="68" t="s">
        <v>420</v>
      </c>
      <c r="G239" s="68" t="s">
        <v>415</v>
      </c>
      <c r="H239" s="68" t="s">
        <v>421</v>
      </c>
      <c r="I239" s="68" t="s">
        <v>1116</v>
      </c>
      <c r="J239" s="68">
        <v>30.24</v>
      </c>
      <c r="K239" s="68">
        <v>31.751999999999999</v>
      </c>
      <c r="L239" s="68">
        <v>1</v>
      </c>
      <c r="M239" s="68" t="s">
        <v>422</v>
      </c>
      <c r="N239" s="68">
        <v>8.4</v>
      </c>
      <c r="O239" s="68">
        <v>1.5120000000000005</v>
      </c>
    </row>
    <row r="240" spans="2:15" ht="15.75">
      <c r="B240" s="70" t="s">
        <v>684</v>
      </c>
      <c r="C240" s="77">
        <v>43823</v>
      </c>
      <c r="D240" s="70" t="s">
        <v>266</v>
      </c>
      <c r="E240" s="68" t="s">
        <v>135</v>
      </c>
      <c r="F240" s="68" t="s">
        <v>414</v>
      </c>
      <c r="G240" s="68" t="s">
        <v>415</v>
      </c>
      <c r="H240" s="68" t="s">
        <v>457</v>
      </c>
      <c r="I240" s="68" t="s">
        <v>1114</v>
      </c>
      <c r="J240" s="68">
        <v>89.14</v>
      </c>
      <c r="K240" s="68">
        <v>93.596999999999994</v>
      </c>
      <c r="L240" s="68">
        <v>4</v>
      </c>
      <c r="M240" s="68" t="s">
        <v>433</v>
      </c>
      <c r="N240" s="68">
        <v>7.8</v>
      </c>
      <c r="O240" s="68">
        <v>4.4569999999999936</v>
      </c>
    </row>
    <row r="241" spans="2:15" ht="15.75">
      <c r="B241" s="70" t="s">
        <v>685</v>
      </c>
      <c r="C241" s="77">
        <v>43824</v>
      </c>
      <c r="D241" s="70" t="s">
        <v>419</v>
      </c>
      <c r="E241" s="68" t="s">
        <v>131</v>
      </c>
      <c r="F241" s="68" t="s">
        <v>420</v>
      </c>
      <c r="G241" s="68" t="s">
        <v>415</v>
      </c>
      <c r="H241" s="68" t="s">
        <v>461</v>
      </c>
      <c r="I241" s="68" t="s">
        <v>1113</v>
      </c>
      <c r="J241" s="68">
        <v>95.44</v>
      </c>
      <c r="K241" s="68">
        <v>100.212</v>
      </c>
      <c r="L241" s="68">
        <v>10</v>
      </c>
      <c r="M241" s="68" t="s">
        <v>422</v>
      </c>
      <c r="N241" s="68">
        <v>5.2</v>
      </c>
      <c r="O241" s="68">
        <v>4.7720000000000056</v>
      </c>
    </row>
    <row r="242" spans="2:15" ht="15.75">
      <c r="B242" s="70" t="s">
        <v>686</v>
      </c>
      <c r="C242" s="77">
        <v>43825</v>
      </c>
      <c r="D242" s="70" t="s">
        <v>266</v>
      </c>
      <c r="E242" s="68" t="s">
        <v>135</v>
      </c>
      <c r="F242" s="68" t="s">
        <v>420</v>
      </c>
      <c r="G242" s="68" t="s">
        <v>494</v>
      </c>
      <c r="H242" s="68" t="s">
        <v>499</v>
      </c>
      <c r="I242" s="68" t="s">
        <v>1116</v>
      </c>
      <c r="J242" s="68">
        <v>27.5</v>
      </c>
      <c r="K242" s="68">
        <v>28.875</v>
      </c>
      <c r="L242" s="68">
        <v>3</v>
      </c>
      <c r="M242" s="68" t="s">
        <v>417</v>
      </c>
      <c r="N242" s="68">
        <v>6.5</v>
      </c>
      <c r="O242" s="68">
        <v>1.375</v>
      </c>
    </row>
    <row r="243" spans="2:15" ht="15.75">
      <c r="B243" s="70" t="s">
        <v>687</v>
      </c>
      <c r="C243" s="77">
        <v>43826</v>
      </c>
      <c r="D243" s="70" t="s">
        <v>266</v>
      </c>
      <c r="E243" s="68" t="s">
        <v>135</v>
      </c>
      <c r="F243" s="68" t="s">
        <v>420</v>
      </c>
      <c r="G243" s="68" t="s">
        <v>494</v>
      </c>
      <c r="H243" s="68" t="s">
        <v>461</v>
      </c>
      <c r="I243" s="68" t="s">
        <v>1113</v>
      </c>
      <c r="J243" s="68">
        <v>74.97</v>
      </c>
      <c r="K243" s="68">
        <v>78.718500000000006</v>
      </c>
      <c r="L243" s="68">
        <v>1</v>
      </c>
      <c r="M243" s="68" t="s">
        <v>422</v>
      </c>
      <c r="N243" s="68">
        <v>5.6</v>
      </c>
      <c r="O243" s="68">
        <v>3.748500000000007</v>
      </c>
    </row>
    <row r="244" spans="2:15" ht="15.75">
      <c r="B244" s="70" t="s">
        <v>688</v>
      </c>
      <c r="C244" s="77">
        <v>43827</v>
      </c>
      <c r="D244" s="70" t="s">
        <v>175</v>
      </c>
      <c r="E244" s="68" t="s">
        <v>134</v>
      </c>
      <c r="F244" s="68" t="s">
        <v>414</v>
      </c>
      <c r="G244" s="68" t="s">
        <v>494</v>
      </c>
      <c r="H244" s="68" t="s">
        <v>457</v>
      </c>
      <c r="I244" s="68" t="s">
        <v>1114</v>
      </c>
      <c r="J244" s="68">
        <v>80.959999999999994</v>
      </c>
      <c r="K244" s="68">
        <v>85.007999999999996</v>
      </c>
      <c r="L244" s="68">
        <v>8</v>
      </c>
      <c r="M244" s="68" t="s">
        <v>433</v>
      </c>
      <c r="N244" s="68">
        <v>7.4</v>
      </c>
      <c r="O244" s="68">
        <v>4.0480000000000018</v>
      </c>
    </row>
    <row r="245" spans="2:15" ht="15.75">
      <c r="B245" s="70" t="s">
        <v>689</v>
      </c>
      <c r="C245" s="77">
        <v>43828</v>
      </c>
      <c r="D245" s="70" t="s">
        <v>419</v>
      </c>
      <c r="E245" s="68" t="s">
        <v>131</v>
      </c>
      <c r="F245" s="68" t="s">
        <v>420</v>
      </c>
      <c r="G245" s="68" t="s">
        <v>415</v>
      </c>
      <c r="H245" s="68" t="s">
        <v>457</v>
      </c>
      <c r="I245" s="68" t="s">
        <v>1114</v>
      </c>
      <c r="J245" s="68">
        <v>94.47</v>
      </c>
      <c r="K245" s="68">
        <v>99.1935</v>
      </c>
      <c r="L245" s="68">
        <v>8</v>
      </c>
      <c r="M245" s="68" t="s">
        <v>422</v>
      </c>
      <c r="N245" s="68">
        <v>9.1</v>
      </c>
      <c r="O245" s="68">
        <v>4.7235000000000014</v>
      </c>
    </row>
    <row r="246" spans="2:15" ht="15.75">
      <c r="B246" s="70" t="s">
        <v>690</v>
      </c>
      <c r="C246" s="77">
        <v>43829</v>
      </c>
      <c r="D246" s="70" t="s">
        <v>419</v>
      </c>
      <c r="E246" s="68" t="s">
        <v>131</v>
      </c>
      <c r="F246" s="68" t="s">
        <v>420</v>
      </c>
      <c r="G246" s="68" t="s">
        <v>494</v>
      </c>
      <c r="H246" s="68" t="s">
        <v>440</v>
      </c>
      <c r="I246" s="68" t="s">
        <v>1114</v>
      </c>
      <c r="J246" s="68">
        <v>99.79</v>
      </c>
      <c r="K246" s="68">
        <v>104.7795</v>
      </c>
      <c r="L246" s="68">
        <v>2</v>
      </c>
      <c r="M246" s="68" t="s">
        <v>417</v>
      </c>
      <c r="N246" s="68">
        <v>8</v>
      </c>
      <c r="O246" s="68">
        <v>4.9894999999999925</v>
      </c>
    </row>
    <row r="247" spans="2:15" ht="15.75">
      <c r="B247" s="70" t="s">
        <v>691</v>
      </c>
      <c r="C247" s="77">
        <v>43830</v>
      </c>
      <c r="D247" s="70" t="s">
        <v>419</v>
      </c>
      <c r="E247" s="68" t="s">
        <v>131</v>
      </c>
      <c r="F247" s="68" t="s">
        <v>420</v>
      </c>
      <c r="G247" s="68" t="s">
        <v>415</v>
      </c>
      <c r="H247" s="68" t="s">
        <v>440</v>
      </c>
      <c r="I247" s="68" t="s">
        <v>1114</v>
      </c>
      <c r="J247" s="68">
        <v>41.24</v>
      </c>
      <c r="K247" s="68">
        <v>43.302</v>
      </c>
      <c r="L247" s="68">
        <v>4</v>
      </c>
      <c r="M247" s="68" t="s">
        <v>422</v>
      </c>
      <c r="N247" s="68">
        <v>7.1</v>
      </c>
      <c r="O247" s="68">
        <v>2.0619999999999976</v>
      </c>
    </row>
    <row r="248" spans="2:15" ht="15.75">
      <c r="B248" s="70" t="s">
        <v>692</v>
      </c>
      <c r="C248" s="77">
        <v>43831</v>
      </c>
      <c r="D248" s="70" t="s">
        <v>419</v>
      </c>
      <c r="E248" s="68" t="s">
        <v>131</v>
      </c>
      <c r="F248" s="68" t="s">
        <v>420</v>
      </c>
      <c r="G248" s="68" t="s">
        <v>415</v>
      </c>
      <c r="H248" s="68" t="s">
        <v>421</v>
      </c>
      <c r="I248" s="68" t="s">
        <v>1116</v>
      </c>
      <c r="J248" s="68">
        <v>51.32</v>
      </c>
      <c r="K248" s="68">
        <v>53.885999999999996</v>
      </c>
      <c r="L248" s="68">
        <v>9</v>
      </c>
      <c r="M248" s="68" t="s">
        <v>422</v>
      </c>
      <c r="N248" s="68">
        <v>5.6</v>
      </c>
      <c r="O248" s="68">
        <v>2.5659999999999954</v>
      </c>
    </row>
    <row r="249" spans="2:15" ht="15.75">
      <c r="B249" s="70" t="s">
        <v>693</v>
      </c>
      <c r="C249" s="77">
        <v>43832</v>
      </c>
      <c r="D249" s="70" t="s">
        <v>419</v>
      </c>
      <c r="E249" s="68" t="s">
        <v>131</v>
      </c>
      <c r="F249" s="68" t="s">
        <v>420</v>
      </c>
      <c r="G249" s="68" t="s">
        <v>415</v>
      </c>
      <c r="H249" s="68" t="s">
        <v>461</v>
      </c>
      <c r="I249" s="68" t="s">
        <v>1113</v>
      </c>
      <c r="J249" s="68">
        <v>14.36</v>
      </c>
      <c r="K249" s="68">
        <v>15.077999999999999</v>
      </c>
      <c r="L249" s="68">
        <v>10</v>
      </c>
      <c r="M249" s="68" t="s">
        <v>422</v>
      </c>
      <c r="N249" s="68">
        <v>5.4</v>
      </c>
      <c r="O249" s="68">
        <v>0.71799999999999997</v>
      </c>
    </row>
    <row r="250" spans="2:15" ht="15.75">
      <c r="B250" s="70" t="s">
        <v>694</v>
      </c>
      <c r="C250" s="77">
        <v>43833</v>
      </c>
      <c r="D250" s="70" t="s">
        <v>175</v>
      </c>
      <c r="E250" s="68" t="s">
        <v>134</v>
      </c>
      <c r="F250" s="68" t="s">
        <v>414</v>
      </c>
      <c r="G250" s="68" t="s">
        <v>494</v>
      </c>
      <c r="H250" s="68" t="s">
        <v>421</v>
      </c>
      <c r="I250" s="68" t="s">
        <v>1116</v>
      </c>
      <c r="J250" s="68">
        <v>21.5</v>
      </c>
      <c r="K250" s="68">
        <v>22.575000000000003</v>
      </c>
      <c r="L250" s="68">
        <v>9</v>
      </c>
      <c r="M250" s="68" t="s">
        <v>433</v>
      </c>
      <c r="N250" s="68">
        <v>7.8</v>
      </c>
      <c r="O250" s="68">
        <v>1.0750000000000028</v>
      </c>
    </row>
    <row r="251" spans="2:15" ht="15.75">
      <c r="B251" s="70" t="s">
        <v>695</v>
      </c>
      <c r="C251" s="77">
        <v>43834</v>
      </c>
      <c r="D251" s="70" t="s">
        <v>266</v>
      </c>
      <c r="E251" s="68" t="s">
        <v>135</v>
      </c>
      <c r="F251" s="68" t="s">
        <v>414</v>
      </c>
      <c r="G251" s="68" t="s">
        <v>415</v>
      </c>
      <c r="H251" s="68" t="s">
        <v>421</v>
      </c>
      <c r="I251" s="68" t="s">
        <v>1116</v>
      </c>
      <c r="J251" s="68">
        <v>26.26</v>
      </c>
      <c r="K251" s="68">
        <v>27.573</v>
      </c>
      <c r="L251" s="68">
        <v>7</v>
      </c>
      <c r="M251" s="68" t="s">
        <v>422</v>
      </c>
      <c r="N251" s="68">
        <v>9.9</v>
      </c>
      <c r="O251" s="68">
        <v>1.3129999999999988</v>
      </c>
    </row>
    <row r="252" spans="2:15" ht="15.75">
      <c r="B252" s="70" t="s">
        <v>696</v>
      </c>
      <c r="C252" s="77">
        <v>43835</v>
      </c>
      <c r="D252" s="70" t="s">
        <v>419</v>
      </c>
      <c r="E252" s="68" t="s">
        <v>131</v>
      </c>
      <c r="F252" s="68" t="s">
        <v>420</v>
      </c>
      <c r="G252" s="68" t="s">
        <v>494</v>
      </c>
      <c r="H252" s="68" t="s">
        <v>455</v>
      </c>
      <c r="I252" s="68" t="s">
        <v>1113</v>
      </c>
      <c r="J252" s="68">
        <v>95.49</v>
      </c>
      <c r="K252" s="68">
        <v>100.2645</v>
      </c>
      <c r="L252" s="68">
        <v>7</v>
      </c>
      <c r="M252" s="68" t="s">
        <v>417</v>
      </c>
      <c r="N252" s="68">
        <v>8.6999999999999993</v>
      </c>
      <c r="O252" s="68">
        <v>4.7745000000000033</v>
      </c>
    </row>
    <row r="253" spans="2:15" ht="15.75">
      <c r="B253" s="70" t="s">
        <v>697</v>
      </c>
      <c r="C253" s="77">
        <v>43836</v>
      </c>
      <c r="D253" s="70" t="s">
        <v>266</v>
      </c>
      <c r="E253" s="68" t="s">
        <v>135</v>
      </c>
      <c r="F253" s="68" t="s">
        <v>420</v>
      </c>
      <c r="G253" s="68" t="s">
        <v>415</v>
      </c>
      <c r="H253" s="68" t="s">
        <v>499</v>
      </c>
      <c r="I253" s="68" t="s">
        <v>1116</v>
      </c>
      <c r="J253" s="68">
        <v>23.65</v>
      </c>
      <c r="K253" s="68">
        <v>24.8325</v>
      </c>
      <c r="L253" s="68">
        <v>4</v>
      </c>
      <c r="M253" s="68" t="s">
        <v>433</v>
      </c>
      <c r="N253" s="68">
        <v>4</v>
      </c>
      <c r="O253" s="68">
        <v>1.182500000000001</v>
      </c>
    </row>
    <row r="254" spans="2:15" ht="15.75">
      <c r="B254" s="70" t="s">
        <v>698</v>
      </c>
      <c r="C254" s="77">
        <v>43837</v>
      </c>
      <c r="D254" s="70" t="s">
        <v>175</v>
      </c>
      <c r="E254" s="68" t="s">
        <v>134</v>
      </c>
      <c r="F254" s="68" t="s">
        <v>414</v>
      </c>
      <c r="G254" s="68" t="s">
        <v>494</v>
      </c>
      <c r="H254" s="68" t="s">
        <v>461</v>
      </c>
      <c r="I254" s="68" t="s">
        <v>1113</v>
      </c>
      <c r="J254" s="68">
        <v>82.33</v>
      </c>
      <c r="K254" s="68">
        <v>86.4465</v>
      </c>
      <c r="L254" s="68">
        <v>4</v>
      </c>
      <c r="M254" s="68" t="s">
        <v>433</v>
      </c>
      <c r="N254" s="68">
        <v>7.5</v>
      </c>
      <c r="O254" s="68">
        <v>4.116500000000002</v>
      </c>
    </row>
    <row r="255" spans="2:15" ht="15.75">
      <c r="B255" s="70" t="s">
        <v>699</v>
      </c>
      <c r="C255" s="77">
        <v>43838</v>
      </c>
      <c r="D255" s="70" t="s">
        <v>419</v>
      </c>
      <c r="E255" s="68" t="s">
        <v>131</v>
      </c>
      <c r="F255" s="68" t="s">
        <v>420</v>
      </c>
      <c r="G255" s="68" t="s">
        <v>415</v>
      </c>
      <c r="H255" s="68" t="s">
        <v>421</v>
      </c>
      <c r="I255" s="68" t="s">
        <v>1116</v>
      </c>
      <c r="J255" s="68">
        <v>26.61</v>
      </c>
      <c r="K255" s="68">
        <v>27.9405</v>
      </c>
      <c r="L255" s="68">
        <v>2</v>
      </c>
      <c r="M255" s="68" t="s">
        <v>422</v>
      </c>
      <c r="N255" s="68">
        <v>4.2</v>
      </c>
      <c r="O255" s="68">
        <v>1.3305000000000007</v>
      </c>
    </row>
    <row r="256" spans="2:15" ht="15.75">
      <c r="B256" s="70" t="s">
        <v>700</v>
      </c>
      <c r="C256" s="77">
        <v>43839</v>
      </c>
      <c r="D256" s="70" t="s">
        <v>266</v>
      </c>
      <c r="E256" s="68" t="s">
        <v>135</v>
      </c>
      <c r="F256" s="68" t="s">
        <v>420</v>
      </c>
      <c r="G256" s="68" t="s">
        <v>415</v>
      </c>
      <c r="H256" s="68" t="s">
        <v>440</v>
      </c>
      <c r="I256" s="68" t="s">
        <v>1114</v>
      </c>
      <c r="J256" s="68">
        <v>99.69</v>
      </c>
      <c r="K256" s="68">
        <v>104.67449999999999</v>
      </c>
      <c r="L256" s="68">
        <v>5</v>
      </c>
      <c r="M256" s="68" t="s">
        <v>422</v>
      </c>
      <c r="N256" s="68">
        <v>9.9</v>
      </c>
      <c r="O256" s="68">
        <v>4.984499999999997</v>
      </c>
    </row>
    <row r="257" spans="2:15" ht="15.75">
      <c r="B257" s="70" t="s">
        <v>701</v>
      </c>
      <c r="C257" s="77">
        <v>43840</v>
      </c>
      <c r="D257" s="70" t="s">
        <v>419</v>
      </c>
      <c r="E257" s="68" t="s">
        <v>131</v>
      </c>
      <c r="F257" s="68" t="s">
        <v>414</v>
      </c>
      <c r="G257" s="68" t="s">
        <v>415</v>
      </c>
      <c r="H257" s="68" t="s">
        <v>440</v>
      </c>
      <c r="I257" s="68" t="s">
        <v>1114</v>
      </c>
      <c r="J257" s="68">
        <v>74.89</v>
      </c>
      <c r="K257" s="68">
        <v>78.634500000000003</v>
      </c>
      <c r="L257" s="68">
        <v>4</v>
      </c>
      <c r="M257" s="68" t="s">
        <v>417</v>
      </c>
      <c r="N257" s="68">
        <v>4.2</v>
      </c>
      <c r="O257" s="68">
        <v>3.7445000000000022</v>
      </c>
    </row>
    <row r="258" spans="2:15" ht="15.75">
      <c r="B258" s="70" t="s">
        <v>702</v>
      </c>
      <c r="C258" s="77">
        <v>43841</v>
      </c>
      <c r="D258" s="70" t="s">
        <v>175</v>
      </c>
      <c r="E258" s="68" t="s">
        <v>134</v>
      </c>
      <c r="F258" s="68" t="s">
        <v>420</v>
      </c>
      <c r="G258" s="68" t="s">
        <v>415</v>
      </c>
      <c r="H258" s="68" t="s">
        <v>440</v>
      </c>
      <c r="I258" s="68" t="s">
        <v>1114</v>
      </c>
      <c r="J258" s="68">
        <v>40.94</v>
      </c>
      <c r="K258" s="68">
        <v>42.987000000000002</v>
      </c>
      <c r="L258" s="68">
        <v>5</v>
      </c>
      <c r="M258" s="68" t="s">
        <v>417</v>
      </c>
      <c r="N258" s="68">
        <v>9.9</v>
      </c>
      <c r="O258" s="68">
        <v>2.0470000000000041</v>
      </c>
    </row>
    <row r="259" spans="2:15" ht="15.75">
      <c r="B259" s="70" t="s">
        <v>703</v>
      </c>
      <c r="C259" s="77">
        <v>43842</v>
      </c>
      <c r="D259" s="70" t="s">
        <v>266</v>
      </c>
      <c r="E259" s="68" t="s">
        <v>135</v>
      </c>
      <c r="F259" s="68" t="s">
        <v>414</v>
      </c>
      <c r="G259" s="68" t="s">
        <v>494</v>
      </c>
      <c r="H259" s="68" t="s">
        <v>461</v>
      </c>
      <c r="I259" s="68" t="s">
        <v>1113</v>
      </c>
      <c r="J259" s="68">
        <v>75.819999999999993</v>
      </c>
      <c r="K259" s="68">
        <v>79.611000000000004</v>
      </c>
      <c r="L259" s="68">
        <v>1</v>
      </c>
      <c r="M259" s="68" t="s">
        <v>422</v>
      </c>
      <c r="N259" s="68">
        <v>5.8</v>
      </c>
      <c r="O259" s="68">
        <v>3.791000000000011</v>
      </c>
    </row>
    <row r="260" spans="2:15" ht="15.75">
      <c r="B260" s="70" t="s">
        <v>704</v>
      </c>
      <c r="C260" s="77">
        <v>43843</v>
      </c>
      <c r="D260" s="70" t="s">
        <v>419</v>
      </c>
      <c r="E260" s="68" t="s">
        <v>131</v>
      </c>
      <c r="F260" s="68" t="s">
        <v>420</v>
      </c>
      <c r="G260" s="68" t="s">
        <v>494</v>
      </c>
      <c r="H260" s="68" t="s">
        <v>440</v>
      </c>
      <c r="I260" s="68" t="s">
        <v>1114</v>
      </c>
      <c r="J260" s="68">
        <v>46.77</v>
      </c>
      <c r="K260" s="68">
        <v>49.108499999999999</v>
      </c>
      <c r="L260" s="68">
        <v>6</v>
      </c>
      <c r="M260" s="68" t="s">
        <v>422</v>
      </c>
      <c r="N260" s="68">
        <v>6</v>
      </c>
      <c r="O260" s="68">
        <v>2.3384999999999962</v>
      </c>
    </row>
    <row r="261" spans="2:15" ht="15.75">
      <c r="B261" s="70" t="s">
        <v>705</v>
      </c>
      <c r="C261" s="77">
        <v>43844</v>
      </c>
      <c r="D261" s="70" t="s">
        <v>175</v>
      </c>
      <c r="E261" s="68" t="s">
        <v>134</v>
      </c>
      <c r="F261" s="68" t="s">
        <v>420</v>
      </c>
      <c r="G261" s="68" t="s">
        <v>415</v>
      </c>
      <c r="H261" s="68" t="s">
        <v>459</v>
      </c>
      <c r="I261" s="68" t="s">
        <v>1115</v>
      </c>
      <c r="J261" s="68">
        <v>32.32</v>
      </c>
      <c r="K261" s="68">
        <v>33.936</v>
      </c>
      <c r="L261" s="68">
        <v>10</v>
      </c>
      <c r="M261" s="68" t="s">
        <v>433</v>
      </c>
      <c r="N261" s="68">
        <v>10</v>
      </c>
      <c r="O261" s="68">
        <v>1.6159999999999997</v>
      </c>
    </row>
    <row r="262" spans="2:15" ht="15.75">
      <c r="B262" s="70" t="s">
        <v>706</v>
      </c>
      <c r="C262" s="77">
        <v>43845</v>
      </c>
      <c r="D262" s="70" t="s">
        <v>266</v>
      </c>
      <c r="E262" s="68" t="s">
        <v>135</v>
      </c>
      <c r="F262" s="68" t="s">
        <v>420</v>
      </c>
      <c r="G262" s="68" t="s">
        <v>494</v>
      </c>
      <c r="H262" s="68" t="s">
        <v>440</v>
      </c>
      <c r="I262" s="68" t="s">
        <v>1114</v>
      </c>
      <c r="J262" s="68">
        <v>18.22</v>
      </c>
      <c r="K262" s="68">
        <v>19.131</v>
      </c>
      <c r="L262" s="68">
        <v>7</v>
      </c>
      <c r="M262" s="68" t="s">
        <v>433</v>
      </c>
      <c r="N262" s="68">
        <v>6.6</v>
      </c>
      <c r="O262" s="68">
        <v>0.91100000000000136</v>
      </c>
    </row>
    <row r="263" spans="2:15" ht="15.75">
      <c r="B263" s="70" t="s">
        <v>707</v>
      </c>
      <c r="C263" s="77">
        <v>43846</v>
      </c>
      <c r="D263" s="70" t="s">
        <v>175</v>
      </c>
      <c r="E263" s="68" t="s">
        <v>134</v>
      </c>
      <c r="F263" s="68" t="s">
        <v>414</v>
      </c>
      <c r="G263" s="68" t="s">
        <v>494</v>
      </c>
      <c r="H263" s="68" t="s">
        <v>421</v>
      </c>
      <c r="I263" s="68" t="s">
        <v>1116</v>
      </c>
      <c r="J263" s="68">
        <v>76.819999999999993</v>
      </c>
      <c r="K263" s="68">
        <v>80.661000000000001</v>
      </c>
      <c r="L263" s="68">
        <v>1</v>
      </c>
      <c r="M263" s="68" t="s">
        <v>417</v>
      </c>
      <c r="N263" s="68">
        <v>7.2</v>
      </c>
      <c r="O263" s="68">
        <v>3.8410000000000082</v>
      </c>
    </row>
    <row r="264" spans="2:15" ht="15.75">
      <c r="B264" s="70" t="s">
        <v>708</v>
      </c>
      <c r="C264" s="77">
        <v>43847</v>
      </c>
      <c r="D264" s="70" t="s">
        <v>175</v>
      </c>
      <c r="E264" s="68" t="s">
        <v>134</v>
      </c>
      <c r="F264" s="68" t="s">
        <v>414</v>
      </c>
      <c r="G264" s="68" t="s">
        <v>415</v>
      </c>
      <c r="H264" s="68" t="s">
        <v>461</v>
      </c>
      <c r="I264" s="68" t="s">
        <v>1113</v>
      </c>
      <c r="J264" s="68">
        <v>52.26</v>
      </c>
      <c r="K264" s="68">
        <v>54.873000000000005</v>
      </c>
      <c r="L264" s="68">
        <v>10</v>
      </c>
      <c r="M264" s="68" t="s">
        <v>433</v>
      </c>
      <c r="N264" s="68">
        <v>6.2</v>
      </c>
      <c r="O264" s="68">
        <v>2.6130000000000067</v>
      </c>
    </row>
    <row r="265" spans="2:15" ht="15.75">
      <c r="B265" s="70" t="s">
        <v>709</v>
      </c>
      <c r="C265" s="77">
        <v>43848</v>
      </c>
      <c r="D265" s="70" t="s">
        <v>175</v>
      </c>
      <c r="E265" s="68" t="s">
        <v>134</v>
      </c>
      <c r="F265" s="68" t="s">
        <v>420</v>
      </c>
      <c r="G265" s="68" t="s">
        <v>415</v>
      </c>
      <c r="H265" s="68" t="s">
        <v>459</v>
      </c>
      <c r="I265" s="68" t="s">
        <v>1115</v>
      </c>
      <c r="J265" s="68">
        <v>79.739999999999995</v>
      </c>
      <c r="K265" s="68">
        <v>83.727000000000004</v>
      </c>
      <c r="L265" s="68">
        <v>1</v>
      </c>
      <c r="M265" s="68" t="s">
        <v>417</v>
      </c>
      <c r="N265" s="68">
        <v>7.3</v>
      </c>
      <c r="O265" s="68">
        <v>3.987000000000009</v>
      </c>
    </row>
    <row r="266" spans="2:15" ht="15.75">
      <c r="B266" s="70" t="s">
        <v>710</v>
      </c>
      <c r="C266" s="77">
        <v>43849</v>
      </c>
      <c r="D266" s="70" t="s">
        <v>175</v>
      </c>
      <c r="E266" s="68" t="s">
        <v>134</v>
      </c>
      <c r="F266" s="68" t="s">
        <v>420</v>
      </c>
      <c r="G266" s="68" t="s">
        <v>415</v>
      </c>
      <c r="H266" s="68" t="s">
        <v>459</v>
      </c>
      <c r="I266" s="68" t="s">
        <v>1115</v>
      </c>
      <c r="J266" s="68">
        <v>77.5</v>
      </c>
      <c r="K266" s="68">
        <v>81.375</v>
      </c>
      <c r="L266" s="68">
        <v>5</v>
      </c>
      <c r="M266" s="68" t="s">
        <v>417</v>
      </c>
      <c r="N266" s="68">
        <v>4.3</v>
      </c>
      <c r="O266" s="68">
        <v>3.875</v>
      </c>
    </row>
    <row r="267" spans="2:15" ht="15.75">
      <c r="B267" s="70" t="s">
        <v>711</v>
      </c>
      <c r="C267" s="77">
        <v>43850</v>
      </c>
      <c r="D267" s="70" t="s">
        <v>175</v>
      </c>
      <c r="E267" s="68" t="s">
        <v>134</v>
      </c>
      <c r="F267" s="68" t="s">
        <v>420</v>
      </c>
      <c r="G267" s="68" t="s">
        <v>415</v>
      </c>
      <c r="H267" s="68" t="s">
        <v>440</v>
      </c>
      <c r="I267" s="68" t="s">
        <v>1114</v>
      </c>
      <c r="J267" s="68">
        <v>54.27</v>
      </c>
      <c r="K267" s="68">
        <v>56.983500000000006</v>
      </c>
      <c r="L267" s="68">
        <v>5</v>
      </c>
      <c r="M267" s="68" t="s">
        <v>417</v>
      </c>
      <c r="N267" s="68">
        <v>4.5999999999999996</v>
      </c>
      <c r="O267" s="68">
        <v>2.7135000000000034</v>
      </c>
    </row>
    <row r="268" spans="2:15" ht="15.75">
      <c r="B268" s="70" t="s">
        <v>712</v>
      </c>
      <c r="C268" s="77">
        <v>43851</v>
      </c>
      <c r="D268" s="70" t="s">
        <v>266</v>
      </c>
      <c r="E268" s="68" t="s">
        <v>135</v>
      </c>
      <c r="F268" s="68" t="s">
        <v>414</v>
      </c>
      <c r="G268" s="68" t="s">
        <v>415</v>
      </c>
      <c r="H268" s="68" t="s">
        <v>459</v>
      </c>
      <c r="I268" s="68" t="s">
        <v>1115</v>
      </c>
      <c r="J268" s="68">
        <v>41.06</v>
      </c>
      <c r="K268" s="68">
        <v>43.113</v>
      </c>
      <c r="L268" s="68">
        <v>6</v>
      </c>
      <c r="M268" s="68" t="s">
        <v>433</v>
      </c>
      <c r="N268" s="68">
        <v>8.3000000000000007</v>
      </c>
      <c r="O268" s="68">
        <v>2.0529999999999973</v>
      </c>
    </row>
    <row r="269" spans="2:15" ht="15.75">
      <c r="B269" s="70" t="s">
        <v>713</v>
      </c>
      <c r="C269" s="77">
        <v>43852</v>
      </c>
      <c r="D269" s="70" t="s">
        <v>266</v>
      </c>
      <c r="E269" s="68" t="s">
        <v>135</v>
      </c>
      <c r="F269" s="68" t="s">
        <v>414</v>
      </c>
      <c r="G269" s="68" t="s">
        <v>494</v>
      </c>
      <c r="H269" s="68" t="s">
        <v>421</v>
      </c>
      <c r="I269" s="68" t="s">
        <v>1116</v>
      </c>
      <c r="J269" s="68">
        <v>19.239999999999998</v>
      </c>
      <c r="K269" s="68">
        <v>20.202000000000002</v>
      </c>
      <c r="L269" s="68">
        <v>9</v>
      </c>
      <c r="M269" s="68" t="s">
        <v>422</v>
      </c>
      <c r="N269" s="68">
        <v>8</v>
      </c>
      <c r="O269" s="68">
        <v>0.9620000000000033</v>
      </c>
    </row>
    <row r="270" spans="2:15" ht="15.75">
      <c r="B270" s="70" t="s">
        <v>714</v>
      </c>
      <c r="C270" s="77">
        <v>43853</v>
      </c>
      <c r="D270" s="70" t="s">
        <v>419</v>
      </c>
      <c r="E270" s="68" t="s">
        <v>131</v>
      </c>
      <c r="F270" s="68" t="s">
        <v>420</v>
      </c>
      <c r="G270" s="68" t="s">
        <v>415</v>
      </c>
      <c r="H270" s="68" t="s">
        <v>440</v>
      </c>
      <c r="I270" s="68" t="s">
        <v>1114</v>
      </c>
      <c r="J270" s="68">
        <v>39.43</v>
      </c>
      <c r="K270" s="68">
        <v>41.401499999999999</v>
      </c>
      <c r="L270" s="68">
        <v>6</v>
      </c>
      <c r="M270" s="68" t="s">
        <v>433</v>
      </c>
      <c r="N270" s="68">
        <v>9.4</v>
      </c>
      <c r="O270" s="68">
        <v>1.9714999999999989</v>
      </c>
    </row>
    <row r="271" spans="2:15" ht="15.75">
      <c r="B271" s="70" t="s">
        <v>715</v>
      </c>
      <c r="C271" s="77">
        <v>43854</v>
      </c>
      <c r="D271" s="70" t="s">
        <v>175</v>
      </c>
      <c r="E271" s="68" t="s">
        <v>134</v>
      </c>
      <c r="F271" s="68" t="s">
        <v>414</v>
      </c>
      <c r="G271" s="68" t="s">
        <v>494</v>
      </c>
      <c r="H271" s="68" t="s">
        <v>426</v>
      </c>
      <c r="I271" s="68" t="s">
        <v>1113</v>
      </c>
      <c r="J271" s="68">
        <v>67.260000000000005</v>
      </c>
      <c r="K271" s="68">
        <v>70.623000000000005</v>
      </c>
      <c r="L271" s="68">
        <v>4</v>
      </c>
      <c r="M271" s="68" t="s">
        <v>433</v>
      </c>
      <c r="N271" s="68">
        <v>8</v>
      </c>
      <c r="O271" s="68">
        <v>3.3629999999999995</v>
      </c>
    </row>
    <row r="272" spans="2:15" ht="15.75">
      <c r="B272" s="70" t="s">
        <v>716</v>
      </c>
      <c r="C272" s="77">
        <v>43855</v>
      </c>
      <c r="D272" s="70" t="s">
        <v>175</v>
      </c>
      <c r="E272" s="68" t="s">
        <v>134</v>
      </c>
      <c r="F272" s="68" t="s">
        <v>420</v>
      </c>
      <c r="G272" s="68" t="s">
        <v>494</v>
      </c>
      <c r="H272" s="68" t="s">
        <v>440</v>
      </c>
      <c r="I272" s="68" t="s">
        <v>1114</v>
      </c>
      <c r="J272" s="68">
        <v>13.79</v>
      </c>
      <c r="K272" s="68">
        <v>14.479499999999998</v>
      </c>
      <c r="L272" s="68">
        <v>5</v>
      </c>
      <c r="M272" s="68" t="s">
        <v>433</v>
      </c>
      <c r="N272" s="68">
        <v>7.8</v>
      </c>
      <c r="O272" s="68">
        <v>0.68949999999999889</v>
      </c>
    </row>
    <row r="273" spans="2:15" ht="15.75">
      <c r="B273" s="70" t="s">
        <v>717</v>
      </c>
      <c r="C273" s="77">
        <v>43856</v>
      </c>
      <c r="D273" s="70" t="s">
        <v>266</v>
      </c>
      <c r="E273" s="68" t="s">
        <v>135</v>
      </c>
      <c r="F273" s="68" t="s">
        <v>420</v>
      </c>
      <c r="G273" s="68" t="s">
        <v>415</v>
      </c>
      <c r="H273" s="68" t="s">
        <v>442</v>
      </c>
      <c r="I273" s="68" t="s">
        <v>1115</v>
      </c>
      <c r="J273" s="68">
        <v>34.21</v>
      </c>
      <c r="K273" s="68">
        <v>35.920499999999997</v>
      </c>
      <c r="L273" s="68">
        <v>10</v>
      </c>
      <c r="M273" s="68" t="s">
        <v>422</v>
      </c>
      <c r="N273" s="68">
        <v>5.0999999999999996</v>
      </c>
      <c r="O273" s="68">
        <v>1.7104999999999961</v>
      </c>
    </row>
    <row r="274" spans="2:15" ht="15.75">
      <c r="B274" s="70" t="s">
        <v>718</v>
      </c>
      <c r="C274" s="77">
        <v>43857</v>
      </c>
      <c r="D274" s="70" t="s">
        <v>266</v>
      </c>
      <c r="E274" s="68" t="s">
        <v>135</v>
      </c>
      <c r="F274" s="68" t="s">
        <v>420</v>
      </c>
      <c r="G274" s="68" t="s">
        <v>494</v>
      </c>
      <c r="H274" s="68" t="s">
        <v>463</v>
      </c>
      <c r="I274" s="68" t="s">
        <v>1113</v>
      </c>
      <c r="J274" s="68">
        <v>21.87</v>
      </c>
      <c r="K274" s="68">
        <v>22.9635</v>
      </c>
      <c r="L274" s="68">
        <v>2</v>
      </c>
      <c r="M274" s="68" t="s">
        <v>417</v>
      </c>
      <c r="N274" s="68">
        <v>6.9</v>
      </c>
      <c r="O274" s="68">
        <v>1.0934999999999988</v>
      </c>
    </row>
    <row r="275" spans="2:15" ht="15.75">
      <c r="B275" s="70" t="s">
        <v>719</v>
      </c>
      <c r="C275" s="77">
        <v>43858</v>
      </c>
      <c r="D275" s="70" t="s">
        <v>175</v>
      </c>
      <c r="E275" s="68" t="s">
        <v>134</v>
      </c>
      <c r="F275" s="68" t="s">
        <v>414</v>
      </c>
      <c r="G275" s="68" t="s">
        <v>494</v>
      </c>
      <c r="H275" s="68" t="s">
        <v>459</v>
      </c>
      <c r="I275" s="68" t="s">
        <v>1115</v>
      </c>
      <c r="J275" s="68">
        <v>20.97</v>
      </c>
      <c r="K275" s="68">
        <v>22.0185</v>
      </c>
      <c r="L275" s="68">
        <v>5</v>
      </c>
      <c r="M275" s="68" t="s">
        <v>422</v>
      </c>
      <c r="N275" s="68">
        <v>7.8</v>
      </c>
      <c r="O275" s="68">
        <v>1.0485000000000007</v>
      </c>
    </row>
    <row r="276" spans="2:15" ht="15.75">
      <c r="B276" s="70" t="s">
        <v>720</v>
      </c>
      <c r="C276" s="77">
        <v>43859</v>
      </c>
      <c r="D276" s="70" t="s">
        <v>175</v>
      </c>
      <c r="E276" s="68" t="s">
        <v>134</v>
      </c>
      <c r="F276" s="68" t="s">
        <v>420</v>
      </c>
      <c r="G276" s="68" t="s">
        <v>494</v>
      </c>
      <c r="H276" s="68" t="s">
        <v>444</v>
      </c>
      <c r="I276" s="68" t="s">
        <v>1113</v>
      </c>
      <c r="J276" s="68">
        <v>25.84</v>
      </c>
      <c r="K276" s="68">
        <v>27.132000000000001</v>
      </c>
      <c r="L276" s="68">
        <v>3</v>
      </c>
      <c r="M276" s="68" t="s">
        <v>417</v>
      </c>
      <c r="N276" s="68">
        <v>6.6</v>
      </c>
      <c r="O276" s="68">
        <v>1.2920000000000016</v>
      </c>
    </row>
    <row r="277" spans="2:15" ht="15.75">
      <c r="B277" s="70" t="s">
        <v>721</v>
      </c>
      <c r="C277" s="77">
        <v>43860</v>
      </c>
      <c r="D277" s="70" t="s">
        <v>266</v>
      </c>
      <c r="E277" s="68" t="s">
        <v>135</v>
      </c>
      <c r="F277" s="68" t="s">
        <v>420</v>
      </c>
      <c r="G277" s="68" t="s">
        <v>494</v>
      </c>
      <c r="H277" s="68" t="s">
        <v>459</v>
      </c>
      <c r="I277" s="68" t="s">
        <v>1115</v>
      </c>
      <c r="J277" s="68">
        <v>96.11</v>
      </c>
      <c r="K277" s="68">
        <v>100.91549999999999</v>
      </c>
      <c r="L277" s="68">
        <v>1</v>
      </c>
      <c r="M277" s="68" t="s">
        <v>417</v>
      </c>
      <c r="N277" s="68">
        <v>7.8</v>
      </c>
      <c r="O277" s="68">
        <v>4.805499999999995</v>
      </c>
    </row>
    <row r="278" spans="2:15" ht="15.75">
      <c r="B278" s="70" t="s">
        <v>722</v>
      </c>
      <c r="C278" s="77">
        <v>43861</v>
      </c>
      <c r="D278" s="70" t="s">
        <v>419</v>
      </c>
      <c r="E278" s="68" t="s">
        <v>131</v>
      </c>
      <c r="F278" s="68" t="s">
        <v>414</v>
      </c>
      <c r="G278" s="68" t="s">
        <v>415</v>
      </c>
      <c r="H278" s="68" t="s">
        <v>459</v>
      </c>
      <c r="I278" s="68" t="s">
        <v>1115</v>
      </c>
      <c r="J278" s="68">
        <v>81.510000000000005</v>
      </c>
      <c r="K278" s="68">
        <v>85.585499999999996</v>
      </c>
      <c r="L278" s="68">
        <v>1</v>
      </c>
      <c r="M278" s="68" t="s">
        <v>417</v>
      </c>
      <c r="N278" s="68">
        <v>9.1999999999999993</v>
      </c>
      <c r="O278" s="68">
        <v>4.075499999999991</v>
      </c>
    </row>
    <row r="279" spans="2:15" ht="15.75">
      <c r="B279" s="70" t="s">
        <v>723</v>
      </c>
      <c r="C279" s="77">
        <v>43862</v>
      </c>
      <c r="D279" s="70" t="s">
        <v>266</v>
      </c>
      <c r="E279" s="68" t="s">
        <v>135</v>
      </c>
      <c r="F279" s="68" t="s">
        <v>420</v>
      </c>
      <c r="G279" s="68" t="s">
        <v>415</v>
      </c>
      <c r="H279" s="68" t="s">
        <v>459</v>
      </c>
      <c r="I279" s="68" t="s">
        <v>1115</v>
      </c>
      <c r="J279" s="68">
        <v>57.22</v>
      </c>
      <c r="K279" s="68">
        <v>60.081000000000003</v>
      </c>
      <c r="L279" s="68">
        <v>2</v>
      </c>
      <c r="M279" s="68" t="s">
        <v>417</v>
      </c>
      <c r="N279" s="68">
        <v>8.3000000000000007</v>
      </c>
      <c r="O279" s="68">
        <v>2.8610000000000042</v>
      </c>
    </row>
    <row r="280" spans="2:15" ht="15.75">
      <c r="B280" s="70" t="s">
        <v>724</v>
      </c>
      <c r="C280" s="77">
        <v>43863</v>
      </c>
      <c r="D280" s="70" t="s">
        <v>175</v>
      </c>
      <c r="E280" s="68" t="s">
        <v>134</v>
      </c>
      <c r="F280" s="68" t="s">
        <v>414</v>
      </c>
      <c r="G280" s="68" t="s">
        <v>415</v>
      </c>
      <c r="H280" s="68" t="s">
        <v>499</v>
      </c>
      <c r="I280" s="68" t="s">
        <v>1116</v>
      </c>
      <c r="J280" s="68">
        <v>25.22</v>
      </c>
      <c r="K280" s="68">
        <v>26.480999999999998</v>
      </c>
      <c r="L280" s="68">
        <v>7</v>
      </c>
      <c r="M280" s="68" t="s">
        <v>422</v>
      </c>
      <c r="N280" s="68">
        <v>8.1999999999999993</v>
      </c>
      <c r="O280" s="68">
        <v>1.2609999999999992</v>
      </c>
    </row>
    <row r="281" spans="2:15" ht="15.75">
      <c r="B281" s="70" t="s">
        <v>725</v>
      </c>
      <c r="C281" s="77">
        <v>43864</v>
      </c>
      <c r="D281" s="70" t="s">
        <v>419</v>
      </c>
      <c r="E281" s="68" t="s">
        <v>131</v>
      </c>
      <c r="F281" s="68" t="s">
        <v>414</v>
      </c>
      <c r="G281" s="68" t="s">
        <v>415</v>
      </c>
      <c r="H281" s="68" t="s">
        <v>440</v>
      </c>
      <c r="I281" s="68" t="s">
        <v>1114</v>
      </c>
      <c r="J281" s="68">
        <v>38.6</v>
      </c>
      <c r="K281" s="68">
        <v>40.53</v>
      </c>
      <c r="L281" s="68">
        <v>3</v>
      </c>
      <c r="M281" s="68" t="s">
        <v>417</v>
      </c>
      <c r="N281" s="68">
        <v>7.5</v>
      </c>
      <c r="O281" s="68">
        <v>1.9299999999999997</v>
      </c>
    </row>
    <row r="282" spans="2:15" ht="15.75">
      <c r="B282" s="70" t="s">
        <v>726</v>
      </c>
      <c r="C282" s="77">
        <v>43865</v>
      </c>
      <c r="D282" s="70" t="s">
        <v>419</v>
      </c>
      <c r="E282" s="68" t="s">
        <v>131</v>
      </c>
      <c r="F282" s="68" t="s">
        <v>420</v>
      </c>
      <c r="G282" s="68" t="s">
        <v>415</v>
      </c>
      <c r="H282" s="68" t="s">
        <v>499</v>
      </c>
      <c r="I282" s="68" t="s">
        <v>1116</v>
      </c>
      <c r="J282" s="68">
        <v>84.05</v>
      </c>
      <c r="K282" s="68">
        <v>88.252499999999998</v>
      </c>
      <c r="L282" s="68">
        <v>3</v>
      </c>
      <c r="M282" s="68" t="s">
        <v>422</v>
      </c>
      <c r="N282" s="68">
        <v>9.8000000000000007</v>
      </c>
      <c r="O282" s="68">
        <v>4.2025000000000006</v>
      </c>
    </row>
    <row r="283" spans="2:15" ht="15.75">
      <c r="B283" s="70" t="s">
        <v>727</v>
      </c>
      <c r="C283" s="77">
        <v>43866</v>
      </c>
      <c r="D283" s="70" t="s">
        <v>175</v>
      </c>
      <c r="E283" s="68" t="s">
        <v>134</v>
      </c>
      <c r="F283" s="68" t="s">
        <v>414</v>
      </c>
      <c r="G283" s="68" t="s">
        <v>494</v>
      </c>
      <c r="H283" s="68" t="s">
        <v>442</v>
      </c>
      <c r="I283" s="68" t="s">
        <v>1115</v>
      </c>
      <c r="J283" s="68">
        <v>53.17</v>
      </c>
      <c r="K283" s="68">
        <v>55.828500000000005</v>
      </c>
      <c r="L283" s="68">
        <v>7</v>
      </c>
      <c r="M283" s="68" t="s">
        <v>422</v>
      </c>
      <c r="N283" s="68">
        <v>8.9</v>
      </c>
      <c r="O283" s="68">
        <v>2.6585000000000036</v>
      </c>
    </row>
    <row r="284" spans="2:15" ht="15.75">
      <c r="B284" s="70" t="s">
        <v>728</v>
      </c>
      <c r="C284" s="77">
        <v>43867</v>
      </c>
      <c r="D284" s="70" t="s">
        <v>266</v>
      </c>
      <c r="E284" s="68" t="s">
        <v>135</v>
      </c>
      <c r="F284" s="68" t="s">
        <v>414</v>
      </c>
      <c r="G284" s="68" t="s">
        <v>415</v>
      </c>
      <c r="H284" s="68" t="s">
        <v>440</v>
      </c>
      <c r="I284" s="68" t="s">
        <v>1114</v>
      </c>
      <c r="J284" s="68">
        <v>20.87</v>
      </c>
      <c r="K284" s="68">
        <v>21.913499999999999</v>
      </c>
      <c r="L284" s="68">
        <v>3</v>
      </c>
      <c r="M284" s="68" t="s">
        <v>433</v>
      </c>
      <c r="N284" s="68">
        <v>8</v>
      </c>
      <c r="O284" s="68">
        <v>1.0434999999999981</v>
      </c>
    </row>
    <row r="285" spans="2:15" ht="15.75">
      <c r="B285" s="70" t="s">
        <v>729</v>
      </c>
      <c r="C285" s="77">
        <v>43868</v>
      </c>
      <c r="D285" s="70" t="s">
        <v>266</v>
      </c>
      <c r="E285" s="68" t="s">
        <v>135</v>
      </c>
      <c r="F285" s="68" t="s">
        <v>420</v>
      </c>
      <c r="G285" s="68" t="s">
        <v>494</v>
      </c>
      <c r="H285" s="68" t="s">
        <v>463</v>
      </c>
      <c r="I285" s="68" t="s">
        <v>1113</v>
      </c>
      <c r="J285" s="68">
        <v>67.27</v>
      </c>
      <c r="K285" s="68">
        <v>70.633499999999998</v>
      </c>
      <c r="L285" s="68">
        <v>5</v>
      </c>
      <c r="M285" s="68" t="s">
        <v>422</v>
      </c>
      <c r="N285" s="68">
        <v>6.9</v>
      </c>
      <c r="O285" s="68">
        <v>3.3635000000000019</v>
      </c>
    </row>
    <row r="286" spans="2:15" ht="15.75">
      <c r="B286" s="70" t="s">
        <v>730</v>
      </c>
      <c r="C286" s="77">
        <v>43869</v>
      </c>
      <c r="D286" s="70" t="s">
        <v>419</v>
      </c>
      <c r="E286" s="68" t="s">
        <v>131</v>
      </c>
      <c r="F286" s="68" t="s">
        <v>420</v>
      </c>
      <c r="G286" s="68" t="s">
        <v>494</v>
      </c>
      <c r="H286" s="68" t="s">
        <v>457</v>
      </c>
      <c r="I286" s="68" t="s">
        <v>1114</v>
      </c>
      <c r="J286" s="68">
        <v>43.27</v>
      </c>
      <c r="K286" s="68">
        <v>45.433500000000002</v>
      </c>
      <c r="L286" s="68">
        <v>2</v>
      </c>
      <c r="M286" s="68" t="s">
        <v>417</v>
      </c>
      <c r="N286" s="68">
        <v>5.7</v>
      </c>
      <c r="O286" s="68">
        <v>2.1634999999999991</v>
      </c>
    </row>
    <row r="287" spans="2:15" ht="15.75">
      <c r="B287" s="70" t="s">
        <v>731</v>
      </c>
      <c r="C287" s="77">
        <v>43870</v>
      </c>
      <c r="D287" s="70" t="s">
        <v>175</v>
      </c>
      <c r="E287" s="68" t="s">
        <v>134</v>
      </c>
      <c r="F287" s="68" t="s">
        <v>420</v>
      </c>
      <c r="G287" s="68" t="s">
        <v>415</v>
      </c>
      <c r="H287" s="68" t="s">
        <v>421</v>
      </c>
      <c r="I287" s="68" t="s">
        <v>1116</v>
      </c>
      <c r="J287" s="68">
        <v>23.46</v>
      </c>
      <c r="K287" s="68">
        <v>24.632999999999999</v>
      </c>
      <c r="L287" s="68">
        <v>6</v>
      </c>
      <c r="M287" s="68" t="s">
        <v>417</v>
      </c>
      <c r="N287" s="68">
        <v>6.4</v>
      </c>
      <c r="O287" s="68">
        <v>1.1729999999999983</v>
      </c>
    </row>
    <row r="288" spans="2:15" ht="15.75">
      <c r="B288" s="70" t="s">
        <v>732</v>
      </c>
      <c r="C288" s="77">
        <v>43871</v>
      </c>
      <c r="D288" s="70" t="s">
        <v>419</v>
      </c>
      <c r="E288" s="68" t="s">
        <v>131</v>
      </c>
      <c r="F288" s="68" t="s">
        <v>420</v>
      </c>
      <c r="G288" s="68" t="s">
        <v>494</v>
      </c>
      <c r="H288" s="68" t="s">
        <v>463</v>
      </c>
      <c r="I288" s="68" t="s">
        <v>1113</v>
      </c>
      <c r="J288" s="68">
        <v>99.24</v>
      </c>
      <c r="K288" s="68">
        <v>104.202</v>
      </c>
      <c r="L288" s="68">
        <v>9</v>
      </c>
      <c r="M288" s="68" t="s">
        <v>417</v>
      </c>
      <c r="N288" s="68">
        <v>9</v>
      </c>
      <c r="O288" s="68">
        <v>4.9620000000000033</v>
      </c>
    </row>
    <row r="289" spans="2:15" ht="15.75">
      <c r="B289" s="70" t="s">
        <v>733</v>
      </c>
      <c r="C289" s="77">
        <v>43872</v>
      </c>
      <c r="D289" s="70" t="s">
        <v>419</v>
      </c>
      <c r="E289" s="68" t="s">
        <v>131</v>
      </c>
      <c r="F289" s="68" t="s">
        <v>414</v>
      </c>
      <c r="G289" s="68" t="s">
        <v>494</v>
      </c>
      <c r="H289" s="68" t="s">
        <v>463</v>
      </c>
      <c r="I289" s="68" t="s">
        <v>1113</v>
      </c>
      <c r="J289" s="68">
        <v>82.93</v>
      </c>
      <c r="K289" s="68">
        <v>87.076499999999996</v>
      </c>
      <c r="L289" s="68">
        <v>4</v>
      </c>
      <c r="M289" s="68" t="s">
        <v>417</v>
      </c>
      <c r="N289" s="68">
        <v>9.6</v>
      </c>
      <c r="O289" s="68">
        <v>4.146499999999989</v>
      </c>
    </row>
    <row r="290" spans="2:15" ht="15.75">
      <c r="B290" s="70" t="s">
        <v>734</v>
      </c>
      <c r="C290" s="77">
        <v>43873</v>
      </c>
      <c r="D290" s="70" t="s">
        <v>419</v>
      </c>
      <c r="E290" s="68" t="s">
        <v>131</v>
      </c>
      <c r="F290" s="68" t="s">
        <v>414</v>
      </c>
      <c r="G290" s="68" t="s">
        <v>494</v>
      </c>
      <c r="H290" s="68" t="s">
        <v>457</v>
      </c>
      <c r="I290" s="68" t="s">
        <v>1114</v>
      </c>
      <c r="J290" s="68">
        <v>17.04</v>
      </c>
      <c r="K290" s="68">
        <v>17.891999999999999</v>
      </c>
      <c r="L290" s="68">
        <v>4</v>
      </c>
      <c r="M290" s="68" t="s">
        <v>417</v>
      </c>
      <c r="N290" s="68">
        <v>7</v>
      </c>
      <c r="O290" s="68">
        <v>0.85200000000000031</v>
      </c>
    </row>
    <row r="291" spans="2:15" ht="15.75">
      <c r="B291" s="70" t="s">
        <v>735</v>
      </c>
      <c r="C291" s="77">
        <v>43874</v>
      </c>
      <c r="D291" s="70" t="s">
        <v>419</v>
      </c>
      <c r="E291" s="68" t="s">
        <v>131</v>
      </c>
      <c r="F291" s="68" t="s">
        <v>420</v>
      </c>
      <c r="G291" s="68" t="s">
        <v>415</v>
      </c>
      <c r="H291" s="68" t="s">
        <v>421</v>
      </c>
      <c r="I291" s="68" t="s">
        <v>1116</v>
      </c>
      <c r="J291" s="68">
        <v>40.86</v>
      </c>
      <c r="K291" s="68">
        <v>42.902999999999999</v>
      </c>
      <c r="L291" s="68">
        <v>8</v>
      </c>
      <c r="M291" s="68" t="s">
        <v>433</v>
      </c>
      <c r="N291" s="68">
        <v>6.5</v>
      </c>
      <c r="O291" s="68">
        <v>2.0429999999999993</v>
      </c>
    </row>
    <row r="292" spans="2:15" ht="15.75">
      <c r="B292" s="70" t="s">
        <v>736</v>
      </c>
      <c r="C292" s="77">
        <v>43875</v>
      </c>
      <c r="D292" s="70" t="s">
        <v>419</v>
      </c>
      <c r="E292" s="68" t="s">
        <v>131</v>
      </c>
      <c r="F292" s="68" t="s">
        <v>414</v>
      </c>
      <c r="G292" s="68" t="s">
        <v>494</v>
      </c>
      <c r="H292" s="68" t="s">
        <v>457</v>
      </c>
      <c r="I292" s="68" t="s">
        <v>1114</v>
      </c>
      <c r="J292" s="68">
        <v>17.440000000000001</v>
      </c>
      <c r="K292" s="68">
        <v>18.312000000000001</v>
      </c>
      <c r="L292" s="68">
        <v>5</v>
      </c>
      <c r="M292" s="68" t="s">
        <v>422</v>
      </c>
      <c r="N292" s="68">
        <v>8.1</v>
      </c>
      <c r="O292" s="68">
        <v>0.87199999999999989</v>
      </c>
    </row>
    <row r="293" spans="2:15" ht="15.75">
      <c r="B293" s="70" t="s">
        <v>737</v>
      </c>
      <c r="C293" s="77">
        <v>43876</v>
      </c>
      <c r="D293" s="70" t="s">
        <v>266</v>
      </c>
      <c r="E293" s="68" t="s">
        <v>135</v>
      </c>
      <c r="F293" s="68" t="s">
        <v>414</v>
      </c>
      <c r="G293" s="68" t="s">
        <v>415</v>
      </c>
      <c r="H293" s="68" t="s">
        <v>463</v>
      </c>
      <c r="I293" s="68" t="s">
        <v>1113</v>
      </c>
      <c r="J293" s="68">
        <v>88.43</v>
      </c>
      <c r="K293" s="68">
        <v>92.851500000000001</v>
      </c>
      <c r="L293" s="68">
        <v>8</v>
      </c>
      <c r="M293" s="68" t="s">
        <v>433</v>
      </c>
      <c r="N293" s="68">
        <v>4.3</v>
      </c>
      <c r="O293" s="68">
        <v>4.4214999999999947</v>
      </c>
    </row>
    <row r="294" spans="2:15" ht="15.75">
      <c r="B294" s="70" t="s">
        <v>738</v>
      </c>
      <c r="C294" s="77">
        <v>43877</v>
      </c>
      <c r="D294" s="70" t="s">
        <v>175</v>
      </c>
      <c r="E294" s="68" t="s">
        <v>134</v>
      </c>
      <c r="F294" s="68" t="s">
        <v>420</v>
      </c>
      <c r="G294" s="68" t="s">
        <v>415</v>
      </c>
      <c r="H294" s="68" t="s">
        <v>455</v>
      </c>
      <c r="I294" s="68" t="s">
        <v>1113</v>
      </c>
      <c r="J294" s="68">
        <v>19.100000000000001</v>
      </c>
      <c r="K294" s="68">
        <v>20.055</v>
      </c>
      <c r="L294" s="68">
        <v>7</v>
      </c>
      <c r="M294" s="68" t="s">
        <v>422</v>
      </c>
      <c r="N294" s="68">
        <v>9.6999999999999993</v>
      </c>
      <c r="O294" s="68">
        <v>0.95499999999999829</v>
      </c>
    </row>
    <row r="295" spans="2:15" ht="15.75">
      <c r="B295" s="70" t="s">
        <v>739</v>
      </c>
      <c r="C295" s="77">
        <v>43878</v>
      </c>
      <c r="D295" s="70" t="s">
        <v>266</v>
      </c>
      <c r="E295" s="68" t="s">
        <v>135</v>
      </c>
      <c r="F295" s="68" t="s">
        <v>414</v>
      </c>
      <c r="G295" s="68" t="s">
        <v>415</v>
      </c>
      <c r="H295" s="68" t="s">
        <v>459</v>
      </c>
      <c r="I295" s="68" t="s">
        <v>1115</v>
      </c>
      <c r="J295" s="68">
        <v>19.149999999999999</v>
      </c>
      <c r="K295" s="68">
        <v>20.107500000000002</v>
      </c>
      <c r="L295" s="68">
        <v>1</v>
      </c>
      <c r="M295" s="68" t="s">
        <v>433</v>
      </c>
      <c r="N295" s="68">
        <v>9.5</v>
      </c>
      <c r="O295" s="68">
        <v>0.95750000000000313</v>
      </c>
    </row>
    <row r="296" spans="2:15" ht="15.75">
      <c r="B296" s="70" t="s">
        <v>740</v>
      </c>
      <c r="C296" s="77">
        <v>43879</v>
      </c>
      <c r="D296" s="70" t="s">
        <v>419</v>
      </c>
      <c r="E296" s="68" t="s">
        <v>131</v>
      </c>
      <c r="F296" s="68" t="s">
        <v>414</v>
      </c>
      <c r="G296" s="68" t="s">
        <v>494</v>
      </c>
      <c r="H296" s="68" t="s">
        <v>457</v>
      </c>
      <c r="I296" s="68" t="s">
        <v>1114</v>
      </c>
      <c r="J296" s="68">
        <v>27.66</v>
      </c>
      <c r="K296" s="68">
        <v>29.042999999999999</v>
      </c>
      <c r="L296" s="68">
        <v>10</v>
      </c>
      <c r="M296" s="68" t="s">
        <v>433</v>
      </c>
      <c r="N296" s="68">
        <v>8.9</v>
      </c>
      <c r="O296" s="68">
        <v>1.3829999999999991</v>
      </c>
    </row>
    <row r="297" spans="2:15" ht="15.75">
      <c r="B297" s="70" t="s">
        <v>741</v>
      </c>
      <c r="C297" s="77">
        <v>43880</v>
      </c>
      <c r="D297" s="70" t="s">
        <v>266</v>
      </c>
      <c r="E297" s="68" t="s">
        <v>135</v>
      </c>
      <c r="F297" s="68" t="s">
        <v>414</v>
      </c>
      <c r="G297" s="68" t="s">
        <v>415</v>
      </c>
      <c r="H297" s="68" t="s">
        <v>459</v>
      </c>
      <c r="I297" s="68" t="s">
        <v>1115</v>
      </c>
      <c r="J297" s="68">
        <v>27.07</v>
      </c>
      <c r="K297" s="68">
        <v>28.423500000000001</v>
      </c>
      <c r="L297" s="68">
        <v>1</v>
      </c>
      <c r="M297" s="68" t="s">
        <v>433</v>
      </c>
      <c r="N297" s="68">
        <v>5.3</v>
      </c>
      <c r="O297" s="68">
        <v>1.3535000000000004</v>
      </c>
    </row>
    <row r="298" spans="2:15" ht="15.75">
      <c r="B298" s="70" t="s">
        <v>742</v>
      </c>
      <c r="C298" s="77">
        <v>43881</v>
      </c>
      <c r="D298" s="70" t="s">
        <v>266</v>
      </c>
      <c r="E298" s="68" t="s">
        <v>135</v>
      </c>
      <c r="F298" s="68" t="s">
        <v>414</v>
      </c>
      <c r="G298" s="68" t="s">
        <v>415</v>
      </c>
      <c r="H298" s="68" t="s">
        <v>426</v>
      </c>
      <c r="I298" s="68" t="s">
        <v>1113</v>
      </c>
      <c r="J298" s="68">
        <v>39.119999999999997</v>
      </c>
      <c r="K298" s="68">
        <v>41.076000000000001</v>
      </c>
      <c r="L298" s="68">
        <v>1</v>
      </c>
      <c r="M298" s="68" t="s">
        <v>433</v>
      </c>
      <c r="N298" s="68">
        <v>9.6</v>
      </c>
      <c r="O298" s="68">
        <v>1.9560000000000031</v>
      </c>
    </row>
    <row r="299" spans="2:15" ht="15.75">
      <c r="B299" s="70" t="s">
        <v>743</v>
      </c>
      <c r="C299" s="77">
        <v>43882</v>
      </c>
      <c r="D299" s="70" t="s">
        <v>266</v>
      </c>
      <c r="E299" s="68" t="s">
        <v>135</v>
      </c>
      <c r="F299" s="68" t="s">
        <v>420</v>
      </c>
      <c r="G299" s="68" t="s">
        <v>415</v>
      </c>
      <c r="H299" s="68" t="s">
        <v>499</v>
      </c>
      <c r="I299" s="68" t="s">
        <v>1116</v>
      </c>
      <c r="J299" s="68">
        <v>74.709999999999994</v>
      </c>
      <c r="K299" s="68">
        <v>78.445499999999996</v>
      </c>
      <c r="L299" s="68">
        <v>6</v>
      </c>
      <c r="M299" s="68" t="s">
        <v>422</v>
      </c>
      <c r="N299" s="68">
        <v>6.7</v>
      </c>
      <c r="O299" s="68">
        <v>3.7355000000000018</v>
      </c>
    </row>
    <row r="300" spans="2:15" ht="15.75">
      <c r="B300" s="70" t="s">
        <v>744</v>
      </c>
      <c r="C300" s="77">
        <v>43883</v>
      </c>
      <c r="D300" s="70" t="s">
        <v>266</v>
      </c>
      <c r="E300" s="68" t="s">
        <v>135</v>
      </c>
      <c r="F300" s="68" t="s">
        <v>420</v>
      </c>
      <c r="G300" s="68" t="s">
        <v>494</v>
      </c>
      <c r="H300" s="68" t="s">
        <v>421</v>
      </c>
      <c r="I300" s="68" t="s">
        <v>1116</v>
      </c>
      <c r="J300" s="68">
        <v>22.01</v>
      </c>
      <c r="K300" s="68">
        <v>23.110500000000002</v>
      </c>
      <c r="L300" s="68">
        <v>6</v>
      </c>
      <c r="M300" s="68" t="s">
        <v>422</v>
      </c>
      <c r="N300" s="68">
        <v>7.6</v>
      </c>
      <c r="O300" s="68">
        <v>1.1005000000000003</v>
      </c>
    </row>
    <row r="301" spans="2:15" ht="15.75">
      <c r="B301" s="70" t="s">
        <v>745</v>
      </c>
      <c r="C301" s="77">
        <v>43884</v>
      </c>
      <c r="D301" s="70" t="s">
        <v>175</v>
      </c>
      <c r="E301" s="68" t="s">
        <v>134</v>
      </c>
      <c r="F301" s="68" t="s">
        <v>420</v>
      </c>
      <c r="G301" s="68" t="s">
        <v>415</v>
      </c>
      <c r="H301" s="68" t="s">
        <v>476</v>
      </c>
      <c r="I301" s="68" t="s">
        <v>1114</v>
      </c>
      <c r="J301" s="68">
        <v>63.61</v>
      </c>
      <c r="K301" s="68">
        <v>66.790499999999994</v>
      </c>
      <c r="L301" s="68">
        <v>5</v>
      </c>
      <c r="M301" s="68" t="s">
        <v>417</v>
      </c>
      <c r="N301" s="68">
        <v>4.8</v>
      </c>
      <c r="O301" s="68">
        <v>3.180499999999995</v>
      </c>
    </row>
    <row r="302" spans="2:15" ht="15.75">
      <c r="B302" s="70" t="s">
        <v>746</v>
      </c>
      <c r="C302" s="77">
        <v>43885</v>
      </c>
      <c r="D302" s="70" t="s">
        <v>175</v>
      </c>
      <c r="E302" s="68" t="s">
        <v>134</v>
      </c>
      <c r="F302" s="68" t="s">
        <v>420</v>
      </c>
      <c r="G302" s="68" t="s">
        <v>494</v>
      </c>
      <c r="H302" s="68" t="s">
        <v>459</v>
      </c>
      <c r="I302" s="68" t="s">
        <v>1115</v>
      </c>
      <c r="J302" s="68">
        <v>25</v>
      </c>
      <c r="K302" s="68">
        <v>26.25</v>
      </c>
      <c r="L302" s="68">
        <v>1</v>
      </c>
      <c r="M302" s="68" t="s">
        <v>417</v>
      </c>
      <c r="N302" s="68">
        <v>5.5</v>
      </c>
      <c r="O302" s="68">
        <v>1.25</v>
      </c>
    </row>
    <row r="303" spans="2:15" ht="15.75">
      <c r="B303" s="70" t="s">
        <v>747</v>
      </c>
      <c r="C303" s="77">
        <v>43886</v>
      </c>
      <c r="D303" s="70" t="s">
        <v>175</v>
      </c>
      <c r="E303" s="68" t="s">
        <v>134</v>
      </c>
      <c r="F303" s="68" t="s">
        <v>414</v>
      </c>
      <c r="G303" s="68" t="s">
        <v>494</v>
      </c>
      <c r="H303" s="68" t="s">
        <v>421</v>
      </c>
      <c r="I303" s="68" t="s">
        <v>1116</v>
      </c>
      <c r="J303" s="68">
        <v>20.77</v>
      </c>
      <c r="K303" s="68">
        <v>21.808499999999999</v>
      </c>
      <c r="L303" s="68">
        <v>4</v>
      </c>
      <c r="M303" s="68" t="s">
        <v>422</v>
      </c>
      <c r="N303" s="68">
        <v>4.7</v>
      </c>
      <c r="O303" s="68">
        <v>1.0384999999999991</v>
      </c>
    </row>
    <row r="304" spans="2:15" ht="15.75">
      <c r="B304" s="70" t="s">
        <v>748</v>
      </c>
      <c r="C304" s="77">
        <v>43887</v>
      </c>
      <c r="D304" s="70" t="s">
        <v>266</v>
      </c>
      <c r="E304" s="68" t="s">
        <v>135</v>
      </c>
      <c r="F304" s="68" t="s">
        <v>414</v>
      </c>
      <c r="G304" s="68" t="s">
        <v>415</v>
      </c>
      <c r="H304" s="68" t="s">
        <v>476</v>
      </c>
      <c r="I304" s="68" t="s">
        <v>1114</v>
      </c>
      <c r="J304" s="68">
        <v>77.400000000000006</v>
      </c>
      <c r="K304" s="68">
        <v>81.27</v>
      </c>
      <c r="L304" s="68">
        <v>9</v>
      </c>
      <c r="M304" s="68" t="s">
        <v>433</v>
      </c>
      <c r="N304" s="68">
        <v>4.5</v>
      </c>
      <c r="O304" s="68">
        <v>3.8699999999999903</v>
      </c>
    </row>
    <row r="305" spans="2:15" ht="15.75">
      <c r="B305" s="70" t="s">
        <v>749</v>
      </c>
      <c r="C305" s="77">
        <v>43888</v>
      </c>
      <c r="D305" s="70" t="s">
        <v>266</v>
      </c>
      <c r="E305" s="68" t="s">
        <v>135</v>
      </c>
      <c r="F305" s="68" t="s">
        <v>420</v>
      </c>
      <c r="G305" s="68" t="s">
        <v>494</v>
      </c>
      <c r="H305" s="68" t="s">
        <v>421</v>
      </c>
      <c r="I305" s="68" t="s">
        <v>1116</v>
      </c>
      <c r="J305" s="68">
        <v>79.39</v>
      </c>
      <c r="K305" s="68">
        <v>83.359499999999997</v>
      </c>
      <c r="L305" s="68">
        <v>10</v>
      </c>
      <c r="M305" s="68" t="s">
        <v>422</v>
      </c>
      <c r="N305" s="68">
        <v>6.2</v>
      </c>
      <c r="O305" s="68">
        <v>3.9694999999999965</v>
      </c>
    </row>
    <row r="306" spans="2:15" ht="15.75">
      <c r="B306" s="70" t="s">
        <v>750</v>
      </c>
      <c r="C306" s="77">
        <v>43889</v>
      </c>
      <c r="D306" s="70" t="s">
        <v>419</v>
      </c>
      <c r="E306" s="68" t="s">
        <v>131</v>
      </c>
      <c r="F306" s="68" t="s">
        <v>414</v>
      </c>
      <c r="G306" s="68" t="s">
        <v>415</v>
      </c>
      <c r="H306" s="68" t="s">
        <v>499</v>
      </c>
      <c r="I306" s="68" t="s">
        <v>1116</v>
      </c>
      <c r="J306" s="68">
        <v>46.57</v>
      </c>
      <c r="K306" s="68">
        <v>48.898499999999999</v>
      </c>
      <c r="L306" s="68">
        <v>10</v>
      </c>
      <c r="M306" s="68" t="s">
        <v>422</v>
      </c>
      <c r="N306" s="68">
        <v>7.6</v>
      </c>
      <c r="O306" s="68">
        <v>2.3284999999999982</v>
      </c>
    </row>
    <row r="307" spans="2:15" ht="15.75">
      <c r="B307" s="70" t="s">
        <v>751</v>
      </c>
      <c r="C307" s="77">
        <v>43890</v>
      </c>
      <c r="D307" s="70" t="s">
        <v>419</v>
      </c>
      <c r="E307" s="68" t="s">
        <v>131</v>
      </c>
      <c r="F307" s="68" t="s">
        <v>420</v>
      </c>
      <c r="G307" s="68" t="s">
        <v>494</v>
      </c>
      <c r="H307" s="68" t="s">
        <v>476</v>
      </c>
      <c r="I307" s="68" t="s">
        <v>1114</v>
      </c>
      <c r="J307" s="68">
        <v>35.89</v>
      </c>
      <c r="K307" s="68">
        <v>37.6845</v>
      </c>
      <c r="L307" s="68">
        <v>1</v>
      </c>
      <c r="M307" s="68" t="s">
        <v>433</v>
      </c>
      <c r="N307" s="68">
        <v>7.9</v>
      </c>
      <c r="O307" s="68">
        <v>1.7944999999999993</v>
      </c>
    </row>
    <row r="308" spans="2:15" ht="15.75">
      <c r="B308" s="70" t="s">
        <v>752</v>
      </c>
      <c r="C308" s="77">
        <v>43891</v>
      </c>
      <c r="D308" s="70" t="s">
        <v>419</v>
      </c>
      <c r="E308" s="68" t="s">
        <v>131</v>
      </c>
      <c r="F308" s="68" t="s">
        <v>420</v>
      </c>
      <c r="G308" s="68" t="s">
        <v>494</v>
      </c>
      <c r="H308" s="68" t="s">
        <v>476</v>
      </c>
      <c r="I308" s="68" t="s">
        <v>1114</v>
      </c>
      <c r="J308" s="68">
        <v>40.520000000000003</v>
      </c>
      <c r="K308" s="68">
        <v>42.545999999999999</v>
      </c>
      <c r="L308" s="68">
        <v>5</v>
      </c>
      <c r="M308" s="68" t="s">
        <v>422</v>
      </c>
      <c r="N308" s="68">
        <v>4.5</v>
      </c>
      <c r="O308" s="68">
        <v>2.0259999999999962</v>
      </c>
    </row>
    <row r="309" spans="2:15" ht="15.75">
      <c r="B309" s="70" t="s">
        <v>753</v>
      </c>
      <c r="C309" s="77">
        <v>43892</v>
      </c>
      <c r="D309" s="70" t="s">
        <v>266</v>
      </c>
      <c r="E309" s="68" t="s">
        <v>135</v>
      </c>
      <c r="F309" s="68" t="s">
        <v>414</v>
      </c>
      <c r="G309" s="68" t="s">
        <v>415</v>
      </c>
      <c r="H309" s="68" t="s">
        <v>476</v>
      </c>
      <c r="I309" s="68" t="s">
        <v>1114</v>
      </c>
      <c r="J309" s="68">
        <v>73.05</v>
      </c>
      <c r="K309" s="68">
        <v>76.702500000000001</v>
      </c>
      <c r="L309" s="68">
        <v>10</v>
      </c>
      <c r="M309" s="68" t="s">
        <v>433</v>
      </c>
      <c r="N309" s="68">
        <v>8.6999999999999993</v>
      </c>
      <c r="O309" s="68">
        <v>3.6525000000000034</v>
      </c>
    </row>
    <row r="310" spans="2:15" ht="15.75">
      <c r="B310" s="70" t="s">
        <v>754</v>
      </c>
      <c r="C310" s="77">
        <v>43893</v>
      </c>
      <c r="D310" s="70" t="s">
        <v>419</v>
      </c>
      <c r="E310" s="68" t="s">
        <v>131</v>
      </c>
      <c r="F310" s="68" t="s">
        <v>420</v>
      </c>
      <c r="G310" s="68" t="s">
        <v>415</v>
      </c>
      <c r="H310" s="68" t="s">
        <v>448</v>
      </c>
      <c r="I310" s="68" t="s">
        <v>1113</v>
      </c>
      <c r="J310" s="68">
        <v>73.95</v>
      </c>
      <c r="K310" s="68">
        <v>77.647499999999994</v>
      </c>
      <c r="L310" s="68">
        <v>4</v>
      </c>
      <c r="M310" s="68" t="s">
        <v>422</v>
      </c>
      <c r="N310" s="68">
        <v>6.1</v>
      </c>
      <c r="O310" s="68">
        <v>3.6974999999999909</v>
      </c>
    </row>
    <row r="311" spans="2:15" ht="15.75">
      <c r="B311" s="70" t="s">
        <v>755</v>
      </c>
      <c r="C311" s="77">
        <v>43894</v>
      </c>
      <c r="D311" s="70" t="s">
        <v>419</v>
      </c>
      <c r="E311" s="68" t="s">
        <v>131</v>
      </c>
      <c r="F311" s="68" t="s">
        <v>414</v>
      </c>
      <c r="G311" s="68" t="s">
        <v>415</v>
      </c>
      <c r="H311" s="68" t="s">
        <v>476</v>
      </c>
      <c r="I311" s="68" t="s">
        <v>1114</v>
      </c>
      <c r="J311" s="68">
        <v>22.62</v>
      </c>
      <c r="K311" s="68">
        <v>23.751000000000001</v>
      </c>
      <c r="L311" s="68">
        <v>1</v>
      </c>
      <c r="M311" s="68" t="s">
        <v>422</v>
      </c>
      <c r="N311" s="68">
        <v>6.4</v>
      </c>
      <c r="O311" s="68">
        <v>1.1310000000000002</v>
      </c>
    </row>
    <row r="312" spans="2:15" ht="15.75">
      <c r="B312" s="70" t="s">
        <v>756</v>
      </c>
      <c r="C312" s="77">
        <v>43895</v>
      </c>
      <c r="D312" s="70" t="s">
        <v>175</v>
      </c>
      <c r="E312" s="68" t="s">
        <v>134</v>
      </c>
      <c r="F312" s="68" t="s">
        <v>414</v>
      </c>
      <c r="G312" s="68" t="s">
        <v>494</v>
      </c>
      <c r="H312" s="68" t="s">
        <v>476</v>
      </c>
      <c r="I312" s="68" t="s">
        <v>1114</v>
      </c>
      <c r="J312" s="68">
        <v>51.34</v>
      </c>
      <c r="K312" s="68">
        <v>53.907000000000004</v>
      </c>
      <c r="L312" s="68">
        <v>5</v>
      </c>
      <c r="M312" s="68" t="s">
        <v>433</v>
      </c>
      <c r="N312" s="68">
        <v>9.1</v>
      </c>
      <c r="O312" s="68">
        <v>2.5670000000000002</v>
      </c>
    </row>
    <row r="313" spans="2:15" ht="15.75">
      <c r="B313" s="70" t="s">
        <v>757</v>
      </c>
      <c r="C313" s="77">
        <v>43896</v>
      </c>
      <c r="D313" s="70" t="s">
        <v>419</v>
      </c>
      <c r="E313" s="68" t="s">
        <v>131</v>
      </c>
      <c r="F313" s="68" t="s">
        <v>414</v>
      </c>
      <c r="G313" s="68" t="s">
        <v>415</v>
      </c>
      <c r="H313" s="68" t="s">
        <v>448</v>
      </c>
      <c r="I313" s="68" t="s">
        <v>1113</v>
      </c>
      <c r="J313" s="68">
        <v>54.55</v>
      </c>
      <c r="K313" s="68">
        <v>57.277499999999996</v>
      </c>
      <c r="L313" s="68">
        <v>10</v>
      </c>
      <c r="M313" s="68" t="s">
        <v>433</v>
      </c>
      <c r="N313" s="68">
        <v>7.1</v>
      </c>
      <c r="O313" s="68">
        <v>2.7274999999999991</v>
      </c>
    </row>
    <row r="314" spans="2:15" ht="15.75">
      <c r="B314" s="70" t="s">
        <v>758</v>
      </c>
      <c r="C314" s="77">
        <v>43897</v>
      </c>
      <c r="D314" s="70" t="s">
        <v>419</v>
      </c>
      <c r="E314" s="68" t="s">
        <v>131</v>
      </c>
      <c r="F314" s="68" t="s">
        <v>414</v>
      </c>
      <c r="G314" s="68" t="s">
        <v>415</v>
      </c>
      <c r="H314" s="68" t="s">
        <v>442</v>
      </c>
      <c r="I314" s="68" t="s">
        <v>1115</v>
      </c>
      <c r="J314" s="68">
        <v>37.15</v>
      </c>
      <c r="K314" s="68">
        <v>39.0075</v>
      </c>
      <c r="L314" s="68">
        <v>7</v>
      </c>
      <c r="M314" s="68" t="s">
        <v>433</v>
      </c>
      <c r="N314" s="68">
        <v>7.7</v>
      </c>
      <c r="O314" s="68">
        <v>1.8575000000000017</v>
      </c>
    </row>
    <row r="315" spans="2:15" ht="15.75">
      <c r="B315" s="70" t="s">
        <v>759</v>
      </c>
      <c r="C315" s="77">
        <v>43898</v>
      </c>
      <c r="D315" s="70" t="s">
        <v>266</v>
      </c>
      <c r="E315" s="68" t="s">
        <v>135</v>
      </c>
      <c r="F315" s="68" t="s">
        <v>420</v>
      </c>
      <c r="G315" s="68" t="s">
        <v>494</v>
      </c>
      <c r="H315" s="68" t="s">
        <v>448</v>
      </c>
      <c r="I315" s="68" t="s">
        <v>1113</v>
      </c>
      <c r="J315" s="68">
        <v>37.020000000000003</v>
      </c>
      <c r="K315" s="68">
        <v>38.871000000000002</v>
      </c>
      <c r="L315" s="68">
        <v>6</v>
      </c>
      <c r="M315" s="68" t="s">
        <v>422</v>
      </c>
      <c r="N315" s="68">
        <v>4.5</v>
      </c>
      <c r="O315" s="68">
        <v>1.8509999999999991</v>
      </c>
    </row>
    <row r="316" spans="2:15" ht="15.75">
      <c r="B316" s="70" t="s">
        <v>760</v>
      </c>
      <c r="C316" s="77">
        <v>43899</v>
      </c>
      <c r="D316" s="70" t="s">
        <v>419</v>
      </c>
      <c r="E316" s="68" t="s">
        <v>131</v>
      </c>
      <c r="F316" s="68" t="s">
        <v>420</v>
      </c>
      <c r="G316" s="68" t="s">
        <v>494</v>
      </c>
      <c r="H316" s="68" t="s">
        <v>476</v>
      </c>
      <c r="I316" s="68" t="s">
        <v>1114</v>
      </c>
      <c r="J316" s="68">
        <v>21.58</v>
      </c>
      <c r="K316" s="68">
        <v>22.658999999999999</v>
      </c>
      <c r="L316" s="68">
        <v>1</v>
      </c>
      <c r="M316" s="68" t="s">
        <v>417</v>
      </c>
      <c r="N316" s="68">
        <v>7.2</v>
      </c>
      <c r="O316" s="68">
        <v>1.0790000000000006</v>
      </c>
    </row>
    <row r="317" spans="2:15" ht="15.75">
      <c r="B317" s="70" t="s">
        <v>761</v>
      </c>
      <c r="C317" s="77">
        <v>43900</v>
      </c>
      <c r="D317" s="70" t="s">
        <v>419</v>
      </c>
      <c r="E317" s="68" t="s">
        <v>131</v>
      </c>
      <c r="F317" s="68" t="s">
        <v>414</v>
      </c>
      <c r="G317" s="68" t="s">
        <v>415</v>
      </c>
      <c r="H317" s="68" t="s">
        <v>421</v>
      </c>
      <c r="I317" s="68" t="s">
        <v>1116</v>
      </c>
      <c r="J317" s="68">
        <v>98.84</v>
      </c>
      <c r="K317" s="68">
        <v>103.782</v>
      </c>
      <c r="L317" s="68">
        <v>1</v>
      </c>
      <c r="M317" s="68" t="s">
        <v>422</v>
      </c>
      <c r="N317" s="68">
        <v>8.4</v>
      </c>
      <c r="O317" s="68">
        <v>4.9419999999999931</v>
      </c>
    </row>
    <row r="318" spans="2:15" ht="15.75">
      <c r="B318" s="70" t="s">
        <v>762</v>
      </c>
      <c r="C318" s="77">
        <v>43901</v>
      </c>
      <c r="D318" s="70" t="s">
        <v>175</v>
      </c>
      <c r="E318" s="68" t="s">
        <v>134</v>
      </c>
      <c r="F318" s="68" t="s">
        <v>414</v>
      </c>
      <c r="G318" s="68" t="s">
        <v>415</v>
      </c>
      <c r="H318" s="68" t="s">
        <v>448</v>
      </c>
      <c r="I318" s="68" t="s">
        <v>1113</v>
      </c>
      <c r="J318" s="68">
        <v>40.049999999999997</v>
      </c>
      <c r="K318" s="68">
        <v>42.052500000000002</v>
      </c>
      <c r="L318" s="68">
        <v>4</v>
      </c>
      <c r="M318" s="68" t="s">
        <v>422</v>
      </c>
      <c r="N318" s="68">
        <v>9.6999999999999993</v>
      </c>
      <c r="O318" s="68">
        <v>2.0025000000000048</v>
      </c>
    </row>
    <row r="319" spans="2:15" ht="15.75">
      <c r="B319" s="70" t="s">
        <v>763</v>
      </c>
      <c r="C319" s="77">
        <v>43902</v>
      </c>
      <c r="D319" s="70" t="s">
        <v>266</v>
      </c>
      <c r="E319" s="68" t="s">
        <v>135</v>
      </c>
      <c r="F319" s="68" t="s">
        <v>414</v>
      </c>
      <c r="G319" s="68" t="s">
        <v>494</v>
      </c>
      <c r="H319" s="68" t="s">
        <v>442</v>
      </c>
      <c r="I319" s="68" t="s">
        <v>1115</v>
      </c>
      <c r="J319" s="68">
        <v>72.569999999999993</v>
      </c>
      <c r="K319" s="68">
        <v>76.198499999999996</v>
      </c>
      <c r="L319" s="68">
        <v>8</v>
      </c>
      <c r="M319" s="68" t="s">
        <v>422</v>
      </c>
      <c r="N319" s="68">
        <v>4.5999999999999996</v>
      </c>
      <c r="O319" s="68">
        <v>3.6285000000000025</v>
      </c>
    </row>
    <row r="320" spans="2:15" ht="15.75">
      <c r="B320" s="70" t="s">
        <v>764</v>
      </c>
      <c r="C320" s="77">
        <v>43903</v>
      </c>
      <c r="D320" s="70" t="s">
        <v>175</v>
      </c>
      <c r="E320" s="68" t="s">
        <v>134</v>
      </c>
      <c r="F320" s="68" t="s">
        <v>414</v>
      </c>
      <c r="G320" s="68" t="s">
        <v>415</v>
      </c>
      <c r="H320" s="68" t="s">
        <v>421</v>
      </c>
      <c r="I320" s="68" t="s">
        <v>1116</v>
      </c>
      <c r="J320" s="68">
        <v>64.44</v>
      </c>
      <c r="K320" s="68">
        <v>67.662000000000006</v>
      </c>
      <c r="L320" s="68">
        <v>5</v>
      </c>
      <c r="M320" s="68" t="s">
        <v>422</v>
      </c>
      <c r="N320" s="68">
        <v>6.6</v>
      </c>
      <c r="O320" s="68">
        <v>3.2220000000000084</v>
      </c>
    </row>
    <row r="321" spans="2:15" ht="15.75">
      <c r="B321" s="70" t="s">
        <v>765</v>
      </c>
      <c r="C321" s="77">
        <v>43904</v>
      </c>
      <c r="D321" s="70" t="s">
        <v>175</v>
      </c>
      <c r="E321" s="68" t="s">
        <v>134</v>
      </c>
      <c r="F321" s="68" t="s">
        <v>420</v>
      </c>
      <c r="G321" s="68" t="s">
        <v>494</v>
      </c>
      <c r="H321" s="68" t="s">
        <v>459</v>
      </c>
      <c r="I321" s="68" t="s">
        <v>1115</v>
      </c>
      <c r="J321" s="68">
        <v>65.180000000000007</v>
      </c>
      <c r="K321" s="68">
        <v>68.439000000000007</v>
      </c>
      <c r="L321" s="68">
        <v>3</v>
      </c>
      <c r="M321" s="68" t="s">
        <v>433</v>
      </c>
      <c r="N321" s="68">
        <v>6.3</v>
      </c>
      <c r="O321" s="68">
        <v>3.2590000000000003</v>
      </c>
    </row>
    <row r="322" spans="2:15" ht="15.75">
      <c r="B322" s="70" t="s">
        <v>766</v>
      </c>
      <c r="C322" s="77">
        <v>43905</v>
      </c>
      <c r="D322" s="70" t="s">
        <v>175</v>
      </c>
      <c r="E322" s="68" t="s">
        <v>134</v>
      </c>
      <c r="F322" s="68" t="s">
        <v>420</v>
      </c>
      <c r="G322" s="68" t="s">
        <v>415</v>
      </c>
      <c r="H322" s="68" t="s">
        <v>463</v>
      </c>
      <c r="I322" s="68" t="s">
        <v>1113</v>
      </c>
      <c r="J322" s="68">
        <v>33.26</v>
      </c>
      <c r="K322" s="68">
        <v>34.923000000000002</v>
      </c>
      <c r="L322" s="68">
        <v>5</v>
      </c>
      <c r="M322" s="68" t="s">
        <v>433</v>
      </c>
      <c r="N322" s="68">
        <v>4.2</v>
      </c>
      <c r="O322" s="68">
        <v>1.6630000000000038</v>
      </c>
    </row>
    <row r="323" spans="2:15" ht="15.75">
      <c r="B323" s="70" t="s">
        <v>767</v>
      </c>
      <c r="C323" s="77">
        <v>43906</v>
      </c>
      <c r="D323" s="70" t="s">
        <v>419</v>
      </c>
      <c r="E323" s="68" t="s">
        <v>131</v>
      </c>
      <c r="F323" s="68" t="s">
        <v>420</v>
      </c>
      <c r="G323" s="68" t="s">
        <v>494</v>
      </c>
      <c r="H323" s="68" t="s">
        <v>421</v>
      </c>
      <c r="I323" s="68" t="s">
        <v>1116</v>
      </c>
      <c r="J323" s="68">
        <v>84.07</v>
      </c>
      <c r="K323" s="68">
        <v>88.273499999999999</v>
      </c>
      <c r="L323" s="68">
        <v>4</v>
      </c>
      <c r="M323" s="68" t="s">
        <v>417</v>
      </c>
      <c r="N323" s="68">
        <v>4.4000000000000004</v>
      </c>
      <c r="O323" s="68">
        <v>4.2035000000000053</v>
      </c>
    </row>
    <row r="324" spans="2:15" ht="15.75">
      <c r="B324" s="70" t="s">
        <v>768</v>
      </c>
      <c r="C324" s="77">
        <v>43907</v>
      </c>
      <c r="D324" s="70" t="s">
        <v>266</v>
      </c>
      <c r="E324" s="68" t="s">
        <v>135</v>
      </c>
      <c r="F324" s="68" t="s">
        <v>420</v>
      </c>
      <c r="G324" s="68" t="s">
        <v>494</v>
      </c>
      <c r="H324" s="68" t="s">
        <v>426</v>
      </c>
      <c r="I324" s="68" t="s">
        <v>1113</v>
      </c>
      <c r="J324" s="68">
        <v>34.369999999999997</v>
      </c>
      <c r="K324" s="68">
        <v>36.088499999999996</v>
      </c>
      <c r="L324" s="68">
        <v>10</v>
      </c>
      <c r="M324" s="68" t="s">
        <v>417</v>
      </c>
      <c r="N324" s="68">
        <v>6.7</v>
      </c>
      <c r="O324" s="68">
        <v>1.7184999999999988</v>
      </c>
    </row>
    <row r="325" spans="2:15" ht="15.75">
      <c r="B325" s="70" t="s">
        <v>769</v>
      </c>
      <c r="C325" s="77">
        <v>43908</v>
      </c>
      <c r="D325" s="70" t="s">
        <v>175</v>
      </c>
      <c r="E325" s="68" t="s">
        <v>134</v>
      </c>
      <c r="F325" s="68" t="s">
        <v>420</v>
      </c>
      <c r="G325" s="68" t="s">
        <v>494</v>
      </c>
      <c r="H325" s="68" t="s">
        <v>421</v>
      </c>
      <c r="I325" s="68" t="s">
        <v>1116</v>
      </c>
      <c r="J325" s="68">
        <v>38.6</v>
      </c>
      <c r="K325" s="68">
        <v>40.53</v>
      </c>
      <c r="L325" s="68">
        <v>1</v>
      </c>
      <c r="M325" s="68" t="s">
        <v>417</v>
      </c>
      <c r="N325" s="68">
        <v>6.7</v>
      </c>
      <c r="O325" s="68">
        <v>1.9299999999999997</v>
      </c>
    </row>
    <row r="326" spans="2:15" ht="15.75">
      <c r="B326" s="70" t="s">
        <v>770</v>
      </c>
      <c r="C326" s="77">
        <v>43909</v>
      </c>
      <c r="D326" s="70" t="s">
        <v>419</v>
      </c>
      <c r="E326" s="68" t="s">
        <v>131</v>
      </c>
      <c r="F326" s="68" t="s">
        <v>420</v>
      </c>
      <c r="G326" s="68" t="s">
        <v>494</v>
      </c>
      <c r="H326" s="68" t="s">
        <v>476</v>
      </c>
      <c r="I326" s="68" t="s">
        <v>1114</v>
      </c>
      <c r="J326" s="68">
        <v>65.97</v>
      </c>
      <c r="K326" s="68">
        <v>69.268500000000003</v>
      </c>
      <c r="L326" s="68">
        <v>8</v>
      </c>
      <c r="M326" s="68" t="s">
        <v>422</v>
      </c>
      <c r="N326" s="68">
        <v>8.4</v>
      </c>
      <c r="O326" s="68">
        <v>3.2985000000000042</v>
      </c>
    </row>
    <row r="327" spans="2:15" ht="15.75">
      <c r="B327" s="70" t="s">
        <v>771</v>
      </c>
      <c r="C327" s="77">
        <v>43910</v>
      </c>
      <c r="D327" s="70" t="s">
        <v>419</v>
      </c>
      <c r="E327" s="68" t="s">
        <v>131</v>
      </c>
      <c r="F327" s="68" t="s">
        <v>420</v>
      </c>
      <c r="G327" s="68" t="s">
        <v>415</v>
      </c>
      <c r="H327" s="68" t="s">
        <v>421</v>
      </c>
      <c r="I327" s="68" t="s">
        <v>1116</v>
      </c>
      <c r="J327" s="68">
        <v>32.799999999999997</v>
      </c>
      <c r="K327" s="68">
        <v>34.44</v>
      </c>
      <c r="L327" s="68">
        <v>10</v>
      </c>
      <c r="M327" s="68" t="s">
        <v>422</v>
      </c>
      <c r="N327" s="68">
        <v>6.2</v>
      </c>
      <c r="O327" s="68">
        <v>1.6400000000000006</v>
      </c>
    </row>
    <row r="328" spans="2:15" ht="15.75">
      <c r="B328" s="70" t="s">
        <v>772</v>
      </c>
      <c r="C328" s="77">
        <v>43911</v>
      </c>
      <c r="D328" s="70" t="s">
        <v>175</v>
      </c>
      <c r="E328" s="68" t="s">
        <v>134</v>
      </c>
      <c r="F328" s="68" t="s">
        <v>420</v>
      </c>
      <c r="G328" s="68" t="s">
        <v>494</v>
      </c>
      <c r="H328" s="68" t="s">
        <v>455</v>
      </c>
      <c r="I328" s="68" t="s">
        <v>1113</v>
      </c>
      <c r="J328" s="68">
        <v>37.14</v>
      </c>
      <c r="K328" s="68">
        <v>38.997</v>
      </c>
      <c r="L328" s="68">
        <v>5</v>
      </c>
      <c r="M328" s="68" t="s">
        <v>417</v>
      </c>
      <c r="N328" s="68">
        <v>5</v>
      </c>
      <c r="O328" s="68">
        <v>1.8569999999999993</v>
      </c>
    </row>
    <row r="329" spans="2:15" ht="15.75">
      <c r="B329" s="70" t="s">
        <v>773</v>
      </c>
      <c r="C329" s="77">
        <v>43912</v>
      </c>
      <c r="D329" s="70" t="s">
        <v>419</v>
      </c>
      <c r="E329" s="68" t="s">
        <v>131</v>
      </c>
      <c r="F329" s="68" t="s">
        <v>414</v>
      </c>
      <c r="G329" s="68" t="s">
        <v>415</v>
      </c>
      <c r="H329" s="68" t="s">
        <v>455</v>
      </c>
      <c r="I329" s="68" t="s">
        <v>1113</v>
      </c>
      <c r="J329" s="68">
        <v>36.979999999999997</v>
      </c>
      <c r="K329" s="68">
        <v>38.829000000000001</v>
      </c>
      <c r="L329" s="68">
        <v>10</v>
      </c>
      <c r="M329" s="68" t="s">
        <v>433</v>
      </c>
      <c r="N329" s="68">
        <v>7</v>
      </c>
      <c r="O329" s="68">
        <v>1.8490000000000038</v>
      </c>
    </row>
    <row r="330" spans="2:15" ht="15.75">
      <c r="B330" s="70" t="s">
        <v>774</v>
      </c>
      <c r="C330" s="77">
        <v>43913</v>
      </c>
      <c r="D330" s="70" t="s">
        <v>266</v>
      </c>
      <c r="E330" s="68" t="s">
        <v>135</v>
      </c>
      <c r="F330" s="68" t="s">
        <v>414</v>
      </c>
      <c r="G330" s="68" t="s">
        <v>415</v>
      </c>
      <c r="H330" s="68" t="s">
        <v>444</v>
      </c>
      <c r="I330" s="68" t="s">
        <v>1113</v>
      </c>
      <c r="J330" s="68">
        <v>49.49</v>
      </c>
      <c r="K330" s="68">
        <v>51.964500000000001</v>
      </c>
      <c r="L330" s="68">
        <v>4</v>
      </c>
      <c r="M330" s="68" t="s">
        <v>417</v>
      </c>
      <c r="N330" s="68">
        <v>6.6</v>
      </c>
      <c r="O330" s="68">
        <v>2.474499999999999</v>
      </c>
    </row>
    <row r="331" spans="2:15" ht="15.75">
      <c r="B331" s="70" t="s">
        <v>775</v>
      </c>
      <c r="C331" s="77">
        <v>43914</v>
      </c>
      <c r="D331" s="70" t="s">
        <v>266</v>
      </c>
      <c r="E331" s="68" t="s">
        <v>135</v>
      </c>
      <c r="F331" s="68" t="s">
        <v>414</v>
      </c>
      <c r="G331" s="68" t="s">
        <v>415</v>
      </c>
      <c r="H331" s="68" t="s">
        <v>459</v>
      </c>
      <c r="I331" s="68" t="s">
        <v>1115</v>
      </c>
      <c r="J331" s="68">
        <v>25.32</v>
      </c>
      <c r="K331" s="68">
        <v>26.585999999999999</v>
      </c>
      <c r="L331" s="68">
        <v>8</v>
      </c>
      <c r="M331" s="68" t="s">
        <v>417</v>
      </c>
      <c r="N331" s="68">
        <v>8.6999999999999993</v>
      </c>
      <c r="O331" s="68">
        <v>1.2659999999999982</v>
      </c>
    </row>
    <row r="332" spans="2:15" ht="15.75">
      <c r="B332" s="70" t="s">
        <v>776</v>
      </c>
      <c r="C332" s="77">
        <v>43915</v>
      </c>
      <c r="D332" s="70" t="s">
        <v>266</v>
      </c>
      <c r="E332" s="68" t="s">
        <v>135</v>
      </c>
      <c r="F332" s="68" t="s">
        <v>420</v>
      </c>
      <c r="G332" s="68" t="s">
        <v>494</v>
      </c>
      <c r="H332" s="68" t="s">
        <v>455</v>
      </c>
      <c r="I332" s="68" t="s">
        <v>1113</v>
      </c>
      <c r="J332" s="68">
        <v>75.92</v>
      </c>
      <c r="K332" s="68">
        <v>79.715999999999994</v>
      </c>
      <c r="L332" s="68">
        <v>8</v>
      </c>
      <c r="M332" s="68" t="s">
        <v>422</v>
      </c>
      <c r="N332" s="68">
        <v>5.5</v>
      </c>
      <c r="O332" s="68">
        <v>3.7959999999999923</v>
      </c>
    </row>
    <row r="333" spans="2:15" ht="15.75">
      <c r="B333" s="70" t="s">
        <v>777</v>
      </c>
      <c r="C333" s="77">
        <v>43916</v>
      </c>
      <c r="D333" s="70" t="s">
        <v>419</v>
      </c>
      <c r="E333" s="68" t="s">
        <v>131</v>
      </c>
      <c r="F333" s="68" t="s">
        <v>420</v>
      </c>
      <c r="G333" s="68" t="s">
        <v>415</v>
      </c>
      <c r="H333" s="68" t="s">
        <v>421</v>
      </c>
      <c r="I333" s="68" t="s">
        <v>1116</v>
      </c>
      <c r="J333" s="68">
        <v>63.22</v>
      </c>
      <c r="K333" s="68">
        <v>66.381</v>
      </c>
      <c r="L333" s="68">
        <v>2</v>
      </c>
      <c r="M333" s="68" t="s">
        <v>422</v>
      </c>
      <c r="N333" s="68">
        <v>8.5</v>
      </c>
      <c r="O333" s="68">
        <v>3.1610000000000014</v>
      </c>
    </row>
    <row r="334" spans="2:15" ht="15.75">
      <c r="B334" s="70" t="s">
        <v>778</v>
      </c>
      <c r="C334" s="77">
        <v>43917</v>
      </c>
      <c r="D334" s="70" t="s">
        <v>419</v>
      </c>
      <c r="E334" s="68" t="s">
        <v>131</v>
      </c>
      <c r="F334" s="68" t="s">
        <v>420</v>
      </c>
      <c r="G334" s="68" t="s">
        <v>415</v>
      </c>
      <c r="H334" s="68" t="s">
        <v>476</v>
      </c>
      <c r="I334" s="68" t="s">
        <v>1114</v>
      </c>
      <c r="J334" s="68">
        <v>90.24</v>
      </c>
      <c r="K334" s="68">
        <v>94.751999999999995</v>
      </c>
      <c r="L334" s="68">
        <v>6</v>
      </c>
      <c r="M334" s="68" t="s">
        <v>422</v>
      </c>
      <c r="N334" s="68">
        <v>6.2</v>
      </c>
      <c r="O334" s="68">
        <v>4.5120000000000005</v>
      </c>
    </row>
    <row r="335" spans="2:15" ht="15.75">
      <c r="B335" s="70" t="s">
        <v>779</v>
      </c>
      <c r="C335" s="77">
        <v>43918</v>
      </c>
      <c r="D335" s="70" t="s">
        <v>266</v>
      </c>
      <c r="E335" s="68" t="s">
        <v>135</v>
      </c>
      <c r="F335" s="68" t="s">
        <v>414</v>
      </c>
      <c r="G335" s="68" t="s">
        <v>415</v>
      </c>
      <c r="H335" s="68" t="s">
        <v>455</v>
      </c>
      <c r="I335" s="68" t="s">
        <v>1113</v>
      </c>
      <c r="J335" s="68">
        <v>98.13</v>
      </c>
      <c r="K335" s="68">
        <v>103.0365</v>
      </c>
      <c r="L335" s="68">
        <v>1</v>
      </c>
      <c r="M335" s="68" t="s">
        <v>422</v>
      </c>
      <c r="N335" s="68">
        <v>8.9</v>
      </c>
      <c r="O335" s="68">
        <v>4.9065000000000083</v>
      </c>
    </row>
    <row r="336" spans="2:15" ht="15.75">
      <c r="B336" s="70" t="s">
        <v>780</v>
      </c>
      <c r="C336" s="77">
        <v>43919</v>
      </c>
      <c r="D336" s="70" t="s">
        <v>175</v>
      </c>
      <c r="E336" s="68" t="s">
        <v>134</v>
      </c>
      <c r="F336" s="68" t="s">
        <v>414</v>
      </c>
      <c r="G336" s="68" t="s">
        <v>415</v>
      </c>
      <c r="H336" s="68" t="s">
        <v>455</v>
      </c>
      <c r="I336" s="68" t="s">
        <v>1113</v>
      </c>
      <c r="J336" s="68">
        <v>51.52</v>
      </c>
      <c r="K336" s="68">
        <v>54.095999999999997</v>
      </c>
      <c r="L336" s="68">
        <v>8</v>
      </c>
      <c r="M336" s="68" t="s">
        <v>422</v>
      </c>
      <c r="N336" s="68">
        <v>9.6</v>
      </c>
      <c r="O336" s="68">
        <v>2.5759999999999934</v>
      </c>
    </row>
    <row r="337" spans="2:15" ht="15.75">
      <c r="B337" s="70" t="s">
        <v>781</v>
      </c>
      <c r="C337" s="77">
        <v>43920</v>
      </c>
      <c r="D337" s="70" t="s">
        <v>266</v>
      </c>
      <c r="E337" s="68" t="s">
        <v>135</v>
      </c>
      <c r="F337" s="68" t="s">
        <v>414</v>
      </c>
      <c r="G337" s="68" t="s">
        <v>494</v>
      </c>
      <c r="H337" s="68" t="s">
        <v>426</v>
      </c>
      <c r="I337" s="68" t="s">
        <v>1113</v>
      </c>
      <c r="J337" s="68">
        <v>73.97</v>
      </c>
      <c r="K337" s="68">
        <v>77.668499999999995</v>
      </c>
      <c r="L337" s="68">
        <v>1</v>
      </c>
      <c r="M337" s="68" t="s">
        <v>433</v>
      </c>
      <c r="N337" s="68">
        <v>5.4</v>
      </c>
      <c r="O337" s="68">
        <v>3.6984999999999957</v>
      </c>
    </row>
    <row r="338" spans="2:15" ht="15.75">
      <c r="B338" s="70" t="s">
        <v>782</v>
      </c>
      <c r="C338" s="77">
        <v>43921</v>
      </c>
      <c r="D338" s="70" t="s">
        <v>266</v>
      </c>
      <c r="E338" s="68" t="s">
        <v>135</v>
      </c>
      <c r="F338" s="68" t="s">
        <v>420</v>
      </c>
      <c r="G338" s="68" t="s">
        <v>415</v>
      </c>
      <c r="H338" s="68" t="s">
        <v>455</v>
      </c>
      <c r="I338" s="68" t="s">
        <v>1113</v>
      </c>
      <c r="J338" s="68">
        <v>93.31</v>
      </c>
      <c r="K338" s="68">
        <v>97.975499999999997</v>
      </c>
      <c r="L338" s="68">
        <v>2</v>
      </c>
      <c r="M338" s="68" t="s">
        <v>422</v>
      </c>
      <c r="N338" s="68">
        <v>6.3</v>
      </c>
      <c r="O338" s="68">
        <v>4.6654999999999944</v>
      </c>
    </row>
    <row r="339" spans="2:15" ht="15.75">
      <c r="B339" s="70" t="s">
        <v>783</v>
      </c>
      <c r="C339" s="77">
        <v>43922</v>
      </c>
      <c r="D339" s="70" t="s">
        <v>266</v>
      </c>
      <c r="E339" s="68" t="s">
        <v>135</v>
      </c>
      <c r="F339" s="68" t="s">
        <v>420</v>
      </c>
      <c r="G339" s="68" t="s">
        <v>494</v>
      </c>
      <c r="H339" s="68" t="s">
        <v>455</v>
      </c>
      <c r="I339" s="68" t="s">
        <v>1113</v>
      </c>
      <c r="J339" s="68">
        <v>88.45</v>
      </c>
      <c r="K339" s="68">
        <v>92.872500000000002</v>
      </c>
      <c r="L339" s="68">
        <v>1</v>
      </c>
      <c r="M339" s="68" t="s">
        <v>433</v>
      </c>
      <c r="N339" s="68">
        <v>9.5</v>
      </c>
      <c r="O339" s="68">
        <v>4.4224999999999994</v>
      </c>
    </row>
    <row r="340" spans="2:15" ht="15.75">
      <c r="B340" s="70" t="s">
        <v>784</v>
      </c>
      <c r="C340" s="77">
        <v>43923</v>
      </c>
      <c r="D340" s="70" t="s">
        <v>175</v>
      </c>
      <c r="E340" s="68" t="s">
        <v>134</v>
      </c>
      <c r="F340" s="68" t="s">
        <v>414</v>
      </c>
      <c r="G340" s="68" t="s">
        <v>494</v>
      </c>
      <c r="H340" s="68" t="s">
        <v>421</v>
      </c>
      <c r="I340" s="68" t="s">
        <v>1116</v>
      </c>
      <c r="J340" s="68">
        <v>24.18</v>
      </c>
      <c r="K340" s="68">
        <v>25.388999999999999</v>
      </c>
      <c r="L340" s="68">
        <v>8</v>
      </c>
      <c r="M340" s="68" t="s">
        <v>417</v>
      </c>
      <c r="N340" s="68">
        <v>9.8000000000000007</v>
      </c>
      <c r="O340" s="68">
        <v>1.2089999999999996</v>
      </c>
    </row>
    <row r="341" spans="2:15" ht="15.75">
      <c r="B341" s="70" t="s">
        <v>785</v>
      </c>
      <c r="C341" s="77">
        <v>43924</v>
      </c>
      <c r="D341" s="70" t="s">
        <v>266</v>
      </c>
      <c r="E341" s="68" t="s">
        <v>135</v>
      </c>
      <c r="F341" s="68" t="s">
        <v>414</v>
      </c>
      <c r="G341" s="68" t="s">
        <v>415</v>
      </c>
      <c r="H341" s="68" t="s">
        <v>455</v>
      </c>
      <c r="I341" s="68" t="s">
        <v>1113</v>
      </c>
      <c r="J341" s="68">
        <v>48.5</v>
      </c>
      <c r="K341" s="68">
        <v>50.925000000000004</v>
      </c>
      <c r="L341" s="68">
        <v>3</v>
      </c>
      <c r="M341" s="68" t="s">
        <v>422</v>
      </c>
      <c r="N341" s="68">
        <v>6.7</v>
      </c>
      <c r="O341" s="68">
        <v>2.4250000000000043</v>
      </c>
    </row>
    <row r="342" spans="2:15" ht="15.75">
      <c r="B342" s="70" t="s">
        <v>786</v>
      </c>
      <c r="C342" s="77">
        <v>43925</v>
      </c>
      <c r="D342" s="70" t="s">
        <v>266</v>
      </c>
      <c r="E342" s="68" t="s">
        <v>135</v>
      </c>
      <c r="F342" s="68" t="s">
        <v>420</v>
      </c>
      <c r="G342" s="68" t="s">
        <v>415</v>
      </c>
      <c r="H342" s="68" t="s">
        <v>476</v>
      </c>
      <c r="I342" s="68" t="s">
        <v>1114</v>
      </c>
      <c r="J342" s="68">
        <v>84.05</v>
      </c>
      <c r="K342" s="68">
        <v>88.252499999999998</v>
      </c>
      <c r="L342" s="68">
        <v>6</v>
      </c>
      <c r="M342" s="68" t="s">
        <v>433</v>
      </c>
      <c r="N342" s="68">
        <v>7.7</v>
      </c>
      <c r="O342" s="68">
        <v>4.2025000000000006</v>
      </c>
    </row>
    <row r="343" spans="2:15" ht="15.75">
      <c r="B343" s="70" t="s">
        <v>787</v>
      </c>
      <c r="C343" s="77">
        <v>43926</v>
      </c>
      <c r="D343" s="70" t="s">
        <v>266</v>
      </c>
      <c r="E343" s="68" t="s">
        <v>135</v>
      </c>
      <c r="F343" s="68" t="s">
        <v>414</v>
      </c>
      <c r="G343" s="68" t="s">
        <v>494</v>
      </c>
      <c r="H343" s="68" t="s">
        <v>459</v>
      </c>
      <c r="I343" s="68" t="s">
        <v>1115</v>
      </c>
      <c r="J343" s="68">
        <v>61.29</v>
      </c>
      <c r="K343" s="68">
        <v>64.354500000000002</v>
      </c>
      <c r="L343" s="68">
        <v>5</v>
      </c>
      <c r="M343" s="68" t="s">
        <v>422</v>
      </c>
      <c r="N343" s="68">
        <v>7</v>
      </c>
      <c r="O343" s="68">
        <v>3.0645000000000024</v>
      </c>
    </row>
    <row r="344" spans="2:15" ht="15.75">
      <c r="B344" s="70" t="s">
        <v>788</v>
      </c>
      <c r="C344" s="77">
        <v>43927</v>
      </c>
      <c r="D344" s="70" t="s">
        <v>266</v>
      </c>
      <c r="E344" s="68" t="s">
        <v>135</v>
      </c>
      <c r="F344" s="68" t="s">
        <v>414</v>
      </c>
      <c r="G344" s="68" t="s">
        <v>415</v>
      </c>
      <c r="H344" s="68" t="s">
        <v>455</v>
      </c>
      <c r="I344" s="68" t="s">
        <v>1113</v>
      </c>
      <c r="J344" s="68">
        <v>90.74</v>
      </c>
      <c r="K344" s="68">
        <v>95.277000000000001</v>
      </c>
      <c r="L344" s="68">
        <v>7</v>
      </c>
      <c r="M344" s="68" t="s">
        <v>433</v>
      </c>
      <c r="N344" s="68">
        <v>6.2</v>
      </c>
      <c r="O344" s="68">
        <v>4.5370000000000061</v>
      </c>
    </row>
    <row r="345" spans="2:15" ht="15.75">
      <c r="B345" s="70" t="s">
        <v>789</v>
      </c>
      <c r="C345" s="77">
        <v>43928</v>
      </c>
      <c r="D345" s="70" t="s">
        <v>175</v>
      </c>
      <c r="E345" s="68" t="s">
        <v>134</v>
      </c>
      <c r="F345" s="68" t="s">
        <v>420</v>
      </c>
      <c r="G345" s="68" t="s">
        <v>494</v>
      </c>
      <c r="H345" s="68" t="s">
        <v>421</v>
      </c>
      <c r="I345" s="68" t="s">
        <v>1116</v>
      </c>
      <c r="J345" s="68">
        <v>99.55</v>
      </c>
      <c r="K345" s="68">
        <v>104.5275</v>
      </c>
      <c r="L345" s="68">
        <v>7</v>
      </c>
      <c r="M345" s="68" t="s">
        <v>422</v>
      </c>
      <c r="N345" s="68">
        <v>7.6</v>
      </c>
      <c r="O345" s="68">
        <v>4.9775000000000063</v>
      </c>
    </row>
    <row r="346" spans="2:15" ht="15.75">
      <c r="B346" s="70" t="s">
        <v>790</v>
      </c>
      <c r="C346" s="77">
        <v>43929</v>
      </c>
      <c r="D346" s="70" t="s">
        <v>419</v>
      </c>
      <c r="E346" s="68" t="s">
        <v>131</v>
      </c>
      <c r="F346" s="68" t="s">
        <v>414</v>
      </c>
      <c r="G346" s="68" t="s">
        <v>494</v>
      </c>
      <c r="H346" s="68" t="s">
        <v>455</v>
      </c>
      <c r="I346" s="68" t="s">
        <v>1113</v>
      </c>
      <c r="J346" s="68">
        <v>58.39</v>
      </c>
      <c r="K346" s="68">
        <v>61.3095</v>
      </c>
      <c r="L346" s="68">
        <v>7</v>
      </c>
      <c r="M346" s="68" t="s">
        <v>433</v>
      </c>
      <c r="N346" s="68">
        <v>8.1999999999999993</v>
      </c>
      <c r="O346" s="68">
        <v>2.9194999999999993</v>
      </c>
    </row>
    <row r="347" spans="2:15" ht="15.75">
      <c r="B347" s="70" t="s">
        <v>791</v>
      </c>
      <c r="C347" s="77">
        <v>43930</v>
      </c>
      <c r="D347" s="70" t="s">
        <v>266</v>
      </c>
      <c r="E347" s="68" t="s">
        <v>135</v>
      </c>
      <c r="F347" s="68" t="s">
        <v>414</v>
      </c>
      <c r="G347" s="68" t="s">
        <v>494</v>
      </c>
      <c r="H347" s="68" t="s">
        <v>465</v>
      </c>
      <c r="I347" s="68" t="s">
        <v>1115</v>
      </c>
      <c r="J347" s="68">
        <v>54.86</v>
      </c>
      <c r="K347" s="68">
        <v>57.602999999999994</v>
      </c>
      <c r="L347" s="68">
        <v>5</v>
      </c>
      <c r="M347" s="68" t="s">
        <v>417</v>
      </c>
      <c r="N347" s="68">
        <v>9.8000000000000007</v>
      </c>
      <c r="O347" s="68">
        <v>2.742999999999995</v>
      </c>
    </row>
    <row r="348" spans="2:15" ht="15.75">
      <c r="B348" s="70" t="s">
        <v>792</v>
      </c>
      <c r="C348" s="77">
        <v>43931</v>
      </c>
      <c r="D348" s="70" t="s">
        <v>419</v>
      </c>
      <c r="E348" s="68" t="s">
        <v>131</v>
      </c>
      <c r="F348" s="68" t="s">
        <v>414</v>
      </c>
      <c r="G348" s="68" t="s">
        <v>494</v>
      </c>
      <c r="H348" s="68" t="s">
        <v>455</v>
      </c>
      <c r="I348" s="68" t="s">
        <v>1113</v>
      </c>
      <c r="J348" s="68">
        <v>71.92</v>
      </c>
      <c r="K348" s="68">
        <v>75.515999999999991</v>
      </c>
      <c r="L348" s="68">
        <v>5</v>
      </c>
      <c r="M348" s="68" t="s">
        <v>433</v>
      </c>
      <c r="N348" s="68">
        <v>4.3</v>
      </c>
      <c r="O348" s="68">
        <v>3.5959999999999894</v>
      </c>
    </row>
    <row r="349" spans="2:15" ht="15.75">
      <c r="B349" s="70" t="s">
        <v>793</v>
      </c>
      <c r="C349" s="77">
        <v>43932</v>
      </c>
      <c r="D349" s="70" t="s">
        <v>266</v>
      </c>
      <c r="E349" s="68" t="s">
        <v>135</v>
      </c>
      <c r="F349" s="68" t="s">
        <v>420</v>
      </c>
      <c r="G349" s="68" t="s">
        <v>415</v>
      </c>
      <c r="H349" s="68" t="s">
        <v>499</v>
      </c>
      <c r="I349" s="68" t="s">
        <v>1116</v>
      </c>
      <c r="J349" s="68">
        <v>45.71</v>
      </c>
      <c r="K349" s="68">
        <v>47.9955</v>
      </c>
      <c r="L349" s="68">
        <v>3</v>
      </c>
      <c r="M349" s="68" t="s">
        <v>433</v>
      </c>
      <c r="N349" s="68">
        <v>7.7</v>
      </c>
      <c r="O349" s="68">
        <v>2.285499999999999</v>
      </c>
    </row>
    <row r="350" spans="2:15" ht="15.75">
      <c r="B350" s="70" t="s">
        <v>794</v>
      </c>
      <c r="C350" s="77">
        <v>43933</v>
      </c>
      <c r="D350" s="70" t="s">
        <v>419</v>
      </c>
      <c r="E350" s="68" t="s">
        <v>131</v>
      </c>
      <c r="F350" s="68" t="s">
        <v>420</v>
      </c>
      <c r="G350" s="68" t="s">
        <v>494</v>
      </c>
      <c r="H350" s="68" t="s">
        <v>465</v>
      </c>
      <c r="I350" s="68" t="s">
        <v>1115</v>
      </c>
      <c r="J350" s="68">
        <v>62.87</v>
      </c>
      <c r="K350" s="68">
        <v>66.013499999999993</v>
      </c>
      <c r="L350" s="68">
        <v>2</v>
      </c>
      <c r="M350" s="68" t="s">
        <v>422</v>
      </c>
      <c r="N350" s="68">
        <v>5</v>
      </c>
      <c r="O350" s="68">
        <v>3.143499999999996</v>
      </c>
    </row>
    <row r="351" spans="2:15" ht="15.75">
      <c r="B351" s="70" t="s">
        <v>795</v>
      </c>
      <c r="C351" s="77">
        <v>43934</v>
      </c>
      <c r="D351" s="70" t="s">
        <v>175</v>
      </c>
      <c r="E351" s="68" t="s">
        <v>134</v>
      </c>
      <c r="F351" s="68" t="s">
        <v>420</v>
      </c>
      <c r="G351" s="68" t="s">
        <v>494</v>
      </c>
      <c r="H351" s="68" t="s">
        <v>476</v>
      </c>
      <c r="I351" s="68" t="s">
        <v>1114</v>
      </c>
      <c r="J351" s="68">
        <v>81.709999999999994</v>
      </c>
      <c r="K351" s="68">
        <v>85.795500000000004</v>
      </c>
      <c r="L351" s="68">
        <v>6</v>
      </c>
      <c r="M351" s="68" t="s">
        <v>433</v>
      </c>
      <c r="N351" s="68">
        <v>8</v>
      </c>
      <c r="O351" s="68">
        <v>4.0855000000000103</v>
      </c>
    </row>
    <row r="352" spans="2:15" ht="15.75">
      <c r="B352" s="70" t="s">
        <v>796</v>
      </c>
      <c r="C352" s="77">
        <v>43935</v>
      </c>
      <c r="D352" s="70" t="s">
        <v>175</v>
      </c>
      <c r="E352" s="68" t="s">
        <v>134</v>
      </c>
      <c r="F352" s="68" t="s">
        <v>414</v>
      </c>
      <c r="G352" s="68" t="s">
        <v>415</v>
      </c>
      <c r="H352" s="68" t="s">
        <v>426</v>
      </c>
      <c r="I352" s="68" t="s">
        <v>1113</v>
      </c>
      <c r="J352" s="68">
        <v>91.41</v>
      </c>
      <c r="K352" s="68">
        <v>95.980499999999992</v>
      </c>
      <c r="L352" s="68">
        <v>5</v>
      </c>
      <c r="M352" s="68" t="s">
        <v>417</v>
      </c>
      <c r="N352" s="68">
        <v>7.1</v>
      </c>
      <c r="O352" s="68">
        <v>4.5704999999999956</v>
      </c>
    </row>
    <row r="353" spans="2:15" ht="15.75">
      <c r="B353" s="70" t="s">
        <v>797</v>
      </c>
      <c r="C353" s="77">
        <v>43936</v>
      </c>
      <c r="D353" s="70" t="s">
        <v>266</v>
      </c>
      <c r="E353" s="68" t="s">
        <v>135</v>
      </c>
      <c r="F353" s="68" t="s">
        <v>414</v>
      </c>
      <c r="G353" s="68" t="s">
        <v>415</v>
      </c>
      <c r="H353" s="68" t="s">
        <v>476</v>
      </c>
      <c r="I353" s="68" t="s">
        <v>1114</v>
      </c>
      <c r="J353" s="68">
        <v>54.36</v>
      </c>
      <c r="K353" s="68">
        <v>57.077999999999996</v>
      </c>
      <c r="L353" s="68">
        <v>10</v>
      </c>
      <c r="M353" s="68" t="s">
        <v>433</v>
      </c>
      <c r="N353" s="68">
        <v>6.1</v>
      </c>
      <c r="O353" s="68">
        <v>2.7179999999999964</v>
      </c>
    </row>
    <row r="354" spans="2:15" ht="15.75">
      <c r="B354" s="70" t="s">
        <v>798</v>
      </c>
      <c r="C354" s="77">
        <v>43937</v>
      </c>
      <c r="D354" s="70" t="s">
        <v>175</v>
      </c>
      <c r="E354" s="68" t="s">
        <v>134</v>
      </c>
      <c r="F354" s="68" t="s">
        <v>420</v>
      </c>
      <c r="G354" s="68" t="s">
        <v>494</v>
      </c>
      <c r="H354" s="68" t="s">
        <v>426</v>
      </c>
      <c r="I354" s="68" t="s">
        <v>1113</v>
      </c>
      <c r="J354" s="68">
        <v>98.09</v>
      </c>
      <c r="K354" s="68">
        <v>102.9945</v>
      </c>
      <c r="L354" s="68">
        <v>9</v>
      </c>
      <c r="M354" s="68" t="s">
        <v>422</v>
      </c>
      <c r="N354" s="68">
        <v>9.3000000000000007</v>
      </c>
      <c r="O354" s="68">
        <v>4.9044999999999987</v>
      </c>
    </row>
    <row r="355" spans="2:15" ht="15.75">
      <c r="B355" s="70" t="s">
        <v>799</v>
      </c>
      <c r="C355" s="77">
        <v>43938</v>
      </c>
      <c r="D355" s="70" t="s">
        <v>175</v>
      </c>
      <c r="E355" s="68" t="s">
        <v>134</v>
      </c>
      <c r="F355" s="68" t="s">
        <v>420</v>
      </c>
      <c r="G355" s="68" t="s">
        <v>494</v>
      </c>
      <c r="H355" s="68" t="s">
        <v>432</v>
      </c>
      <c r="I355" s="68" t="s">
        <v>1115</v>
      </c>
      <c r="J355" s="68">
        <v>25.43</v>
      </c>
      <c r="K355" s="68">
        <v>26.701499999999999</v>
      </c>
      <c r="L355" s="68">
        <v>6</v>
      </c>
      <c r="M355" s="68" t="s">
        <v>417</v>
      </c>
      <c r="N355" s="68">
        <v>7</v>
      </c>
      <c r="O355" s="68">
        <v>1.2714999999999996</v>
      </c>
    </row>
    <row r="356" spans="2:15" ht="15.75">
      <c r="B356" s="70" t="s">
        <v>800</v>
      </c>
      <c r="C356" s="77">
        <v>43939</v>
      </c>
      <c r="D356" s="70" t="s">
        <v>266</v>
      </c>
      <c r="E356" s="68" t="s">
        <v>135</v>
      </c>
      <c r="F356" s="68" t="s">
        <v>420</v>
      </c>
      <c r="G356" s="68" t="s">
        <v>494</v>
      </c>
      <c r="H356" s="68" t="s">
        <v>421</v>
      </c>
      <c r="I356" s="68" t="s">
        <v>1116</v>
      </c>
      <c r="J356" s="68">
        <v>22.95</v>
      </c>
      <c r="K356" s="68">
        <v>24.0975</v>
      </c>
      <c r="L356" s="68">
        <v>10</v>
      </c>
      <c r="M356" s="68" t="s">
        <v>417</v>
      </c>
      <c r="N356" s="68">
        <v>8.1999999999999993</v>
      </c>
      <c r="O356" s="68">
        <v>1.1475000000000009</v>
      </c>
    </row>
    <row r="357" spans="2:15" ht="15.75">
      <c r="B357" s="70" t="s">
        <v>801</v>
      </c>
      <c r="C357" s="77">
        <v>43940</v>
      </c>
      <c r="D357" s="70" t="s">
        <v>419</v>
      </c>
      <c r="E357" s="68" t="s">
        <v>131</v>
      </c>
      <c r="F357" s="68" t="s">
        <v>420</v>
      </c>
      <c r="G357" s="68" t="s">
        <v>415</v>
      </c>
      <c r="H357" s="68" t="s">
        <v>476</v>
      </c>
      <c r="I357" s="68" t="s">
        <v>1114</v>
      </c>
      <c r="J357" s="68">
        <v>16.309999999999999</v>
      </c>
      <c r="K357" s="68">
        <v>17.125500000000002</v>
      </c>
      <c r="L357" s="68">
        <v>9</v>
      </c>
      <c r="M357" s="68" t="s">
        <v>417</v>
      </c>
      <c r="N357" s="68">
        <v>8.4</v>
      </c>
      <c r="O357" s="68">
        <v>0.81550000000000367</v>
      </c>
    </row>
    <row r="358" spans="2:15" ht="15.75">
      <c r="B358" s="70" t="s">
        <v>802</v>
      </c>
      <c r="C358" s="77">
        <v>43941</v>
      </c>
      <c r="D358" s="70" t="s">
        <v>419</v>
      </c>
      <c r="E358" s="68" t="s">
        <v>131</v>
      </c>
      <c r="F358" s="68" t="s">
        <v>414</v>
      </c>
      <c r="G358" s="68" t="s">
        <v>415</v>
      </c>
      <c r="H358" s="68" t="s">
        <v>457</v>
      </c>
      <c r="I358" s="68" t="s">
        <v>1114</v>
      </c>
      <c r="J358" s="68">
        <v>87.48</v>
      </c>
      <c r="K358" s="68">
        <v>91.853999999999999</v>
      </c>
      <c r="L358" s="68">
        <v>6</v>
      </c>
      <c r="M358" s="68" t="s">
        <v>417</v>
      </c>
      <c r="N358" s="68">
        <v>5.0999999999999996</v>
      </c>
      <c r="O358" s="68">
        <v>4.3739999999999952</v>
      </c>
    </row>
    <row r="359" spans="2:15" ht="15.75">
      <c r="B359" s="70" t="s">
        <v>803</v>
      </c>
      <c r="C359" s="77">
        <v>43942</v>
      </c>
      <c r="D359" s="70" t="s">
        <v>419</v>
      </c>
      <c r="E359" s="68" t="s">
        <v>131</v>
      </c>
      <c r="F359" s="68" t="s">
        <v>414</v>
      </c>
      <c r="G359" s="68" t="s">
        <v>494</v>
      </c>
      <c r="H359" s="68" t="s">
        <v>446</v>
      </c>
      <c r="I359" s="68" t="s">
        <v>1115</v>
      </c>
      <c r="J359" s="68">
        <v>75.88</v>
      </c>
      <c r="K359" s="68">
        <v>79.674000000000007</v>
      </c>
      <c r="L359" s="68">
        <v>1</v>
      </c>
      <c r="M359" s="68" t="s">
        <v>433</v>
      </c>
      <c r="N359" s="68">
        <v>7.1</v>
      </c>
      <c r="O359" s="68">
        <v>3.7940000000000111</v>
      </c>
    </row>
    <row r="360" spans="2:15" ht="15.75">
      <c r="B360" s="70" t="s">
        <v>804</v>
      </c>
      <c r="C360" s="77">
        <v>43943</v>
      </c>
      <c r="D360" s="70" t="s">
        <v>266</v>
      </c>
      <c r="E360" s="68" t="s">
        <v>135</v>
      </c>
      <c r="F360" s="68" t="s">
        <v>414</v>
      </c>
      <c r="G360" s="68" t="s">
        <v>415</v>
      </c>
      <c r="H360" s="68" t="s">
        <v>426</v>
      </c>
      <c r="I360" s="68" t="s">
        <v>1113</v>
      </c>
      <c r="J360" s="68">
        <v>20.18</v>
      </c>
      <c r="K360" s="68">
        <v>21.189</v>
      </c>
      <c r="L360" s="68">
        <v>4</v>
      </c>
      <c r="M360" s="68" t="s">
        <v>433</v>
      </c>
      <c r="N360" s="68">
        <v>5</v>
      </c>
      <c r="O360" s="68">
        <v>1.0090000000000003</v>
      </c>
    </row>
    <row r="361" spans="2:15" ht="15.75">
      <c r="B361" s="70" t="s">
        <v>805</v>
      </c>
      <c r="C361" s="77">
        <v>43944</v>
      </c>
      <c r="D361" s="70" t="s">
        <v>419</v>
      </c>
      <c r="E361" s="68" t="s">
        <v>131</v>
      </c>
      <c r="F361" s="68" t="s">
        <v>414</v>
      </c>
      <c r="G361" s="68" t="s">
        <v>494</v>
      </c>
      <c r="H361" s="68" t="s">
        <v>421</v>
      </c>
      <c r="I361" s="68" t="s">
        <v>1116</v>
      </c>
      <c r="J361" s="68">
        <v>18.77</v>
      </c>
      <c r="K361" s="68">
        <v>19.708500000000001</v>
      </c>
      <c r="L361" s="68">
        <v>6</v>
      </c>
      <c r="M361" s="68" t="s">
        <v>433</v>
      </c>
      <c r="N361" s="68">
        <v>5.5</v>
      </c>
      <c r="O361" s="68">
        <v>0.93850000000000122</v>
      </c>
    </row>
    <row r="362" spans="2:15" ht="15.75">
      <c r="B362" s="70" t="s">
        <v>806</v>
      </c>
      <c r="C362" s="77">
        <v>43945</v>
      </c>
      <c r="D362" s="70" t="s">
        <v>266</v>
      </c>
      <c r="E362" s="68" t="s">
        <v>135</v>
      </c>
      <c r="F362" s="68" t="s">
        <v>420</v>
      </c>
      <c r="G362" s="68" t="s">
        <v>415</v>
      </c>
      <c r="H362" s="68" t="s">
        <v>457</v>
      </c>
      <c r="I362" s="68" t="s">
        <v>1114</v>
      </c>
      <c r="J362" s="68">
        <v>71.2</v>
      </c>
      <c r="K362" s="68">
        <v>74.760000000000005</v>
      </c>
      <c r="L362" s="68">
        <v>1</v>
      </c>
      <c r="M362" s="68" t="s">
        <v>433</v>
      </c>
      <c r="N362" s="68">
        <v>9.1999999999999993</v>
      </c>
      <c r="O362" s="68">
        <v>3.5600000000000023</v>
      </c>
    </row>
    <row r="363" spans="2:15" ht="15.75">
      <c r="B363" s="70" t="s">
        <v>807</v>
      </c>
      <c r="C363" s="77">
        <v>43946</v>
      </c>
      <c r="D363" s="70" t="s">
        <v>175</v>
      </c>
      <c r="E363" s="68" t="s">
        <v>134</v>
      </c>
      <c r="F363" s="68" t="s">
        <v>420</v>
      </c>
      <c r="G363" s="68" t="s">
        <v>494</v>
      </c>
      <c r="H363" s="68" t="s">
        <v>444</v>
      </c>
      <c r="I363" s="68" t="s">
        <v>1113</v>
      </c>
      <c r="J363" s="68">
        <v>60.95</v>
      </c>
      <c r="K363" s="68">
        <v>63.997499999999995</v>
      </c>
      <c r="L363" s="68">
        <v>9</v>
      </c>
      <c r="M363" s="68" t="s">
        <v>433</v>
      </c>
      <c r="N363" s="68">
        <v>6</v>
      </c>
      <c r="O363" s="68">
        <v>3.0474999999999923</v>
      </c>
    </row>
    <row r="364" spans="2:15" ht="15.75">
      <c r="B364" s="70" t="s">
        <v>808</v>
      </c>
      <c r="C364" s="77">
        <v>43947</v>
      </c>
      <c r="D364" s="70" t="s">
        <v>266</v>
      </c>
      <c r="E364" s="68" t="s">
        <v>135</v>
      </c>
      <c r="F364" s="68" t="s">
        <v>420</v>
      </c>
      <c r="G364" s="68" t="s">
        <v>415</v>
      </c>
      <c r="H364" s="68" t="s">
        <v>426</v>
      </c>
      <c r="I364" s="68" t="s">
        <v>1113</v>
      </c>
      <c r="J364" s="68">
        <v>51.54</v>
      </c>
      <c r="K364" s="68">
        <v>54.116999999999997</v>
      </c>
      <c r="L364" s="68">
        <v>5</v>
      </c>
      <c r="M364" s="68" t="s">
        <v>422</v>
      </c>
      <c r="N364" s="68">
        <v>4.2</v>
      </c>
      <c r="O364" s="68">
        <v>2.5769999999999982</v>
      </c>
    </row>
    <row r="365" spans="2:15" ht="15.75">
      <c r="B365" s="70" t="s">
        <v>809</v>
      </c>
      <c r="C365" s="77">
        <v>43948</v>
      </c>
      <c r="D365" s="70" t="s">
        <v>175</v>
      </c>
      <c r="E365" s="68" t="s">
        <v>134</v>
      </c>
      <c r="F365" s="68" t="s">
        <v>420</v>
      </c>
      <c r="G365" s="68" t="s">
        <v>415</v>
      </c>
      <c r="H365" s="68" t="s">
        <v>499</v>
      </c>
      <c r="I365" s="68" t="s">
        <v>1116</v>
      </c>
      <c r="J365" s="68">
        <v>66.06</v>
      </c>
      <c r="K365" s="68">
        <v>69.363</v>
      </c>
      <c r="L365" s="68">
        <v>6</v>
      </c>
      <c r="M365" s="68" t="s">
        <v>422</v>
      </c>
      <c r="N365" s="68">
        <v>7.3</v>
      </c>
      <c r="O365" s="68">
        <v>3.3029999999999973</v>
      </c>
    </row>
    <row r="366" spans="2:15" ht="15.75">
      <c r="B366" s="70" t="s">
        <v>810</v>
      </c>
      <c r="C366" s="77">
        <v>43949</v>
      </c>
      <c r="D366" s="70" t="s">
        <v>266</v>
      </c>
      <c r="E366" s="68" t="s">
        <v>135</v>
      </c>
      <c r="F366" s="68" t="s">
        <v>420</v>
      </c>
      <c r="G366" s="68" t="s">
        <v>415</v>
      </c>
      <c r="H366" s="68" t="s">
        <v>442</v>
      </c>
      <c r="I366" s="68" t="s">
        <v>1115</v>
      </c>
      <c r="J366" s="68">
        <v>58.24</v>
      </c>
      <c r="K366" s="68">
        <v>61.152000000000008</v>
      </c>
      <c r="L366" s="68">
        <v>9</v>
      </c>
      <c r="M366" s="68" t="s">
        <v>422</v>
      </c>
      <c r="N366" s="68">
        <v>9.6999999999999993</v>
      </c>
      <c r="O366" s="68">
        <v>2.9120000000000061</v>
      </c>
    </row>
    <row r="367" spans="2:15" ht="15.75">
      <c r="B367" s="70" t="s">
        <v>811</v>
      </c>
      <c r="C367" s="77">
        <v>43950</v>
      </c>
      <c r="D367" s="70" t="s">
        <v>419</v>
      </c>
      <c r="E367" s="68" t="s">
        <v>131</v>
      </c>
      <c r="F367" s="68" t="s">
        <v>420</v>
      </c>
      <c r="G367" s="68" t="s">
        <v>494</v>
      </c>
      <c r="H367" s="68" t="s">
        <v>421</v>
      </c>
      <c r="I367" s="68" t="s">
        <v>1116</v>
      </c>
      <c r="J367" s="68">
        <v>22.21</v>
      </c>
      <c r="K367" s="68">
        <v>23.320499999999999</v>
      </c>
      <c r="L367" s="68">
        <v>6</v>
      </c>
      <c r="M367" s="68" t="s">
        <v>433</v>
      </c>
      <c r="N367" s="68">
        <v>8.6</v>
      </c>
      <c r="O367" s="68">
        <v>1.1104999999999983</v>
      </c>
    </row>
    <row r="368" spans="2:15" ht="15.75">
      <c r="B368" s="70" t="s">
        <v>812</v>
      </c>
      <c r="C368" s="77">
        <v>43951</v>
      </c>
      <c r="D368" s="70" t="s">
        <v>175</v>
      </c>
      <c r="E368" s="68" t="s">
        <v>134</v>
      </c>
      <c r="F368" s="68" t="s">
        <v>414</v>
      </c>
      <c r="G368" s="68" t="s">
        <v>494</v>
      </c>
      <c r="H368" s="68" t="s">
        <v>421</v>
      </c>
      <c r="I368" s="68" t="s">
        <v>1116</v>
      </c>
      <c r="J368" s="68">
        <v>19.32</v>
      </c>
      <c r="K368" s="68">
        <v>20.286000000000001</v>
      </c>
      <c r="L368" s="68">
        <v>7</v>
      </c>
      <c r="M368" s="68" t="s">
        <v>422</v>
      </c>
      <c r="N368" s="68">
        <v>6.9</v>
      </c>
      <c r="O368" s="68">
        <v>0.96600000000000108</v>
      </c>
    </row>
    <row r="369" spans="2:15" ht="15.75">
      <c r="B369" s="70" t="s">
        <v>813</v>
      </c>
      <c r="C369" s="77">
        <v>43952</v>
      </c>
      <c r="D369" s="70" t="s">
        <v>419</v>
      </c>
      <c r="E369" s="68" t="s">
        <v>131</v>
      </c>
      <c r="F369" s="68" t="s">
        <v>414</v>
      </c>
      <c r="G369" s="68" t="s">
        <v>415</v>
      </c>
      <c r="H369" s="68" t="s">
        <v>457</v>
      </c>
      <c r="I369" s="68" t="s">
        <v>1114</v>
      </c>
      <c r="J369" s="68">
        <v>98.52</v>
      </c>
      <c r="K369" s="68">
        <v>103.446</v>
      </c>
      <c r="L369" s="68">
        <v>10</v>
      </c>
      <c r="M369" s="68" t="s">
        <v>417</v>
      </c>
      <c r="N369" s="68">
        <v>4.5</v>
      </c>
      <c r="O369" s="68">
        <v>4.9260000000000019</v>
      </c>
    </row>
    <row r="370" spans="2:15" ht="15.75">
      <c r="B370" s="70" t="s">
        <v>814</v>
      </c>
      <c r="C370" s="77">
        <v>43953</v>
      </c>
      <c r="D370" s="70" t="s">
        <v>175</v>
      </c>
      <c r="E370" s="68" t="s">
        <v>134</v>
      </c>
      <c r="F370" s="68" t="s">
        <v>414</v>
      </c>
      <c r="G370" s="68" t="s">
        <v>494</v>
      </c>
      <c r="H370" s="68" t="s">
        <v>457</v>
      </c>
      <c r="I370" s="68" t="s">
        <v>1114</v>
      </c>
      <c r="J370" s="68">
        <v>41.66</v>
      </c>
      <c r="K370" s="68">
        <v>43.743000000000002</v>
      </c>
      <c r="L370" s="68">
        <v>6</v>
      </c>
      <c r="M370" s="68" t="s">
        <v>417</v>
      </c>
      <c r="N370" s="68">
        <v>5.6</v>
      </c>
      <c r="O370" s="68">
        <v>2.0830000000000055</v>
      </c>
    </row>
    <row r="371" spans="2:15" ht="15.75">
      <c r="B371" s="70" t="s">
        <v>815</v>
      </c>
      <c r="C371" s="77">
        <v>43954</v>
      </c>
      <c r="D371" s="70" t="s">
        <v>266</v>
      </c>
      <c r="E371" s="68" t="s">
        <v>135</v>
      </c>
      <c r="F371" s="68" t="s">
        <v>420</v>
      </c>
      <c r="G371" s="68" t="s">
        <v>494</v>
      </c>
      <c r="H371" s="68" t="s">
        <v>421</v>
      </c>
      <c r="I371" s="68" t="s">
        <v>1116</v>
      </c>
      <c r="J371" s="68">
        <v>21.58</v>
      </c>
      <c r="K371" s="68">
        <v>22.659000000000002</v>
      </c>
      <c r="L371" s="68">
        <v>9</v>
      </c>
      <c r="M371" s="68" t="s">
        <v>422</v>
      </c>
      <c r="N371" s="68">
        <v>7.3</v>
      </c>
      <c r="O371" s="68">
        <v>1.0790000000000042</v>
      </c>
    </row>
    <row r="372" spans="2:15" ht="15.75">
      <c r="B372" s="70" t="s">
        <v>816</v>
      </c>
      <c r="C372" s="77">
        <v>43955</v>
      </c>
      <c r="D372" s="70" t="s">
        <v>419</v>
      </c>
      <c r="E372" s="68" t="s">
        <v>131</v>
      </c>
      <c r="F372" s="68" t="s">
        <v>420</v>
      </c>
      <c r="G372" s="68" t="s">
        <v>494</v>
      </c>
      <c r="H372" s="68" t="s">
        <v>457</v>
      </c>
      <c r="I372" s="68" t="s">
        <v>1114</v>
      </c>
      <c r="J372" s="68">
        <v>89.2</v>
      </c>
      <c r="K372" s="68">
        <v>93.66</v>
      </c>
      <c r="L372" s="68">
        <v>10</v>
      </c>
      <c r="M372" s="68" t="s">
        <v>433</v>
      </c>
      <c r="N372" s="68">
        <v>4.4000000000000004</v>
      </c>
      <c r="O372" s="68">
        <v>4.4599999999999937</v>
      </c>
    </row>
    <row r="373" spans="2:15" ht="15.75">
      <c r="B373" s="70" t="s">
        <v>817</v>
      </c>
      <c r="C373" s="77">
        <v>43956</v>
      </c>
      <c r="D373" s="70" t="s">
        <v>266</v>
      </c>
      <c r="E373" s="68" t="s">
        <v>135</v>
      </c>
      <c r="F373" s="68" t="s">
        <v>420</v>
      </c>
      <c r="G373" s="68" t="s">
        <v>415</v>
      </c>
      <c r="H373" s="68" t="s">
        <v>421</v>
      </c>
      <c r="I373" s="68" t="s">
        <v>1116</v>
      </c>
      <c r="J373" s="68">
        <v>42.42</v>
      </c>
      <c r="K373" s="68">
        <v>44.540999999999997</v>
      </c>
      <c r="L373" s="68">
        <v>8</v>
      </c>
      <c r="M373" s="68" t="s">
        <v>417</v>
      </c>
      <c r="N373" s="68">
        <v>5.7</v>
      </c>
      <c r="O373" s="68">
        <v>2.1209999999999951</v>
      </c>
    </row>
    <row r="374" spans="2:15" ht="15.75">
      <c r="B374" s="70" t="s">
        <v>818</v>
      </c>
      <c r="C374" s="77">
        <v>43957</v>
      </c>
      <c r="D374" s="70" t="s">
        <v>175</v>
      </c>
      <c r="E374" s="68" t="s">
        <v>134</v>
      </c>
      <c r="F374" s="68" t="s">
        <v>414</v>
      </c>
      <c r="G374" s="68" t="s">
        <v>494</v>
      </c>
      <c r="H374" s="68" t="s">
        <v>499</v>
      </c>
      <c r="I374" s="68" t="s">
        <v>1116</v>
      </c>
      <c r="J374" s="68">
        <v>74.510000000000005</v>
      </c>
      <c r="K374" s="68">
        <v>78.235500000000002</v>
      </c>
      <c r="L374" s="68">
        <v>6</v>
      </c>
      <c r="M374" s="68" t="s">
        <v>417</v>
      </c>
      <c r="N374" s="68">
        <v>5</v>
      </c>
      <c r="O374" s="68">
        <v>3.7254999999999967</v>
      </c>
    </row>
    <row r="375" spans="2:15" ht="15.75">
      <c r="B375" s="70" t="s">
        <v>819</v>
      </c>
      <c r="C375" s="77">
        <v>43958</v>
      </c>
      <c r="D375" s="70" t="s">
        <v>175</v>
      </c>
      <c r="E375" s="68" t="s">
        <v>134</v>
      </c>
      <c r="F375" s="68" t="s">
        <v>420</v>
      </c>
      <c r="G375" s="68" t="s">
        <v>415</v>
      </c>
      <c r="H375" s="68" t="s">
        <v>450</v>
      </c>
      <c r="I375" s="68" t="s">
        <v>1114</v>
      </c>
      <c r="J375" s="68">
        <v>81.209999999999994</v>
      </c>
      <c r="K375" s="68">
        <v>85.270499999999998</v>
      </c>
      <c r="L375" s="68">
        <v>10</v>
      </c>
      <c r="M375" s="68" t="s">
        <v>433</v>
      </c>
      <c r="N375" s="68">
        <v>6.3</v>
      </c>
      <c r="O375" s="68">
        <v>4.0605000000000047</v>
      </c>
    </row>
    <row r="376" spans="2:15" ht="15.75">
      <c r="B376" s="70" t="s">
        <v>820</v>
      </c>
      <c r="C376" s="77">
        <v>43959</v>
      </c>
      <c r="D376" s="70" t="s">
        <v>419</v>
      </c>
      <c r="E376" s="68" t="s">
        <v>131</v>
      </c>
      <c r="F376" s="68" t="s">
        <v>420</v>
      </c>
      <c r="G376" s="68" t="s">
        <v>415</v>
      </c>
      <c r="H376" s="68" t="s">
        <v>444</v>
      </c>
      <c r="I376" s="68" t="s">
        <v>1113</v>
      </c>
      <c r="J376" s="68">
        <v>49.33</v>
      </c>
      <c r="K376" s="68">
        <v>51.796500000000002</v>
      </c>
      <c r="L376" s="68">
        <v>10</v>
      </c>
      <c r="M376" s="68" t="s">
        <v>433</v>
      </c>
      <c r="N376" s="68">
        <v>9.4</v>
      </c>
      <c r="O376" s="68">
        <v>2.4665000000000035</v>
      </c>
    </row>
    <row r="377" spans="2:15" ht="15.75">
      <c r="B377" s="70" t="s">
        <v>821</v>
      </c>
      <c r="C377" s="77">
        <v>43960</v>
      </c>
      <c r="D377" s="70" t="s">
        <v>419</v>
      </c>
      <c r="E377" s="68" t="s">
        <v>131</v>
      </c>
      <c r="F377" s="68" t="s">
        <v>420</v>
      </c>
      <c r="G377" s="68" t="s">
        <v>415</v>
      </c>
      <c r="H377" s="68" t="s">
        <v>426</v>
      </c>
      <c r="I377" s="68" t="s">
        <v>1113</v>
      </c>
      <c r="J377" s="68">
        <v>73.98</v>
      </c>
      <c r="K377" s="68">
        <v>77.679000000000002</v>
      </c>
      <c r="L377" s="68">
        <v>7</v>
      </c>
      <c r="M377" s="68" t="s">
        <v>417</v>
      </c>
      <c r="N377" s="68">
        <v>4.0999999999999996</v>
      </c>
      <c r="O377" s="68">
        <v>3.6989999999999981</v>
      </c>
    </row>
    <row r="378" spans="2:15" ht="15.75">
      <c r="B378" s="70" t="s">
        <v>822</v>
      </c>
      <c r="C378" s="77">
        <v>43961</v>
      </c>
      <c r="D378" s="70" t="s">
        <v>266</v>
      </c>
      <c r="E378" s="68" t="s">
        <v>135</v>
      </c>
      <c r="F378" s="68" t="s">
        <v>414</v>
      </c>
      <c r="G378" s="68" t="s">
        <v>494</v>
      </c>
      <c r="H378" s="68" t="s">
        <v>444</v>
      </c>
      <c r="I378" s="68" t="s">
        <v>1113</v>
      </c>
      <c r="J378" s="68">
        <v>26.67</v>
      </c>
      <c r="K378" s="68">
        <v>28.003500000000003</v>
      </c>
      <c r="L378" s="68">
        <v>10</v>
      </c>
      <c r="M378" s="68" t="s">
        <v>422</v>
      </c>
      <c r="N378" s="68">
        <v>8.6</v>
      </c>
      <c r="O378" s="68">
        <v>1.3335000000000008</v>
      </c>
    </row>
    <row r="379" spans="2:15" ht="15.75">
      <c r="B379" s="70" t="s">
        <v>823</v>
      </c>
      <c r="C379" s="77">
        <v>43962</v>
      </c>
      <c r="D379" s="70" t="s">
        <v>175</v>
      </c>
      <c r="E379" s="68" t="s">
        <v>134</v>
      </c>
      <c r="F379" s="68" t="s">
        <v>414</v>
      </c>
      <c r="G379" s="68" t="s">
        <v>494</v>
      </c>
      <c r="H379" s="68" t="s">
        <v>457</v>
      </c>
      <c r="I379" s="68" t="s">
        <v>1114</v>
      </c>
      <c r="J379" s="68">
        <v>10.130000000000001</v>
      </c>
      <c r="K379" s="68">
        <v>10.6365</v>
      </c>
      <c r="L379" s="68">
        <v>7</v>
      </c>
      <c r="M379" s="68" t="s">
        <v>417</v>
      </c>
      <c r="N379" s="68">
        <v>8.3000000000000007</v>
      </c>
      <c r="O379" s="68">
        <v>0.50649999999999906</v>
      </c>
    </row>
    <row r="380" spans="2:15" ht="15.75">
      <c r="B380" s="70" t="s">
        <v>824</v>
      </c>
      <c r="C380" s="77">
        <v>43963</v>
      </c>
      <c r="D380" s="70" t="s">
        <v>266</v>
      </c>
      <c r="E380" s="68" t="s">
        <v>135</v>
      </c>
      <c r="F380" s="68" t="s">
        <v>420</v>
      </c>
      <c r="G380" s="68" t="s">
        <v>494</v>
      </c>
      <c r="H380" s="68" t="s">
        <v>457</v>
      </c>
      <c r="I380" s="68" t="s">
        <v>1114</v>
      </c>
      <c r="J380" s="68">
        <v>72.39</v>
      </c>
      <c r="K380" s="68">
        <v>76.009500000000003</v>
      </c>
      <c r="L380" s="68">
        <v>2</v>
      </c>
      <c r="M380" s="68" t="s">
        <v>433</v>
      </c>
      <c r="N380" s="68">
        <v>8.1</v>
      </c>
      <c r="O380" s="68">
        <v>3.6195000000000022</v>
      </c>
    </row>
    <row r="381" spans="2:15" ht="15.75">
      <c r="B381" s="70" t="s">
        <v>825</v>
      </c>
      <c r="C381" s="77">
        <v>43964</v>
      </c>
      <c r="D381" s="70" t="s">
        <v>175</v>
      </c>
      <c r="E381" s="68" t="s">
        <v>134</v>
      </c>
      <c r="F381" s="68" t="s">
        <v>420</v>
      </c>
      <c r="G381" s="68" t="s">
        <v>494</v>
      </c>
      <c r="H381" s="68" t="s">
        <v>426</v>
      </c>
      <c r="I381" s="68" t="s">
        <v>1113</v>
      </c>
      <c r="J381" s="68">
        <v>85.91</v>
      </c>
      <c r="K381" s="68">
        <v>90.205500000000001</v>
      </c>
      <c r="L381" s="68">
        <v>5</v>
      </c>
      <c r="M381" s="68" t="s">
        <v>433</v>
      </c>
      <c r="N381" s="68">
        <v>8.6</v>
      </c>
      <c r="O381" s="68">
        <v>4.2955000000000041</v>
      </c>
    </row>
    <row r="382" spans="2:15" ht="15.75">
      <c r="B382" s="70" t="s">
        <v>826</v>
      </c>
      <c r="C382" s="77">
        <v>43965</v>
      </c>
      <c r="D382" s="70" t="s">
        <v>266</v>
      </c>
      <c r="E382" s="68" t="s">
        <v>135</v>
      </c>
      <c r="F382" s="68" t="s">
        <v>420</v>
      </c>
      <c r="G382" s="68" t="s">
        <v>494</v>
      </c>
      <c r="H382" s="68" t="s">
        <v>457</v>
      </c>
      <c r="I382" s="68" t="s">
        <v>1114</v>
      </c>
      <c r="J382" s="68">
        <v>60.3</v>
      </c>
      <c r="K382" s="68">
        <v>63.314999999999998</v>
      </c>
      <c r="L382" s="68">
        <v>4</v>
      </c>
      <c r="M382" s="68" t="s">
        <v>422</v>
      </c>
      <c r="N382" s="68">
        <v>5.8</v>
      </c>
      <c r="O382" s="68">
        <v>3.0150000000000006</v>
      </c>
    </row>
    <row r="383" spans="2:15" ht="15.75">
      <c r="B383" s="70" t="s">
        <v>827</v>
      </c>
      <c r="C383" s="77">
        <v>43966</v>
      </c>
      <c r="D383" s="70" t="s">
        <v>419</v>
      </c>
      <c r="E383" s="68" t="s">
        <v>131</v>
      </c>
      <c r="F383" s="68" t="s">
        <v>420</v>
      </c>
      <c r="G383" s="68" t="s">
        <v>494</v>
      </c>
      <c r="H383" s="68" t="s">
        <v>476</v>
      </c>
      <c r="I383" s="68" t="s">
        <v>1114</v>
      </c>
      <c r="J383" s="68">
        <v>31.77</v>
      </c>
      <c r="K383" s="68">
        <v>33.358499999999999</v>
      </c>
      <c r="L383" s="68">
        <v>4</v>
      </c>
      <c r="M383" s="68" t="s">
        <v>417</v>
      </c>
      <c r="N383" s="68">
        <v>6.2</v>
      </c>
      <c r="O383" s="68">
        <v>1.5884999999999998</v>
      </c>
    </row>
    <row r="384" spans="2:15" ht="15.75">
      <c r="B384" s="70" t="s">
        <v>828</v>
      </c>
      <c r="C384" s="77">
        <v>43967</v>
      </c>
      <c r="D384" s="70" t="s">
        <v>175</v>
      </c>
      <c r="E384" s="68" t="s">
        <v>134</v>
      </c>
      <c r="F384" s="68" t="s">
        <v>420</v>
      </c>
      <c r="G384" s="68" t="s">
        <v>415</v>
      </c>
      <c r="H384" s="68" t="s">
        <v>432</v>
      </c>
      <c r="I384" s="68" t="s">
        <v>1115</v>
      </c>
      <c r="J384" s="68">
        <v>64.27</v>
      </c>
      <c r="K384" s="68">
        <v>67.483500000000006</v>
      </c>
      <c r="L384" s="68">
        <v>4</v>
      </c>
      <c r="M384" s="68" t="s">
        <v>422</v>
      </c>
      <c r="N384" s="68">
        <v>7.7</v>
      </c>
      <c r="O384" s="68">
        <v>3.2135000000000105</v>
      </c>
    </row>
    <row r="385" spans="2:15" ht="15.75">
      <c r="B385" s="70" t="s">
        <v>829</v>
      </c>
      <c r="C385" s="77">
        <v>43968</v>
      </c>
      <c r="D385" s="70" t="s">
        <v>266</v>
      </c>
      <c r="E385" s="68" t="s">
        <v>135</v>
      </c>
      <c r="F385" s="68" t="s">
        <v>420</v>
      </c>
      <c r="G385" s="68" t="s">
        <v>494</v>
      </c>
      <c r="H385" s="68" t="s">
        <v>442</v>
      </c>
      <c r="I385" s="68" t="s">
        <v>1115</v>
      </c>
      <c r="J385" s="68">
        <v>69.510000000000005</v>
      </c>
      <c r="K385" s="68">
        <v>72.985500000000002</v>
      </c>
      <c r="L385" s="68">
        <v>2</v>
      </c>
      <c r="M385" s="68" t="s">
        <v>417</v>
      </c>
      <c r="N385" s="68">
        <v>8.1</v>
      </c>
      <c r="O385" s="68">
        <v>3.4754999999999967</v>
      </c>
    </row>
    <row r="386" spans="2:15" ht="15.75">
      <c r="B386" s="70" t="s">
        <v>830</v>
      </c>
      <c r="C386" s="77">
        <v>43969</v>
      </c>
      <c r="D386" s="70" t="s">
        <v>419</v>
      </c>
      <c r="E386" s="68" t="s">
        <v>131</v>
      </c>
      <c r="F386" s="68" t="s">
        <v>420</v>
      </c>
      <c r="G386" s="68" t="s">
        <v>494</v>
      </c>
      <c r="H386" s="68" t="s">
        <v>476</v>
      </c>
      <c r="I386" s="68" t="s">
        <v>1114</v>
      </c>
      <c r="J386" s="68">
        <v>27.22</v>
      </c>
      <c r="K386" s="68">
        <v>28.581</v>
      </c>
      <c r="L386" s="68">
        <v>3</v>
      </c>
      <c r="M386" s="68" t="s">
        <v>422</v>
      </c>
      <c r="N386" s="68">
        <v>7.3</v>
      </c>
      <c r="O386" s="68">
        <v>1.3610000000000007</v>
      </c>
    </row>
    <row r="387" spans="2:15" ht="15.75">
      <c r="B387" s="70" t="s">
        <v>831</v>
      </c>
      <c r="C387" s="77">
        <v>43970</v>
      </c>
      <c r="D387" s="70" t="s">
        <v>175</v>
      </c>
      <c r="E387" s="68" t="s">
        <v>134</v>
      </c>
      <c r="F387" s="68" t="s">
        <v>414</v>
      </c>
      <c r="G387" s="68" t="s">
        <v>415</v>
      </c>
      <c r="H387" s="68" t="s">
        <v>432</v>
      </c>
      <c r="I387" s="68" t="s">
        <v>1115</v>
      </c>
      <c r="J387" s="68">
        <v>77.680000000000007</v>
      </c>
      <c r="K387" s="68">
        <v>81.563999999999993</v>
      </c>
      <c r="L387" s="68">
        <v>4</v>
      </c>
      <c r="M387" s="68" t="s">
        <v>422</v>
      </c>
      <c r="N387" s="68">
        <v>8.4</v>
      </c>
      <c r="O387" s="68">
        <v>3.8839999999999861</v>
      </c>
    </row>
    <row r="388" spans="2:15" ht="15.75">
      <c r="B388" s="70" t="s">
        <v>832</v>
      </c>
      <c r="C388" s="77">
        <v>43971</v>
      </c>
      <c r="D388" s="70" t="s">
        <v>266</v>
      </c>
      <c r="E388" s="68" t="s">
        <v>135</v>
      </c>
      <c r="F388" s="68" t="s">
        <v>420</v>
      </c>
      <c r="G388" s="68" t="s">
        <v>494</v>
      </c>
      <c r="H388" s="68" t="s">
        <v>455</v>
      </c>
      <c r="I388" s="68" t="s">
        <v>1113</v>
      </c>
      <c r="J388" s="68">
        <v>63.06</v>
      </c>
      <c r="K388" s="68">
        <v>66.213000000000008</v>
      </c>
      <c r="L388" s="68">
        <v>3</v>
      </c>
      <c r="M388" s="68" t="s">
        <v>417</v>
      </c>
      <c r="N388" s="68">
        <v>7</v>
      </c>
      <c r="O388" s="68">
        <v>3.1530000000000058</v>
      </c>
    </row>
    <row r="389" spans="2:15" ht="15.75">
      <c r="B389" s="70" t="s">
        <v>833</v>
      </c>
      <c r="C389" s="77">
        <v>43972</v>
      </c>
      <c r="D389" s="70" t="s">
        <v>175</v>
      </c>
      <c r="E389" s="68" t="s">
        <v>134</v>
      </c>
      <c r="F389" s="68" t="s">
        <v>420</v>
      </c>
      <c r="G389" s="68" t="s">
        <v>494</v>
      </c>
      <c r="H389" s="68" t="s">
        <v>446</v>
      </c>
      <c r="I389" s="68" t="s">
        <v>1115</v>
      </c>
      <c r="J389" s="68">
        <v>51.71</v>
      </c>
      <c r="K389" s="68">
        <v>54.295499999999997</v>
      </c>
      <c r="L389" s="68">
        <v>4</v>
      </c>
      <c r="M389" s="68" t="s">
        <v>433</v>
      </c>
      <c r="N389" s="68">
        <v>9.8000000000000007</v>
      </c>
      <c r="O389" s="68">
        <v>2.5854999999999961</v>
      </c>
    </row>
    <row r="390" spans="2:15" ht="15.75">
      <c r="B390" s="70" t="s">
        <v>834</v>
      </c>
      <c r="C390" s="77">
        <v>43973</v>
      </c>
      <c r="D390" s="70" t="s">
        <v>175</v>
      </c>
      <c r="E390" s="68" t="s">
        <v>134</v>
      </c>
      <c r="F390" s="68" t="s">
        <v>420</v>
      </c>
      <c r="G390" s="68" t="s">
        <v>415</v>
      </c>
      <c r="H390" s="68" t="s">
        <v>476</v>
      </c>
      <c r="I390" s="68" t="s">
        <v>1114</v>
      </c>
      <c r="J390" s="68">
        <v>52.34</v>
      </c>
      <c r="K390" s="68">
        <v>54.957000000000001</v>
      </c>
      <c r="L390" s="68">
        <v>3</v>
      </c>
      <c r="M390" s="68" t="s">
        <v>422</v>
      </c>
      <c r="N390" s="68">
        <v>9.1999999999999993</v>
      </c>
      <c r="O390" s="68">
        <v>2.6169999999999973</v>
      </c>
    </row>
    <row r="391" spans="2:15" ht="15.75">
      <c r="B391" s="70" t="s">
        <v>835</v>
      </c>
      <c r="C391" s="77">
        <v>43974</v>
      </c>
      <c r="D391" s="70" t="s">
        <v>175</v>
      </c>
      <c r="E391" s="68" t="s">
        <v>134</v>
      </c>
      <c r="F391" s="68" t="s">
        <v>420</v>
      </c>
      <c r="G391" s="68" t="s">
        <v>415</v>
      </c>
      <c r="H391" s="68" t="s">
        <v>455</v>
      </c>
      <c r="I391" s="68" t="s">
        <v>1113</v>
      </c>
      <c r="J391" s="68">
        <v>43.06</v>
      </c>
      <c r="K391" s="68">
        <v>45.213000000000001</v>
      </c>
      <c r="L391" s="68">
        <v>5</v>
      </c>
      <c r="M391" s="68" t="s">
        <v>417</v>
      </c>
      <c r="N391" s="68">
        <v>7.7</v>
      </c>
      <c r="O391" s="68">
        <v>2.1529999999999987</v>
      </c>
    </row>
    <row r="392" spans="2:15" ht="15.75">
      <c r="B392" s="70" t="s">
        <v>836</v>
      </c>
      <c r="C392" s="77">
        <v>43975</v>
      </c>
      <c r="D392" s="70" t="s">
        <v>175</v>
      </c>
      <c r="E392" s="68" t="s">
        <v>134</v>
      </c>
      <c r="F392" s="68" t="s">
        <v>420</v>
      </c>
      <c r="G392" s="68" t="s">
        <v>494</v>
      </c>
      <c r="H392" s="68" t="s">
        <v>432</v>
      </c>
      <c r="I392" s="68" t="s">
        <v>1115</v>
      </c>
      <c r="J392" s="68">
        <v>14.62</v>
      </c>
      <c r="K392" s="68">
        <v>15.350999999999999</v>
      </c>
      <c r="L392" s="68">
        <v>5</v>
      </c>
      <c r="M392" s="68" t="s">
        <v>422</v>
      </c>
      <c r="N392" s="68">
        <v>4.4000000000000004</v>
      </c>
      <c r="O392" s="68">
        <v>0.73099999999999987</v>
      </c>
    </row>
    <row r="393" spans="2:15" ht="15.75">
      <c r="B393" s="70" t="s">
        <v>837</v>
      </c>
      <c r="C393" s="77">
        <v>43976</v>
      </c>
      <c r="D393" s="70" t="s">
        <v>419</v>
      </c>
      <c r="E393" s="68" t="s">
        <v>131</v>
      </c>
      <c r="F393" s="68" t="s">
        <v>414</v>
      </c>
      <c r="G393" s="68" t="s">
        <v>494</v>
      </c>
      <c r="H393" s="68" t="s">
        <v>432</v>
      </c>
      <c r="I393" s="68" t="s">
        <v>1115</v>
      </c>
      <c r="J393" s="68">
        <v>46.53</v>
      </c>
      <c r="K393" s="68">
        <v>48.856500000000004</v>
      </c>
      <c r="L393" s="68">
        <v>6</v>
      </c>
      <c r="M393" s="68" t="s">
        <v>433</v>
      </c>
      <c r="N393" s="68">
        <v>4.3</v>
      </c>
      <c r="O393" s="68">
        <v>2.3265000000000029</v>
      </c>
    </row>
    <row r="394" spans="2:15" ht="15.75">
      <c r="B394" s="70" t="s">
        <v>838</v>
      </c>
      <c r="C394" s="77">
        <v>43977</v>
      </c>
      <c r="D394" s="70" t="s">
        <v>175</v>
      </c>
      <c r="E394" s="68" t="s">
        <v>134</v>
      </c>
      <c r="F394" s="68" t="s">
        <v>414</v>
      </c>
      <c r="G394" s="68" t="s">
        <v>415</v>
      </c>
      <c r="H394" s="68" t="s">
        <v>455</v>
      </c>
      <c r="I394" s="68" t="s">
        <v>1113</v>
      </c>
      <c r="J394" s="68">
        <v>45.58</v>
      </c>
      <c r="K394" s="68">
        <v>47.859000000000002</v>
      </c>
      <c r="L394" s="68">
        <v>1</v>
      </c>
      <c r="M394" s="68" t="s">
        <v>422</v>
      </c>
      <c r="N394" s="68">
        <v>9.8000000000000007</v>
      </c>
      <c r="O394" s="68">
        <v>2.2790000000000035</v>
      </c>
    </row>
    <row r="395" spans="2:15" ht="15.75">
      <c r="B395" s="70" t="s">
        <v>839</v>
      </c>
      <c r="C395" s="77">
        <v>43978</v>
      </c>
      <c r="D395" s="70" t="s">
        <v>175</v>
      </c>
      <c r="E395" s="68" t="s">
        <v>134</v>
      </c>
      <c r="F395" s="68" t="s">
        <v>414</v>
      </c>
      <c r="G395" s="68" t="s">
        <v>415</v>
      </c>
      <c r="H395" s="68" t="s">
        <v>444</v>
      </c>
      <c r="I395" s="68" t="s">
        <v>1113</v>
      </c>
      <c r="J395" s="68">
        <v>75.2</v>
      </c>
      <c r="K395" s="68">
        <v>78.959999999999994</v>
      </c>
      <c r="L395" s="68">
        <v>3</v>
      </c>
      <c r="M395" s="68" t="s">
        <v>417</v>
      </c>
      <c r="N395" s="68">
        <v>4.8</v>
      </c>
      <c r="O395" s="68">
        <v>3.7599999999999909</v>
      </c>
    </row>
    <row r="396" spans="2:15" ht="15.75">
      <c r="B396" s="70" t="s">
        <v>840</v>
      </c>
      <c r="C396" s="77">
        <v>43979</v>
      </c>
      <c r="D396" s="70" t="s">
        <v>266</v>
      </c>
      <c r="E396" s="68" t="s">
        <v>135</v>
      </c>
      <c r="F396" s="68" t="s">
        <v>414</v>
      </c>
      <c r="G396" s="68" t="s">
        <v>494</v>
      </c>
      <c r="H396" s="68" t="s">
        <v>455</v>
      </c>
      <c r="I396" s="68" t="s">
        <v>1113</v>
      </c>
      <c r="J396" s="68">
        <v>96.8</v>
      </c>
      <c r="K396" s="68">
        <v>101.64</v>
      </c>
      <c r="L396" s="68">
        <v>3</v>
      </c>
      <c r="M396" s="68" t="s">
        <v>422</v>
      </c>
      <c r="N396" s="68">
        <v>5.3</v>
      </c>
      <c r="O396" s="68">
        <v>4.8400000000000034</v>
      </c>
    </row>
    <row r="397" spans="2:15" ht="15.75">
      <c r="B397" s="70" t="s">
        <v>841</v>
      </c>
      <c r="C397" s="77">
        <v>43980</v>
      </c>
      <c r="D397" s="70" t="s">
        <v>266</v>
      </c>
      <c r="E397" s="68" t="s">
        <v>135</v>
      </c>
      <c r="F397" s="68" t="s">
        <v>420</v>
      </c>
      <c r="G397" s="68" t="s">
        <v>494</v>
      </c>
      <c r="H397" s="68" t="s">
        <v>442</v>
      </c>
      <c r="I397" s="68" t="s">
        <v>1115</v>
      </c>
      <c r="J397" s="68">
        <v>14.82</v>
      </c>
      <c r="K397" s="68">
        <v>15.561</v>
      </c>
      <c r="L397" s="68">
        <v>3</v>
      </c>
      <c r="M397" s="68" t="s">
        <v>433</v>
      </c>
      <c r="N397" s="68">
        <v>8.6999999999999993</v>
      </c>
      <c r="O397" s="68">
        <v>0.74099999999999966</v>
      </c>
    </row>
    <row r="398" spans="2:15" ht="15.75">
      <c r="B398" s="70" t="s">
        <v>842</v>
      </c>
      <c r="C398" s="77">
        <v>43981</v>
      </c>
      <c r="D398" s="70" t="s">
        <v>175</v>
      </c>
      <c r="E398" s="68" t="s">
        <v>134</v>
      </c>
      <c r="F398" s="68" t="s">
        <v>420</v>
      </c>
      <c r="G398" s="68" t="s">
        <v>494</v>
      </c>
      <c r="H398" s="68" t="s">
        <v>476</v>
      </c>
      <c r="I398" s="68" t="s">
        <v>1114</v>
      </c>
      <c r="J398" s="68">
        <v>52.2</v>
      </c>
      <c r="K398" s="68">
        <v>54.81</v>
      </c>
      <c r="L398" s="68">
        <v>3</v>
      </c>
      <c r="M398" s="68" t="s">
        <v>433</v>
      </c>
      <c r="N398" s="68">
        <v>9.5</v>
      </c>
      <c r="O398" s="68">
        <v>2.6099999999999994</v>
      </c>
    </row>
    <row r="399" spans="2:15" ht="15.75">
      <c r="B399" s="70" t="s">
        <v>843</v>
      </c>
      <c r="C399" s="77">
        <v>43982</v>
      </c>
      <c r="D399" s="70" t="s">
        <v>419</v>
      </c>
      <c r="E399" s="68" t="s">
        <v>131</v>
      </c>
      <c r="F399" s="68" t="s">
        <v>420</v>
      </c>
      <c r="G399" s="68" t="s">
        <v>415</v>
      </c>
      <c r="H399" s="68" t="s">
        <v>463</v>
      </c>
      <c r="I399" s="68" t="s">
        <v>1113</v>
      </c>
      <c r="J399" s="68">
        <v>46.66</v>
      </c>
      <c r="K399" s="68">
        <v>48.993000000000002</v>
      </c>
      <c r="L399" s="68">
        <v>9</v>
      </c>
      <c r="M399" s="68" t="s">
        <v>417</v>
      </c>
      <c r="N399" s="68">
        <v>5.3</v>
      </c>
      <c r="O399" s="68">
        <v>2.3330000000000055</v>
      </c>
    </row>
    <row r="400" spans="2:15" ht="15.75">
      <c r="B400" s="70" t="s">
        <v>844</v>
      </c>
      <c r="C400" s="77">
        <v>43983</v>
      </c>
      <c r="D400" s="70" t="s">
        <v>419</v>
      </c>
      <c r="E400" s="68" t="s">
        <v>131</v>
      </c>
      <c r="F400" s="68" t="s">
        <v>420</v>
      </c>
      <c r="G400" s="68" t="s">
        <v>494</v>
      </c>
      <c r="H400" s="68" t="s">
        <v>421</v>
      </c>
      <c r="I400" s="68" t="s">
        <v>1116</v>
      </c>
      <c r="J400" s="68">
        <v>83.08</v>
      </c>
      <c r="K400" s="68">
        <v>87.233999999999995</v>
      </c>
      <c r="L400" s="68">
        <v>1</v>
      </c>
      <c r="M400" s="68" t="s">
        <v>417</v>
      </c>
      <c r="N400" s="68">
        <v>6.4</v>
      </c>
      <c r="O400" s="68">
        <v>4.1539999999999964</v>
      </c>
    </row>
    <row r="401" spans="2:15" ht="15.75">
      <c r="B401" s="70" t="s">
        <v>845</v>
      </c>
      <c r="C401" s="77">
        <v>43984</v>
      </c>
      <c r="D401" s="70" t="s">
        <v>419</v>
      </c>
      <c r="E401" s="68" t="s">
        <v>131</v>
      </c>
      <c r="F401" s="68" t="s">
        <v>420</v>
      </c>
      <c r="G401" s="68" t="s">
        <v>494</v>
      </c>
      <c r="H401" s="68" t="s">
        <v>476</v>
      </c>
      <c r="I401" s="68" t="s">
        <v>1114</v>
      </c>
      <c r="J401" s="68">
        <v>77.56</v>
      </c>
      <c r="K401" s="68">
        <v>81.438000000000002</v>
      </c>
      <c r="L401" s="68">
        <v>10</v>
      </c>
      <c r="M401" s="68" t="s">
        <v>417</v>
      </c>
      <c r="N401" s="68">
        <v>6.9</v>
      </c>
      <c r="O401" s="68">
        <v>3.8780000000000001</v>
      </c>
    </row>
    <row r="402" spans="2:15" ht="15.75">
      <c r="B402" s="70" t="s">
        <v>846</v>
      </c>
      <c r="C402" s="77">
        <v>43985</v>
      </c>
      <c r="D402" s="70" t="s">
        <v>266</v>
      </c>
      <c r="E402" s="68" t="s">
        <v>135</v>
      </c>
      <c r="F402" s="68" t="s">
        <v>420</v>
      </c>
      <c r="G402" s="68" t="s">
        <v>415</v>
      </c>
      <c r="H402" s="68" t="s">
        <v>463</v>
      </c>
      <c r="I402" s="68" t="s">
        <v>1113</v>
      </c>
      <c r="J402" s="68">
        <v>54.51</v>
      </c>
      <c r="K402" s="68">
        <v>57.235500000000002</v>
      </c>
      <c r="L402" s="68">
        <v>6</v>
      </c>
      <c r="M402" s="68" t="s">
        <v>417</v>
      </c>
      <c r="N402" s="68">
        <v>7.8</v>
      </c>
      <c r="O402" s="68">
        <v>2.7255000000000038</v>
      </c>
    </row>
    <row r="403" spans="2:15" ht="15.75">
      <c r="B403" s="70" t="s">
        <v>847</v>
      </c>
      <c r="C403" s="77">
        <v>43986</v>
      </c>
      <c r="D403" s="70" t="s">
        <v>419</v>
      </c>
      <c r="E403" s="68" t="s">
        <v>131</v>
      </c>
      <c r="F403" s="68" t="s">
        <v>414</v>
      </c>
      <c r="G403" s="68" t="s">
        <v>415</v>
      </c>
      <c r="H403" s="68" t="s">
        <v>476</v>
      </c>
      <c r="I403" s="68" t="s">
        <v>1114</v>
      </c>
      <c r="J403" s="68">
        <v>49.79</v>
      </c>
      <c r="K403" s="68">
        <v>52.279499999999999</v>
      </c>
      <c r="L403" s="68">
        <v>4</v>
      </c>
      <c r="M403" s="68" t="s">
        <v>433</v>
      </c>
      <c r="N403" s="68">
        <v>6.4</v>
      </c>
      <c r="O403" s="68">
        <v>2.4894999999999996</v>
      </c>
    </row>
    <row r="404" spans="2:15" ht="15.75">
      <c r="B404" s="70" t="s">
        <v>848</v>
      </c>
      <c r="C404" s="77">
        <v>43987</v>
      </c>
      <c r="D404" s="70" t="s">
        <v>266</v>
      </c>
      <c r="E404" s="68" t="s">
        <v>135</v>
      </c>
      <c r="F404" s="68" t="s">
        <v>414</v>
      </c>
      <c r="G404" s="68" t="s">
        <v>494</v>
      </c>
      <c r="H404" s="68" t="s">
        <v>476</v>
      </c>
      <c r="I404" s="68" t="s">
        <v>1114</v>
      </c>
      <c r="J404" s="68">
        <v>57.89</v>
      </c>
      <c r="K404" s="68">
        <v>60.784500000000001</v>
      </c>
      <c r="L404" s="68">
        <v>2</v>
      </c>
      <c r="M404" s="68" t="s">
        <v>417</v>
      </c>
      <c r="N404" s="68">
        <v>8.9</v>
      </c>
      <c r="O404" s="68">
        <v>2.8945000000000007</v>
      </c>
    </row>
    <row r="405" spans="2:15" ht="15.75">
      <c r="B405" s="70" t="s">
        <v>849</v>
      </c>
      <c r="C405" s="77">
        <v>43988</v>
      </c>
      <c r="D405" s="70" t="s">
        <v>175</v>
      </c>
      <c r="E405" s="68" t="s">
        <v>134</v>
      </c>
      <c r="F405" s="68" t="s">
        <v>420</v>
      </c>
      <c r="G405" s="68" t="s">
        <v>415</v>
      </c>
      <c r="H405" s="68" t="s">
        <v>421</v>
      </c>
      <c r="I405" s="68" t="s">
        <v>1116</v>
      </c>
      <c r="J405" s="68">
        <v>28.96</v>
      </c>
      <c r="K405" s="68">
        <v>30.408000000000001</v>
      </c>
      <c r="L405" s="68">
        <v>1</v>
      </c>
      <c r="M405" s="68" t="s">
        <v>433</v>
      </c>
      <c r="N405" s="68">
        <v>6.2</v>
      </c>
      <c r="O405" s="68">
        <v>1.4480000000000004</v>
      </c>
    </row>
    <row r="406" spans="2:15" ht="15.75">
      <c r="B406" s="70" t="s">
        <v>850</v>
      </c>
      <c r="C406" s="77">
        <v>43989</v>
      </c>
      <c r="D406" s="70" t="s">
        <v>419</v>
      </c>
      <c r="E406" s="68" t="s">
        <v>131</v>
      </c>
      <c r="F406" s="68" t="s">
        <v>414</v>
      </c>
      <c r="G406" s="68" t="s">
        <v>415</v>
      </c>
      <c r="H406" s="68" t="s">
        <v>476</v>
      </c>
      <c r="I406" s="68" t="s">
        <v>1114</v>
      </c>
      <c r="J406" s="68">
        <v>98.97</v>
      </c>
      <c r="K406" s="68">
        <v>103.91849999999999</v>
      </c>
      <c r="L406" s="68">
        <v>9</v>
      </c>
      <c r="M406" s="68" t="s">
        <v>422</v>
      </c>
      <c r="N406" s="68">
        <v>6.7</v>
      </c>
      <c r="O406" s="68">
        <v>4.9484999999999957</v>
      </c>
    </row>
    <row r="407" spans="2:15" ht="15.75">
      <c r="B407" s="70" t="s">
        <v>851</v>
      </c>
      <c r="C407" s="77">
        <v>43990</v>
      </c>
      <c r="D407" s="70" t="s">
        <v>419</v>
      </c>
      <c r="E407" s="68" t="s">
        <v>131</v>
      </c>
      <c r="F407" s="68" t="s">
        <v>414</v>
      </c>
      <c r="G407" s="68" t="s">
        <v>494</v>
      </c>
      <c r="H407" s="68" t="s">
        <v>463</v>
      </c>
      <c r="I407" s="68" t="s">
        <v>1113</v>
      </c>
      <c r="J407" s="68">
        <v>80.930000000000007</v>
      </c>
      <c r="K407" s="68">
        <v>84.976500000000001</v>
      </c>
      <c r="L407" s="68">
        <v>1</v>
      </c>
      <c r="M407" s="68" t="s">
        <v>433</v>
      </c>
      <c r="N407" s="68">
        <v>9</v>
      </c>
      <c r="O407" s="68">
        <v>4.0464999999999947</v>
      </c>
    </row>
    <row r="408" spans="2:15" ht="15.75">
      <c r="B408" s="70" t="s">
        <v>852</v>
      </c>
      <c r="C408" s="77">
        <v>43991</v>
      </c>
      <c r="D408" s="70" t="s">
        <v>175</v>
      </c>
      <c r="E408" s="68" t="s">
        <v>134</v>
      </c>
      <c r="F408" s="68" t="s">
        <v>414</v>
      </c>
      <c r="G408" s="68" t="s">
        <v>494</v>
      </c>
      <c r="H408" s="68" t="s">
        <v>457</v>
      </c>
      <c r="I408" s="68" t="s">
        <v>1114</v>
      </c>
      <c r="J408" s="68">
        <v>67.45</v>
      </c>
      <c r="K408" s="68">
        <v>70.822500000000005</v>
      </c>
      <c r="L408" s="68">
        <v>10</v>
      </c>
      <c r="M408" s="68" t="s">
        <v>417</v>
      </c>
      <c r="N408" s="68">
        <v>4.2</v>
      </c>
      <c r="O408" s="68">
        <v>3.3725000000000023</v>
      </c>
    </row>
    <row r="409" spans="2:15" ht="15.75">
      <c r="B409" s="70" t="s">
        <v>853</v>
      </c>
      <c r="C409" s="77">
        <v>43992</v>
      </c>
      <c r="D409" s="70" t="s">
        <v>175</v>
      </c>
      <c r="E409" s="68" t="s">
        <v>134</v>
      </c>
      <c r="F409" s="68" t="s">
        <v>414</v>
      </c>
      <c r="G409" s="68" t="s">
        <v>415</v>
      </c>
      <c r="H409" s="68" t="s">
        <v>463</v>
      </c>
      <c r="I409" s="68" t="s">
        <v>1113</v>
      </c>
      <c r="J409" s="68">
        <v>38.72</v>
      </c>
      <c r="K409" s="68">
        <v>40.655999999999999</v>
      </c>
      <c r="L409" s="68">
        <v>9</v>
      </c>
      <c r="M409" s="68" t="s">
        <v>417</v>
      </c>
      <c r="N409" s="68">
        <v>4.2</v>
      </c>
      <c r="O409" s="68">
        <v>1.9359999999999999</v>
      </c>
    </row>
    <row r="410" spans="2:15" ht="15.75">
      <c r="B410" s="70" t="s">
        <v>854</v>
      </c>
      <c r="C410" s="77">
        <v>43993</v>
      </c>
      <c r="D410" s="70" t="s">
        <v>266</v>
      </c>
      <c r="E410" s="68" t="s">
        <v>135</v>
      </c>
      <c r="F410" s="68" t="s">
        <v>414</v>
      </c>
      <c r="G410" s="68" t="s">
        <v>494</v>
      </c>
      <c r="H410" s="68" t="s">
        <v>463</v>
      </c>
      <c r="I410" s="68" t="s">
        <v>1113</v>
      </c>
      <c r="J410" s="68">
        <v>72.599999999999994</v>
      </c>
      <c r="K410" s="68">
        <v>76.23</v>
      </c>
      <c r="L410" s="68">
        <v>6</v>
      </c>
      <c r="M410" s="68" t="s">
        <v>422</v>
      </c>
      <c r="N410" s="68">
        <v>6.9</v>
      </c>
      <c r="O410" s="68">
        <v>3.6300000000000097</v>
      </c>
    </row>
    <row r="411" spans="2:15" ht="15.75">
      <c r="B411" s="70" t="s">
        <v>855</v>
      </c>
      <c r="C411" s="77">
        <v>43994</v>
      </c>
      <c r="D411" s="70" t="s">
        <v>419</v>
      </c>
      <c r="E411" s="68" t="s">
        <v>131</v>
      </c>
      <c r="F411" s="68" t="s">
        <v>414</v>
      </c>
      <c r="G411" s="68" t="s">
        <v>494</v>
      </c>
      <c r="H411" s="68" t="s">
        <v>421</v>
      </c>
      <c r="I411" s="68" t="s">
        <v>1116</v>
      </c>
      <c r="J411" s="68">
        <v>87.91</v>
      </c>
      <c r="K411" s="68">
        <v>92.305499999999995</v>
      </c>
      <c r="L411" s="68">
        <v>5</v>
      </c>
      <c r="M411" s="68" t="s">
        <v>417</v>
      </c>
      <c r="N411" s="68">
        <v>4.4000000000000004</v>
      </c>
      <c r="O411" s="68">
        <v>4.3954999999999984</v>
      </c>
    </row>
    <row r="412" spans="2:15" ht="15.75">
      <c r="B412" s="70" t="s">
        <v>856</v>
      </c>
      <c r="C412" s="77">
        <v>43995</v>
      </c>
      <c r="D412" s="70" t="s">
        <v>175</v>
      </c>
      <c r="E412" s="68" t="s">
        <v>134</v>
      </c>
      <c r="F412" s="68" t="s">
        <v>414</v>
      </c>
      <c r="G412" s="68" t="s">
        <v>494</v>
      </c>
      <c r="H412" s="68" t="s">
        <v>457</v>
      </c>
      <c r="I412" s="68" t="s">
        <v>1114</v>
      </c>
      <c r="J412" s="68">
        <v>98.53</v>
      </c>
      <c r="K412" s="68">
        <v>103.45650000000001</v>
      </c>
      <c r="L412" s="68">
        <v>6</v>
      </c>
      <c r="M412" s="68" t="s">
        <v>433</v>
      </c>
      <c r="N412" s="68">
        <v>4</v>
      </c>
      <c r="O412" s="68">
        <v>4.9265000000000043</v>
      </c>
    </row>
    <row r="413" spans="2:15" ht="15.75">
      <c r="B413" s="70" t="s">
        <v>857</v>
      </c>
      <c r="C413" s="77">
        <v>43996</v>
      </c>
      <c r="D413" s="70" t="s">
        <v>175</v>
      </c>
      <c r="E413" s="68" t="s">
        <v>134</v>
      </c>
      <c r="F413" s="68" t="s">
        <v>420</v>
      </c>
      <c r="G413" s="68" t="s">
        <v>415</v>
      </c>
      <c r="H413" s="68" t="s">
        <v>457</v>
      </c>
      <c r="I413" s="68" t="s">
        <v>1114</v>
      </c>
      <c r="J413" s="68">
        <v>71.680000000000007</v>
      </c>
      <c r="K413" s="68">
        <v>75.263999999999996</v>
      </c>
      <c r="L413" s="68">
        <v>3</v>
      </c>
      <c r="M413" s="68" t="s">
        <v>433</v>
      </c>
      <c r="N413" s="68">
        <v>9.1999999999999993</v>
      </c>
      <c r="O413" s="68">
        <v>3.583999999999989</v>
      </c>
    </row>
    <row r="414" spans="2:15" ht="15.75">
      <c r="B414" s="70" t="s">
        <v>858</v>
      </c>
      <c r="C414" s="77">
        <v>43997</v>
      </c>
      <c r="D414" s="70" t="s">
        <v>175</v>
      </c>
      <c r="E414" s="68" t="s">
        <v>134</v>
      </c>
      <c r="F414" s="68" t="s">
        <v>414</v>
      </c>
      <c r="G414" s="68" t="s">
        <v>415</v>
      </c>
      <c r="H414" s="68" t="s">
        <v>457</v>
      </c>
      <c r="I414" s="68" t="s">
        <v>1114</v>
      </c>
      <c r="J414" s="68">
        <v>91.61</v>
      </c>
      <c r="K414" s="68">
        <v>96.1905</v>
      </c>
      <c r="L414" s="68">
        <v>1</v>
      </c>
      <c r="M414" s="68" t="s">
        <v>422</v>
      </c>
      <c r="N414" s="68">
        <v>9.8000000000000007</v>
      </c>
      <c r="O414" s="68">
        <v>4.5805000000000007</v>
      </c>
    </row>
    <row r="415" spans="2:15" ht="15.75">
      <c r="B415" s="70" t="s">
        <v>859</v>
      </c>
      <c r="C415" s="77">
        <v>43998</v>
      </c>
      <c r="D415" s="70" t="s">
        <v>266</v>
      </c>
      <c r="E415" s="68" t="s">
        <v>135</v>
      </c>
      <c r="F415" s="68" t="s">
        <v>414</v>
      </c>
      <c r="G415" s="68" t="s">
        <v>415</v>
      </c>
      <c r="H415" s="68" t="s">
        <v>457</v>
      </c>
      <c r="I415" s="68" t="s">
        <v>1114</v>
      </c>
      <c r="J415" s="68">
        <v>78.88</v>
      </c>
      <c r="K415" s="68">
        <v>82.823999999999998</v>
      </c>
      <c r="L415" s="68">
        <v>2</v>
      </c>
      <c r="M415" s="68" t="s">
        <v>422</v>
      </c>
      <c r="N415" s="68">
        <v>9.1</v>
      </c>
      <c r="O415" s="68">
        <v>3.9440000000000026</v>
      </c>
    </row>
    <row r="416" spans="2:15" ht="15.75">
      <c r="B416" s="70" t="s">
        <v>860</v>
      </c>
      <c r="C416" s="77">
        <v>43999</v>
      </c>
      <c r="D416" s="70" t="s">
        <v>175</v>
      </c>
      <c r="E416" s="68" t="s">
        <v>134</v>
      </c>
      <c r="F416" s="68" t="s">
        <v>420</v>
      </c>
      <c r="G416" s="68" t="s">
        <v>494</v>
      </c>
      <c r="H416" s="68" t="s">
        <v>463</v>
      </c>
      <c r="I416" s="68" t="s">
        <v>1113</v>
      </c>
      <c r="J416" s="68">
        <v>60.87</v>
      </c>
      <c r="K416" s="68">
        <v>63.913499999999999</v>
      </c>
      <c r="L416" s="68">
        <v>2</v>
      </c>
      <c r="M416" s="68" t="s">
        <v>417</v>
      </c>
      <c r="N416" s="68">
        <v>8.6999999999999993</v>
      </c>
      <c r="O416" s="68">
        <v>3.0435000000000016</v>
      </c>
    </row>
    <row r="417" spans="2:15" ht="15.75">
      <c r="B417" s="70" t="s">
        <v>861</v>
      </c>
      <c r="C417" s="77">
        <v>44000</v>
      </c>
      <c r="D417" s="70" t="s">
        <v>266</v>
      </c>
      <c r="E417" s="68" t="s">
        <v>135</v>
      </c>
      <c r="F417" s="68" t="s">
        <v>414</v>
      </c>
      <c r="G417" s="68" t="s">
        <v>494</v>
      </c>
      <c r="H417" s="68" t="s">
        <v>432</v>
      </c>
      <c r="I417" s="68" t="s">
        <v>1115</v>
      </c>
      <c r="J417" s="68">
        <v>82.58</v>
      </c>
      <c r="K417" s="68">
        <v>86.709000000000003</v>
      </c>
      <c r="L417" s="68">
        <v>10</v>
      </c>
      <c r="M417" s="68" t="s">
        <v>422</v>
      </c>
      <c r="N417" s="68">
        <v>5</v>
      </c>
      <c r="O417" s="68">
        <v>4.1290000000000049</v>
      </c>
    </row>
    <row r="418" spans="2:15" ht="15.75">
      <c r="B418" s="70" t="s">
        <v>862</v>
      </c>
      <c r="C418" s="77">
        <v>44001</v>
      </c>
      <c r="D418" s="70" t="s">
        <v>175</v>
      </c>
      <c r="E418" s="68" t="s">
        <v>134</v>
      </c>
      <c r="F418" s="68" t="s">
        <v>420</v>
      </c>
      <c r="G418" s="68" t="s">
        <v>494</v>
      </c>
      <c r="H418" s="68" t="s">
        <v>469</v>
      </c>
      <c r="I418" s="68" t="s">
        <v>1113</v>
      </c>
      <c r="J418" s="68">
        <v>64.19</v>
      </c>
      <c r="K418" s="68">
        <v>67.399500000000003</v>
      </c>
      <c r="L418" s="68">
        <v>10</v>
      </c>
      <c r="M418" s="68" t="s">
        <v>433</v>
      </c>
      <c r="N418" s="68">
        <v>6.7</v>
      </c>
      <c r="O418" s="68">
        <v>3.2095000000000056</v>
      </c>
    </row>
    <row r="419" spans="2:15" ht="15.75">
      <c r="B419" s="70" t="s">
        <v>863</v>
      </c>
      <c r="C419" s="77">
        <v>44002</v>
      </c>
      <c r="D419" s="70" t="s">
        <v>175</v>
      </c>
      <c r="E419" s="68" t="s">
        <v>134</v>
      </c>
      <c r="F419" s="68" t="s">
        <v>420</v>
      </c>
      <c r="G419" s="68" t="s">
        <v>494</v>
      </c>
      <c r="H419" s="68" t="s">
        <v>421</v>
      </c>
      <c r="I419" s="68" t="s">
        <v>1116</v>
      </c>
      <c r="J419" s="68">
        <v>78.31</v>
      </c>
      <c r="K419" s="68">
        <v>82.225499999999997</v>
      </c>
      <c r="L419" s="68">
        <v>3</v>
      </c>
      <c r="M419" s="68" t="s">
        <v>417</v>
      </c>
      <c r="N419" s="68">
        <v>5.4</v>
      </c>
      <c r="O419" s="68">
        <v>3.9154999999999944</v>
      </c>
    </row>
    <row r="420" spans="2:15" ht="15.75">
      <c r="B420" s="70" t="s">
        <v>864</v>
      </c>
      <c r="C420" s="77">
        <v>44003</v>
      </c>
      <c r="D420" s="70" t="s">
        <v>175</v>
      </c>
      <c r="E420" s="68" t="s">
        <v>134</v>
      </c>
      <c r="F420" s="68" t="s">
        <v>414</v>
      </c>
      <c r="G420" s="68" t="s">
        <v>494</v>
      </c>
      <c r="H420" s="68" t="s">
        <v>457</v>
      </c>
      <c r="I420" s="68" t="s">
        <v>1114</v>
      </c>
      <c r="J420" s="68">
        <v>83.77</v>
      </c>
      <c r="K420" s="68">
        <v>87.958500000000001</v>
      </c>
      <c r="L420" s="68">
        <v>2</v>
      </c>
      <c r="M420" s="68" t="s">
        <v>433</v>
      </c>
      <c r="N420" s="68">
        <v>7</v>
      </c>
      <c r="O420" s="68">
        <v>4.1885000000000048</v>
      </c>
    </row>
    <row r="421" spans="2:15" ht="15.75">
      <c r="B421" s="70" t="s">
        <v>865</v>
      </c>
      <c r="C421" s="77">
        <v>44004</v>
      </c>
      <c r="D421" s="70" t="s">
        <v>266</v>
      </c>
      <c r="E421" s="68" t="s">
        <v>135</v>
      </c>
      <c r="F421" s="68" t="s">
        <v>414</v>
      </c>
      <c r="G421" s="68" t="s">
        <v>494</v>
      </c>
      <c r="H421" s="68" t="s">
        <v>457</v>
      </c>
      <c r="I421" s="68" t="s">
        <v>1114</v>
      </c>
      <c r="J421" s="68">
        <v>79.91</v>
      </c>
      <c r="K421" s="68">
        <v>83.905500000000004</v>
      </c>
      <c r="L421" s="68">
        <v>3</v>
      </c>
      <c r="M421" s="68" t="s">
        <v>433</v>
      </c>
      <c r="N421" s="68">
        <v>5</v>
      </c>
      <c r="O421" s="68">
        <v>3.9955000000000069</v>
      </c>
    </row>
    <row r="422" spans="2:15" ht="15.75">
      <c r="B422" s="70" t="s">
        <v>866</v>
      </c>
      <c r="C422" s="77">
        <v>44005</v>
      </c>
      <c r="D422" s="70" t="s">
        <v>266</v>
      </c>
      <c r="E422" s="68" t="s">
        <v>135</v>
      </c>
      <c r="F422" s="68" t="s">
        <v>414</v>
      </c>
      <c r="G422" s="68" t="s">
        <v>494</v>
      </c>
      <c r="H422" s="68" t="s">
        <v>446</v>
      </c>
      <c r="I422" s="68" t="s">
        <v>1115</v>
      </c>
      <c r="J422" s="68">
        <v>66.47</v>
      </c>
      <c r="K422" s="68">
        <v>69.793499999999995</v>
      </c>
      <c r="L422" s="68">
        <v>10</v>
      </c>
      <c r="M422" s="68" t="s">
        <v>433</v>
      </c>
      <c r="N422" s="68">
        <v>5</v>
      </c>
      <c r="O422" s="68">
        <v>3.3234999999999957</v>
      </c>
    </row>
    <row r="423" spans="2:15" ht="15.75">
      <c r="B423" s="70" t="s">
        <v>867</v>
      </c>
      <c r="C423" s="77">
        <v>44006</v>
      </c>
      <c r="D423" s="70" t="s">
        <v>175</v>
      </c>
      <c r="E423" s="68" t="s">
        <v>134</v>
      </c>
      <c r="F423" s="68" t="s">
        <v>420</v>
      </c>
      <c r="G423" s="68" t="s">
        <v>494</v>
      </c>
      <c r="H423" s="68" t="s">
        <v>432</v>
      </c>
      <c r="I423" s="68" t="s">
        <v>1115</v>
      </c>
      <c r="J423" s="68">
        <v>28.95</v>
      </c>
      <c r="K423" s="68">
        <v>30.397500000000001</v>
      </c>
      <c r="L423" s="68">
        <v>7</v>
      </c>
      <c r="M423" s="68" t="s">
        <v>433</v>
      </c>
      <c r="N423" s="68">
        <v>6</v>
      </c>
      <c r="O423" s="68">
        <v>1.4475000000000016</v>
      </c>
    </row>
    <row r="424" spans="2:15" ht="15.75">
      <c r="B424" s="70" t="s">
        <v>868</v>
      </c>
      <c r="C424" s="77">
        <v>44007</v>
      </c>
      <c r="D424" s="70" t="s">
        <v>419</v>
      </c>
      <c r="E424" s="68" t="s">
        <v>131</v>
      </c>
      <c r="F424" s="68" t="s">
        <v>420</v>
      </c>
      <c r="G424" s="68" t="s">
        <v>415</v>
      </c>
      <c r="H424" s="68" t="s">
        <v>499</v>
      </c>
      <c r="I424" s="68" t="s">
        <v>1116</v>
      </c>
      <c r="J424" s="68">
        <v>46.2</v>
      </c>
      <c r="K424" s="68">
        <v>48.51</v>
      </c>
      <c r="L424" s="68">
        <v>1</v>
      </c>
      <c r="M424" s="68" t="s">
        <v>422</v>
      </c>
      <c r="N424" s="68">
        <v>6.3</v>
      </c>
      <c r="O424" s="68">
        <v>2.3099999999999952</v>
      </c>
    </row>
    <row r="425" spans="2:15" ht="15.75">
      <c r="B425" s="70" t="s">
        <v>869</v>
      </c>
      <c r="C425" s="77">
        <v>44008</v>
      </c>
      <c r="D425" s="70" t="s">
        <v>266</v>
      </c>
      <c r="E425" s="68" t="s">
        <v>135</v>
      </c>
      <c r="F425" s="68" t="s">
        <v>414</v>
      </c>
      <c r="G425" s="68" t="s">
        <v>415</v>
      </c>
      <c r="H425" s="68" t="s">
        <v>457</v>
      </c>
      <c r="I425" s="68" t="s">
        <v>1114</v>
      </c>
      <c r="J425" s="68">
        <v>17.63</v>
      </c>
      <c r="K425" s="68">
        <v>18.511500000000002</v>
      </c>
      <c r="L425" s="68">
        <v>5</v>
      </c>
      <c r="M425" s="68" t="s">
        <v>422</v>
      </c>
      <c r="N425" s="68">
        <v>8.5</v>
      </c>
      <c r="O425" s="68">
        <v>0.88150000000000261</v>
      </c>
    </row>
    <row r="426" spans="2:15" ht="15.75">
      <c r="B426" s="70" t="s">
        <v>870</v>
      </c>
      <c r="C426" s="77">
        <v>44009</v>
      </c>
      <c r="D426" s="70" t="s">
        <v>266</v>
      </c>
      <c r="E426" s="68" t="s">
        <v>135</v>
      </c>
      <c r="F426" s="68" t="s">
        <v>414</v>
      </c>
      <c r="G426" s="68" t="s">
        <v>415</v>
      </c>
      <c r="H426" s="68" t="s">
        <v>457</v>
      </c>
      <c r="I426" s="68" t="s">
        <v>1114</v>
      </c>
      <c r="J426" s="68">
        <v>98.79</v>
      </c>
      <c r="K426" s="68">
        <v>103.72949999999999</v>
      </c>
      <c r="L426" s="68">
        <v>3</v>
      </c>
      <c r="M426" s="68" t="s">
        <v>417</v>
      </c>
      <c r="N426" s="68">
        <v>6.4</v>
      </c>
      <c r="O426" s="68">
        <v>4.9394999999999811</v>
      </c>
    </row>
    <row r="427" spans="2:15" ht="15.75">
      <c r="B427" s="70" t="s">
        <v>871</v>
      </c>
      <c r="C427" s="77">
        <v>44010</v>
      </c>
      <c r="D427" s="70" t="s">
        <v>419</v>
      </c>
      <c r="E427" s="68" t="s">
        <v>131</v>
      </c>
      <c r="F427" s="68" t="s">
        <v>414</v>
      </c>
      <c r="G427" s="68" t="s">
        <v>415</v>
      </c>
      <c r="H427" s="68" t="s">
        <v>430</v>
      </c>
      <c r="I427" s="68" t="s">
        <v>1116</v>
      </c>
      <c r="J427" s="68">
        <v>88.55</v>
      </c>
      <c r="K427" s="68">
        <v>92.977500000000006</v>
      </c>
      <c r="L427" s="68">
        <v>8</v>
      </c>
      <c r="M427" s="68" t="s">
        <v>417</v>
      </c>
      <c r="N427" s="68">
        <v>4.7</v>
      </c>
      <c r="O427" s="68">
        <v>4.4275000000000091</v>
      </c>
    </row>
    <row r="428" spans="2:15" ht="15.75">
      <c r="B428" s="70" t="s">
        <v>872</v>
      </c>
      <c r="C428" s="77">
        <v>44011</v>
      </c>
      <c r="D428" s="70" t="s">
        <v>266</v>
      </c>
      <c r="E428" s="68" t="s">
        <v>135</v>
      </c>
      <c r="F428" s="68" t="s">
        <v>414</v>
      </c>
      <c r="G428" s="68" t="s">
        <v>494</v>
      </c>
      <c r="H428" s="68" t="s">
        <v>430</v>
      </c>
      <c r="I428" s="68" t="s">
        <v>1116</v>
      </c>
      <c r="J428" s="68">
        <v>55.67</v>
      </c>
      <c r="K428" s="68">
        <v>58.453499999999998</v>
      </c>
      <c r="L428" s="68">
        <v>2</v>
      </c>
      <c r="M428" s="68" t="s">
        <v>417</v>
      </c>
      <c r="N428" s="68">
        <v>6</v>
      </c>
      <c r="O428" s="68">
        <v>2.7834999999999965</v>
      </c>
    </row>
    <row r="429" spans="2:15" ht="15.75">
      <c r="B429" s="70" t="s">
        <v>873</v>
      </c>
      <c r="C429" s="77">
        <v>44012</v>
      </c>
      <c r="D429" s="70" t="s">
        <v>419</v>
      </c>
      <c r="E429" s="68" t="s">
        <v>131</v>
      </c>
      <c r="F429" s="68" t="s">
        <v>414</v>
      </c>
      <c r="G429" s="68" t="s">
        <v>415</v>
      </c>
      <c r="H429" s="68" t="s">
        <v>457</v>
      </c>
      <c r="I429" s="68" t="s">
        <v>1114</v>
      </c>
      <c r="J429" s="68">
        <v>72.52</v>
      </c>
      <c r="K429" s="68">
        <v>76.146000000000001</v>
      </c>
      <c r="L429" s="68">
        <v>8</v>
      </c>
      <c r="M429" s="68" t="s">
        <v>433</v>
      </c>
      <c r="N429" s="68">
        <v>4</v>
      </c>
      <c r="O429" s="68">
        <v>3.6260000000000048</v>
      </c>
    </row>
    <row r="430" spans="2:15" ht="15.75">
      <c r="B430" s="70" t="s">
        <v>874</v>
      </c>
      <c r="C430" s="77">
        <v>44013</v>
      </c>
      <c r="D430" s="70" t="s">
        <v>419</v>
      </c>
      <c r="E430" s="68" t="s">
        <v>131</v>
      </c>
      <c r="F430" s="68" t="s">
        <v>414</v>
      </c>
      <c r="G430" s="68" t="s">
        <v>494</v>
      </c>
      <c r="H430" s="68" t="s">
        <v>430</v>
      </c>
      <c r="I430" s="68" t="s">
        <v>1116</v>
      </c>
      <c r="J430" s="68">
        <v>12.05</v>
      </c>
      <c r="K430" s="68">
        <v>12.6525</v>
      </c>
      <c r="L430" s="68">
        <v>5</v>
      </c>
      <c r="M430" s="68" t="s">
        <v>417</v>
      </c>
      <c r="N430" s="68">
        <v>5.5</v>
      </c>
      <c r="O430" s="68">
        <v>0.60249999999999915</v>
      </c>
    </row>
    <row r="431" spans="2:15" ht="15.75">
      <c r="B431" s="70" t="s">
        <v>875</v>
      </c>
      <c r="C431" s="77">
        <v>44014</v>
      </c>
      <c r="D431" s="70" t="s">
        <v>419</v>
      </c>
      <c r="E431" s="68" t="s">
        <v>131</v>
      </c>
      <c r="F431" s="68" t="s">
        <v>420</v>
      </c>
      <c r="G431" s="68" t="s">
        <v>494</v>
      </c>
      <c r="H431" s="68" t="s">
        <v>432</v>
      </c>
      <c r="I431" s="68" t="s">
        <v>1115</v>
      </c>
      <c r="J431" s="68">
        <v>70.209999999999994</v>
      </c>
      <c r="K431" s="68">
        <v>73.720500000000001</v>
      </c>
      <c r="L431" s="68">
        <v>6</v>
      </c>
      <c r="M431" s="68" t="s">
        <v>422</v>
      </c>
      <c r="N431" s="68">
        <v>7.4</v>
      </c>
      <c r="O431" s="68">
        <v>3.5105000000000075</v>
      </c>
    </row>
    <row r="432" spans="2:15" ht="15.75">
      <c r="B432" s="70" t="s">
        <v>876</v>
      </c>
      <c r="C432" s="77">
        <v>44015</v>
      </c>
      <c r="D432" s="70" t="s">
        <v>419</v>
      </c>
      <c r="E432" s="68" t="s">
        <v>131</v>
      </c>
      <c r="F432" s="68" t="s">
        <v>414</v>
      </c>
      <c r="G432" s="68" t="s">
        <v>415</v>
      </c>
      <c r="H432" s="68" t="s">
        <v>469</v>
      </c>
      <c r="I432" s="68" t="s">
        <v>1113</v>
      </c>
      <c r="J432" s="68">
        <v>15.49</v>
      </c>
      <c r="K432" s="68">
        <v>16.264500000000002</v>
      </c>
      <c r="L432" s="68">
        <v>2</v>
      </c>
      <c r="M432" s="68" t="s">
        <v>422</v>
      </c>
      <c r="N432" s="68">
        <v>6.3</v>
      </c>
      <c r="O432" s="68">
        <v>0.77450000000000152</v>
      </c>
    </row>
    <row r="433" spans="2:15" ht="15.75">
      <c r="B433" s="70" t="s">
        <v>877</v>
      </c>
      <c r="C433" s="77">
        <v>44016</v>
      </c>
      <c r="D433" s="70" t="s">
        <v>419</v>
      </c>
      <c r="E433" s="68" t="s">
        <v>131</v>
      </c>
      <c r="F433" s="68" t="s">
        <v>420</v>
      </c>
      <c r="G433" s="68" t="s">
        <v>494</v>
      </c>
      <c r="H433" s="68" t="s">
        <v>430</v>
      </c>
      <c r="I433" s="68" t="s">
        <v>1116</v>
      </c>
      <c r="J433" s="68">
        <v>24.74</v>
      </c>
      <c r="K433" s="68">
        <v>25.976999999999997</v>
      </c>
      <c r="L433" s="68">
        <v>10</v>
      </c>
      <c r="M433" s="68" t="s">
        <v>422</v>
      </c>
      <c r="N433" s="68">
        <v>7.1</v>
      </c>
      <c r="O433" s="68">
        <v>1.2369999999999983</v>
      </c>
    </row>
    <row r="434" spans="2:15" ht="15.75">
      <c r="B434" s="70" t="s">
        <v>878</v>
      </c>
      <c r="C434" s="77">
        <v>44017</v>
      </c>
      <c r="D434" s="70" t="s">
        <v>266</v>
      </c>
      <c r="E434" s="68" t="s">
        <v>135</v>
      </c>
      <c r="F434" s="68" t="s">
        <v>420</v>
      </c>
      <c r="G434" s="68" t="s">
        <v>494</v>
      </c>
      <c r="H434" s="68" t="s">
        <v>430</v>
      </c>
      <c r="I434" s="68" t="s">
        <v>1116</v>
      </c>
      <c r="J434" s="68">
        <v>75.66</v>
      </c>
      <c r="K434" s="68">
        <v>79.442999999999998</v>
      </c>
      <c r="L434" s="68">
        <v>5</v>
      </c>
      <c r="M434" s="68" t="s">
        <v>417</v>
      </c>
      <c r="N434" s="68">
        <v>7.8</v>
      </c>
      <c r="O434" s="68">
        <v>3.7830000000000013</v>
      </c>
    </row>
    <row r="435" spans="2:15" ht="15.75">
      <c r="B435" s="70" t="s">
        <v>879</v>
      </c>
      <c r="C435" s="77">
        <v>44018</v>
      </c>
      <c r="D435" s="70" t="s">
        <v>266</v>
      </c>
      <c r="E435" s="68" t="s">
        <v>135</v>
      </c>
      <c r="F435" s="68" t="s">
        <v>420</v>
      </c>
      <c r="G435" s="68" t="s">
        <v>415</v>
      </c>
      <c r="H435" s="68" t="s">
        <v>465</v>
      </c>
      <c r="I435" s="68" t="s">
        <v>1115</v>
      </c>
      <c r="J435" s="68">
        <v>55.81</v>
      </c>
      <c r="K435" s="68">
        <v>58.600500000000004</v>
      </c>
      <c r="L435" s="68">
        <v>6</v>
      </c>
      <c r="M435" s="68" t="s">
        <v>422</v>
      </c>
      <c r="N435" s="68">
        <v>9.9</v>
      </c>
      <c r="O435" s="68">
        <v>2.7905000000000015</v>
      </c>
    </row>
    <row r="436" spans="2:15" ht="15.75">
      <c r="B436" s="70" t="s">
        <v>880</v>
      </c>
      <c r="C436" s="77">
        <v>44019</v>
      </c>
      <c r="D436" s="70" t="s">
        <v>266</v>
      </c>
      <c r="E436" s="68" t="s">
        <v>135</v>
      </c>
      <c r="F436" s="68" t="s">
        <v>414</v>
      </c>
      <c r="G436" s="68" t="s">
        <v>494</v>
      </c>
      <c r="H436" s="68" t="s">
        <v>469</v>
      </c>
      <c r="I436" s="68" t="s">
        <v>1113</v>
      </c>
      <c r="J436" s="68">
        <v>37.32</v>
      </c>
      <c r="K436" s="68">
        <v>39.186</v>
      </c>
      <c r="L436" s="68">
        <v>9</v>
      </c>
      <c r="M436" s="68" t="s">
        <v>417</v>
      </c>
      <c r="N436" s="68">
        <v>5.0999999999999996</v>
      </c>
      <c r="O436" s="68">
        <v>1.8659999999999997</v>
      </c>
    </row>
    <row r="437" spans="2:15" ht="15.75">
      <c r="B437" s="70" t="s">
        <v>881</v>
      </c>
      <c r="C437" s="77">
        <v>44020</v>
      </c>
      <c r="D437" s="70" t="s">
        <v>175</v>
      </c>
      <c r="E437" s="68" t="s">
        <v>134</v>
      </c>
      <c r="F437" s="68" t="s">
        <v>420</v>
      </c>
      <c r="G437" s="68" t="s">
        <v>415</v>
      </c>
      <c r="H437" s="68" t="s">
        <v>430</v>
      </c>
      <c r="I437" s="68" t="s">
        <v>1116</v>
      </c>
      <c r="J437" s="68">
        <v>15.69</v>
      </c>
      <c r="K437" s="68">
        <v>16.474499999999999</v>
      </c>
      <c r="L437" s="68">
        <v>3</v>
      </c>
      <c r="M437" s="68" t="s">
        <v>433</v>
      </c>
      <c r="N437" s="68">
        <v>5.8</v>
      </c>
      <c r="O437" s="68">
        <v>0.78449999999999953</v>
      </c>
    </row>
    <row r="438" spans="2:15" ht="15.75">
      <c r="B438" s="70" t="s">
        <v>882</v>
      </c>
      <c r="C438" s="77">
        <v>44021</v>
      </c>
      <c r="D438" s="70" t="s">
        <v>419</v>
      </c>
      <c r="E438" s="68" t="s">
        <v>131</v>
      </c>
      <c r="F438" s="68" t="s">
        <v>420</v>
      </c>
      <c r="G438" s="68" t="s">
        <v>415</v>
      </c>
      <c r="H438" s="68" t="s">
        <v>430</v>
      </c>
      <c r="I438" s="68" t="s">
        <v>1116</v>
      </c>
      <c r="J438" s="68">
        <v>99.69</v>
      </c>
      <c r="K438" s="68">
        <v>104.67449999999999</v>
      </c>
      <c r="L438" s="68">
        <v>1</v>
      </c>
      <c r="M438" s="68" t="s">
        <v>433</v>
      </c>
      <c r="N438" s="68">
        <v>8</v>
      </c>
      <c r="O438" s="68">
        <v>4.984499999999997</v>
      </c>
    </row>
    <row r="439" spans="2:15" ht="15.75">
      <c r="B439" s="70" t="s">
        <v>883</v>
      </c>
      <c r="C439" s="77">
        <v>44022</v>
      </c>
      <c r="D439" s="70" t="s">
        <v>175</v>
      </c>
      <c r="E439" s="68" t="s">
        <v>134</v>
      </c>
      <c r="F439" s="68" t="s">
        <v>414</v>
      </c>
      <c r="G439" s="68" t="s">
        <v>415</v>
      </c>
      <c r="H439" s="68" t="s">
        <v>469</v>
      </c>
      <c r="I439" s="68" t="s">
        <v>1113</v>
      </c>
      <c r="J439" s="68">
        <v>27.93</v>
      </c>
      <c r="K439" s="68">
        <v>29.326499999999999</v>
      </c>
      <c r="L439" s="68">
        <v>5</v>
      </c>
      <c r="M439" s="68" t="s">
        <v>422</v>
      </c>
      <c r="N439" s="68">
        <v>5.9</v>
      </c>
      <c r="O439" s="68">
        <v>1.3964999999999996</v>
      </c>
    </row>
    <row r="440" spans="2:15" ht="15.75">
      <c r="B440" s="70" t="s">
        <v>884</v>
      </c>
      <c r="C440" s="77">
        <v>44023</v>
      </c>
      <c r="D440" s="70" t="s">
        <v>266</v>
      </c>
      <c r="E440" s="68" t="s">
        <v>135</v>
      </c>
      <c r="F440" s="68" t="s">
        <v>420</v>
      </c>
      <c r="G440" s="68" t="s">
        <v>415</v>
      </c>
      <c r="H440" s="68" t="s">
        <v>469</v>
      </c>
      <c r="I440" s="68" t="s">
        <v>1113</v>
      </c>
      <c r="J440" s="68">
        <v>42.97</v>
      </c>
      <c r="K440" s="68">
        <v>45.118500000000004</v>
      </c>
      <c r="L440" s="68">
        <v>3</v>
      </c>
      <c r="M440" s="68" t="s">
        <v>422</v>
      </c>
      <c r="N440" s="68">
        <v>9.3000000000000007</v>
      </c>
      <c r="O440" s="68">
        <v>2.1485000000000056</v>
      </c>
    </row>
    <row r="441" spans="2:15" ht="15.75">
      <c r="B441" s="70" t="s">
        <v>885</v>
      </c>
      <c r="C441" s="77">
        <v>44024</v>
      </c>
      <c r="D441" s="70" t="s">
        <v>419</v>
      </c>
      <c r="E441" s="68" t="s">
        <v>131</v>
      </c>
      <c r="F441" s="68" t="s">
        <v>414</v>
      </c>
      <c r="G441" s="68" t="s">
        <v>494</v>
      </c>
      <c r="H441" s="68" t="s">
        <v>469</v>
      </c>
      <c r="I441" s="68" t="s">
        <v>1113</v>
      </c>
      <c r="J441" s="68">
        <v>17.14</v>
      </c>
      <c r="K441" s="68">
        <v>17.997</v>
      </c>
      <c r="L441" s="68">
        <v>7</v>
      </c>
      <c r="M441" s="68" t="s">
        <v>433</v>
      </c>
      <c r="N441" s="68">
        <v>7.9</v>
      </c>
      <c r="O441" s="68">
        <v>0.85699999999999932</v>
      </c>
    </row>
    <row r="442" spans="2:15" ht="15.75">
      <c r="B442" s="70" t="s">
        <v>886</v>
      </c>
      <c r="C442" s="77">
        <v>44025</v>
      </c>
      <c r="D442" s="70" t="s">
        <v>419</v>
      </c>
      <c r="E442" s="68" t="s">
        <v>131</v>
      </c>
      <c r="F442" s="68" t="s">
        <v>414</v>
      </c>
      <c r="G442" s="68" t="s">
        <v>415</v>
      </c>
      <c r="H442" s="68" t="s">
        <v>457</v>
      </c>
      <c r="I442" s="68" t="s">
        <v>1114</v>
      </c>
      <c r="J442" s="68">
        <v>87.1</v>
      </c>
      <c r="K442" s="68">
        <v>91.454999999999998</v>
      </c>
      <c r="L442" s="68">
        <v>10</v>
      </c>
      <c r="M442" s="68" t="s">
        <v>433</v>
      </c>
      <c r="N442" s="68">
        <v>9.9</v>
      </c>
      <c r="O442" s="68">
        <v>4.355000000000004</v>
      </c>
    </row>
    <row r="443" spans="2:15" ht="15.75">
      <c r="B443" s="70" t="s">
        <v>887</v>
      </c>
      <c r="C443" s="77">
        <v>44026</v>
      </c>
      <c r="D443" s="70" t="s">
        <v>419</v>
      </c>
      <c r="E443" s="68" t="s">
        <v>131</v>
      </c>
      <c r="F443" s="68" t="s">
        <v>420</v>
      </c>
      <c r="G443" s="68" t="s">
        <v>415</v>
      </c>
      <c r="H443" s="68" t="s">
        <v>469</v>
      </c>
      <c r="I443" s="68" t="s">
        <v>1113</v>
      </c>
      <c r="J443" s="68">
        <v>98.8</v>
      </c>
      <c r="K443" s="68">
        <v>103.74</v>
      </c>
      <c r="L443" s="68">
        <v>2</v>
      </c>
      <c r="M443" s="68" t="s">
        <v>422</v>
      </c>
      <c r="N443" s="68">
        <v>7.7</v>
      </c>
      <c r="O443" s="68">
        <v>4.9399999999999977</v>
      </c>
    </row>
    <row r="444" spans="2:15" ht="15.75">
      <c r="B444" s="70" t="s">
        <v>888</v>
      </c>
      <c r="C444" s="77">
        <v>44027</v>
      </c>
      <c r="D444" s="70" t="s">
        <v>266</v>
      </c>
      <c r="E444" s="68" t="s">
        <v>135</v>
      </c>
      <c r="F444" s="68" t="s">
        <v>414</v>
      </c>
      <c r="G444" s="68" t="s">
        <v>494</v>
      </c>
      <c r="H444" s="68" t="s">
        <v>457</v>
      </c>
      <c r="I444" s="68" t="s">
        <v>1114</v>
      </c>
      <c r="J444" s="68">
        <v>57.74</v>
      </c>
      <c r="K444" s="68">
        <v>60.627000000000002</v>
      </c>
      <c r="L444" s="68">
        <v>3</v>
      </c>
      <c r="M444" s="68" t="s">
        <v>417</v>
      </c>
      <c r="N444" s="68">
        <v>7.7</v>
      </c>
      <c r="O444" s="68">
        <v>2.8870000000000005</v>
      </c>
    </row>
    <row r="445" spans="2:15" ht="15.75">
      <c r="B445" s="70" t="s">
        <v>889</v>
      </c>
      <c r="C445" s="77">
        <v>44028</v>
      </c>
      <c r="D445" s="70" t="s">
        <v>266</v>
      </c>
      <c r="E445" s="68" t="s">
        <v>135</v>
      </c>
      <c r="F445" s="68" t="s">
        <v>420</v>
      </c>
      <c r="G445" s="68" t="s">
        <v>415</v>
      </c>
      <c r="H445" s="68" t="s">
        <v>442</v>
      </c>
      <c r="I445" s="68" t="s">
        <v>1115</v>
      </c>
      <c r="J445" s="68">
        <v>17.97</v>
      </c>
      <c r="K445" s="68">
        <v>18.868500000000001</v>
      </c>
      <c r="L445" s="68">
        <v>4</v>
      </c>
      <c r="M445" s="68" t="s">
        <v>417</v>
      </c>
      <c r="N445" s="68">
        <v>6.4</v>
      </c>
      <c r="O445" s="68">
        <v>0.89850000000000207</v>
      </c>
    </row>
    <row r="446" spans="2:15" ht="15.75">
      <c r="B446" s="70" t="s">
        <v>890</v>
      </c>
      <c r="C446" s="77">
        <v>44029</v>
      </c>
      <c r="D446" s="70" t="s">
        <v>419</v>
      </c>
      <c r="E446" s="68" t="s">
        <v>131</v>
      </c>
      <c r="F446" s="68" t="s">
        <v>414</v>
      </c>
      <c r="G446" s="68" t="s">
        <v>415</v>
      </c>
      <c r="H446" s="68" t="s">
        <v>465</v>
      </c>
      <c r="I446" s="68" t="s">
        <v>1115</v>
      </c>
      <c r="J446" s="68">
        <v>47.71</v>
      </c>
      <c r="K446" s="68">
        <v>50.095499999999994</v>
      </c>
      <c r="L446" s="68">
        <v>6</v>
      </c>
      <c r="M446" s="68" t="s">
        <v>417</v>
      </c>
      <c r="N446" s="68">
        <v>4.4000000000000004</v>
      </c>
      <c r="O446" s="68">
        <v>2.3854999999999933</v>
      </c>
    </row>
    <row r="447" spans="2:15" ht="15.75">
      <c r="B447" s="70" t="s">
        <v>891</v>
      </c>
      <c r="C447" s="77">
        <v>44030</v>
      </c>
      <c r="D447" s="70" t="s">
        <v>266</v>
      </c>
      <c r="E447" s="68" t="s">
        <v>135</v>
      </c>
      <c r="F447" s="68" t="s">
        <v>420</v>
      </c>
      <c r="G447" s="68" t="s">
        <v>415</v>
      </c>
      <c r="H447" s="68" t="s">
        <v>892</v>
      </c>
      <c r="I447" s="68" t="s">
        <v>1113</v>
      </c>
      <c r="J447" s="68">
        <v>40.619999999999997</v>
      </c>
      <c r="K447" s="68">
        <v>42.651000000000003</v>
      </c>
      <c r="L447" s="68">
        <v>2</v>
      </c>
      <c r="M447" s="68" t="s">
        <v>433</v>
      </c>
      <c r="N447" s="68">
        <v>4.0999999999999996</v>
      </c>
      <c r="O447" s="68">
        <v>2.0310000000000059</v>
      </c>
    </row>
    <row r="448" spans="2:15" ht="15.75">
      <c r="B448" s="70" t="s">
        <v>893</v>
      </c>
      <c r="C448" s="77">
        <v>44031</v>
      </c>
      <c r="D448" s="70" t="s">
        <v>266</v>
      </c>
      <c r="E448" s="68" t="s">
        <v>135</v>
      </c>
      <c r="F448" s="68" t="s">
        <v>414</v>
      </c>
      <c r="G448" s="68" t="s">
        <v>494</v>
      </c>
      <c r="H448" s="68" t="s">
        <v>457</v>
      </c>
      <c r="I448" s="68" t="s">
        <v>1114</v>
      </c>
      <c r="J448" s="68">
        <v>93.4</v>
      </c>
      <c r="K448" s="68">
        <v>98.07</v>
      </c>
      <c r="L448" s="68">
        <v>2</v>
      </c>
      <c r="M448" s="68" t="s">
        <v>422</v>
      </c>
      <c r="N448" s="68">
        <v>5.5</v>
      </c>
      <c r="O448" s="68">
        <v>4.6699999999999875</v>
      </c>
    </row>
    <row r="449" spans="2:15" ht="15.75">
      <c r="B449" s="70" t="s">
        <v>894</v>
      </c>
      <c r="C449" s="77">
        <v>44032</v>
      </c>
      <c r="D449" s="70" t="s">
        <v>266</v>
      </c>
      <c r="E449" s="68" t="s">
        <v>135</v>
      </c>
      <c r="F449" s="68" t="s">
        <v>420</v>
      </c>
      <c r="G449" s="68" t="s">
        <v>415</v>
      </c>
      <c r="H449" s="68" t="s">
        <v>446</v>
      </c>
      <c r="I449" s="68" t="s">
        <v>1115</v>
      </c>
      <c r="J449" s="68">
        <v>73.41</v>
      </c>
      <c r="K449" s="68">
        <v>77.080500000000001</v>
      </c>
      <c r="L449" s="68">
        <v>3</v>
      </c>
      <c r="M449" s="68" t="s">
        <v>417</v>
      </c>
      <c r="N449" s="68">
        <v>4</v>
      </c>
      <c r="O449" s="68">
        <v>3.6705000000000041</v>
      </c>
    </row>
    <row r="450" spans="2:15" ht="15.75">
      <c r="B450" s="70" t="s">
        <v>895</v>
      </c>
      <c r="C450" s="77">
        <v>44033</v>
      </c>
      <c r="D450" s="70" t="s">
        <v>419</v>
      </c>
      <c r="E450" s="68" t="s">
        <v>131</v>
      </c>
      <c r="F450" s="68" t="s">
        <v>420</v>
      </c>
      <c r="G450" s="68" t="s">
        <v>494</v>
      </c>
      <c r="H450" s="68" t="s">
        <v>442</v>
      </c>
      <c r="I450" s="68" t="s">
        <v>1115</v>
      </c>
      <c r="J450" s="68">
        <v>33.64</v>
      </c>
      <c r="K450" s="68">
        <v>35.322000000000003</v>
      </c>
      <c r="L450" s="68">
        <v>8</v>
      </c>
      <c r="M450" s="68" t="s">
        <v>433</v>
      </c>
      <c r="N450" s="68">
        <v>9.3000000000000007</v>
      </c>
      <c r="O450" s="68">
        <v>1.6820000000000022</v>
      </c>
    </row>
    <row r="451" spans="2:15" ht="15.75">
      <c r="B451" s="70" t="s">
        <v>896</v>
      </c>
      <c r="C451" s="77">
        <v>44034</v>
      </c>
      <c r="D451" s="70" t="s">
        <v>175</v>
      </c>
      <c r="E451" s="68" t="s">
        <v>134</v>
      </c>
      <c r="F451" s="68" t="s">
        <v>420</v>
      </c>
      <c r="G451" s="68" t="s">
        <v>415</v>
      </c>
      <c r="H451" s="68" t="s">
        <v>430</v>
      </c>
      <c r="I451" s="68" t="s">
        <v>1116</v>
      </c>
      <c r="J451" s="68">
        <v>45.48</v>
      </c>
      <c r="K451" s="68">
        <v>47.754000000000005</v>
      </c>
      <c r="L451" s="68">
        <v>10</v>
      </c>
      <c r="M451" s="68" t="s">
        <v>433</v>
      </c>
      <c r="N451" s="68">
        <v>4.8</v>
      </c>
      <c r="O451" s="68">
        <v>2.274000000000008</v>
      </c>
    </row>
    <row r="452" spans="2:15" ht="15.75">
      <c r="B452" s="70" t="s">
        <v>897</v>
      </c>
      <c r="C452" s="77">
        <v>44035</v>
      </c>
      <c r="D452" s="70" t="s">
        <v>266</v>
      </c>
      <c r="E452" s="68" t="s">
        <v>135</v>
      </c>
      <c r="F452" s="68" t="s">
        <v>414</v>
      </c>
      <c r="G452" s="68" t="s">
        <v>415</v>
      </c>
      <c r="H452" s="68" t="s">
        <v>892</v>
      </c>
      <c r="I452" s="68" t="s">
        <v>1113</v>
      </c>
      <c r="J452" s="68">
        <v>64.08</v>
      </c>
      <c r="K452" s="68">
        <v>67.284000000000006</v>
      </c>
      <c r="L452" s="68">
        <v>7</v>
      </c>
      <c r="M452" s="68" t="s">
        <v>433</v>
      </c>
      <c r="N452" s="68">
        <v>7.3</v>
      </c>
      <c r="O452" s="68">
        <v>3.2040000000000077</v>
      </c>
    </row>
    <row r="453" spans="2:15" ht="15.75">
      <c r="B453" s="70" t="s">
        <v>898</v>
      </c>
      <c r="C453" s="77">
        <v>44036</v>
      </c>
      <c r="D453" s="70" t="s">
        <v>175</v>
      </c>
      <c r="E453" s="68" t="s">
        <v>134</v>
      </c>
      <c r="F453" s="68" t="s">
        <v>414</v>
      </c>
      <c r="G453" s="68" t="s">
        <v>415</v>
      </c>
      <c r="H453" s="68" t="s">
        <v>457</v>
      </c>
      <c r="I453" s="68" t="s">
        <v>1114</v>
      </c>
      <c r="J453" s="68">
        <v>73.47</v>
      </c>
      <c r="K453" s="68">
        <v>77.143500000000003</v>
      </c>
      <c r="L453" s="68">
        <v>4</v>
      </c>
      <c r="M453" s="68" t="s">
        <v>422</v>
      </c>
      <c r="N453" s="68">
        <v>6</v>
      </c>
      <c r="O453" s="68">
        <v>3.6735000000000042</v>
      </c>
    </row>
    <row r="454" spans="2:15" ht="15.75">
      <c r="B454" s="70" t="s">
        <v>899</v>
      </c>
      <c r="C454" s="77">
        <v>44037</v>
      </c>
      <c r="D454" s="70" t="s">
        <v>419</v>
      </c>
      <c r="E454" s="68" t="s">
        <v>131</v>
      </c>
      <c r="F454" s="68" t="s">
        <v>420</v>
      </c>
      <c r="G454" s="68" t="s">
        <v>494</v>
      </c>
      <c r="H454" s="68" t="s">
        <v>442</v>
      </c>
      <c r="I454" s="68" t="s">
        <v>1115</v>
      </c>
      <c r="J454" s="68">
        <v>58.95</v>
      </c>
      <c r="K454" s="68">
        <v>61.897500000000001</v>
      </c>
      <c r="L454" s="68">
        <v>10</v>
      </c>
      <c r="M454" s="68" t="s">
        <v>417</v>
      </c>
      <c r="N454" s="68">
        <v>8.1</v>
      </c>
      <c r="O454" s="68">
        <v>2.947499999999998</v>
      </c>
    </row>
    <row r="455" spans="2:15" ht="15.75">
      <c r="B455" s="70" t="s">
        <v>900</v>
      </c>
      <c r="C455" s="77">
        <v>44038</v>
      </c>
      <c r="D455" s="70" t="s">
        <v>175</v>
      </c>
      <c r="E455" s="68" t="s">
        <v>134</v>
      </c>
      <c r="F455" s="68" t="s">
        <v>414</v>
      </c>
      <c r="G455" s="68" t="s">
        <v>494</v>
      </c>
      <c r="H455" s="68" t="s">
        <v>457</v>
      </c>
      <c r="I455" s="68" t="s">
        <v>1114</v>
      </c>
      <c r="J455" s="68">
        <v>48.5</v>
      </c>
      <c r="K455" s="68">
        <v>50.925000000000004</v>
      </c>
      <c r="L455" s="68">
        <v>6</v>
      </c>
      <c r="M455" s="68" t="s">
        <v>417</v>
      </c>
      <c r="N455" s="68">
        <v>9.4</v>
      </c>
      <c r="O455" s="68">
        <v>2.4250000000000043</v>
      </c>
    </row>
    <row r="456" spans="2:15" ht="15.75">
      <c r="B456" s="70" t="s">
        <v>901</v>
      </c>
      <c r="C456" s="77">
        <v>44039</v>
      </c>
      <c r="D456" s="70" t="s">
        <v>266</v>
      </c>
      <c r="E456" s="68" t="s">
        <v>135</v>
      </c>
      <c r="F456" s="68" t="s">
        <v>414</v>
      </c>
      <c r="G456" s="68" t="s">
        <v>415</v>
      </c>
      <c r="H456" s="68" t="s">
        <v>430</v>
      </c>
      <c r="I456" s="68" t="s">
        <v>1116</v>
      </c>
      <c r="J456" s="68">
        <v>39.479999999999997</v>
      </c>
      <c r="K456" s="68">
        <v>41.454000000000001</v>
      </c>
      <c r="L456" s="68">
        <v>1</v>
      </c>
      <c r="M456" s="68" t="s">
        <v>422</v>
      </c>
      <c r="N456" s="68">
        <v>6.5</v>
      </c>
      <c r="O456" s="68">
        <v>1.9740000000000038</v>
      </c>
    </row>
    <row r="457" spans="2:15" ht="15.75">
      <c r="B457" s="70" t="s">
        <v>902</v>
      </c>
      <c r="C457" s="77">
        <v>44040</v>
      </c>
      <c r="D457" s="70" t="s">
        <v>266</v>
      </c>
      <c r="E457" s="68" t="s">
        <v>135</v>
      </c>
      <c r="F457" s="68" t="s">
        <v>420</v>
      </c>
      <c r="G457" s="68" t="s">
        <v>415</v>
      </c>
      <c r="H457" s="68" t="s">
        <v>892</v>
      </c>
      <c r="I457" s="68" t="s">
        <v>1113</v>
      </c>
      <c r="J457" s="68">
        <v>34.81</v>
      </c>
      <c r="K457" s="68">
        <v>36.5505</v>
      </c>
      <c r="L457" s="68">
        <v>1</v>
      </c>
      <c r="M457" s="68" t="s">
        <v>433</v>
      </c>
      <c r="N457" s="68">
        <v>7</v>
      </c>
      <c r="O457" s="68">
        <v>1.7404999999999973</v>
      </c>
    </row>
    <row r="458" spans="2:15" ht="15.75">
      <c r="B458" s="70" t="s">
        <v>903</v>
      </c>
      <c r="C458" s="77">
        <v>44041</v>
      </c>
      <c r="D458" s="70" t="s">
        <v>266</v>
      </c>
      <c r="E458" s="68" t="s">
        <v>135</v>
      </c>
      <c r="F458" s="68" t="s">
        <v>414</v>
      </c>
      <c r="G458" s="68" t="s">
        <v>415</v>
      </c>
      <c r="H458" s="68" t="s">
        <v>892</v>
      </c>
      <c r="I458" s="68" t="s">
        <v>1113</v>
      </c>
      <c r="J458" s="68">
        <v>23.08</v>
      </c>
      <c r="K458" s="68">
        <v>24.233999999999998</v>
      </c>
      <c r="L458" s="68">
        <v>6</v>
      </c>
      <c r="M458" s="68" t="s">
        <v>417</v>
      </c>
      <c r="N458" s="68">
        <v>4.9000000000000004</v>
      </c>
      <c r="O458" s="68">
        <v>1.1539999999999999</v>
      </c>
    </row>
    <row r="459" spans="2:15" ht="15.75">
      <c r="B459" s="70" t="s">
        <v>904</v>
      </c>
      <c r="C459" s="77">
        <v>44042</v>
      </c>
      <c r="D459" s="70" t="s">
        <v>266</v>
      </c>
      <c r="E459" s="68" t="s">
        <v>135</v>
      </c>
      <c r="F459" s="68" t="s">
        <v>414</v>
      </c>
      <c r="G459" s="68" t="s">
        <v>415</v>
      </c>
      <c r="H459" s="68" t="s">
        <v>892</v>
      </c>
      <c r="I459" s="68" t="s">
        <v>1113</v>
      </c>
      <c r="J459" s="68">
        <v>64.83</v>
      </c>
      <c r="K459" s="68">
        <v>68.0715</v>
      </c>
      <c r="L459" s="68">
        <v>2</v>
      </c>
      <c r="M459" s="68" t="s">
        <v>433</v>
      </c>
      <c r="N459" s="68">
        <v>8</v>
      </c>
      <c r="O459" s="68">
        <v>3.241500000000002</v>
      </c>
    </row>
    <row r="460" spans="2:15" ht="15.75">
      <c r="B460" s="70" t="s">
        <v>905</v>
      </c>
      <c r="C460" s="77">
        <v>44043</v>
      </c>
      <c r="D460" s="70" t="s">
        <v>419</v>
      </c>
      <c r="E460" s="68" t="s">
        <v>131</v>
      </c>
      <c r="F460" s="68" t="s">
        <v>414</v>
      </c>
      <c r="G460" s="68" t="s">
        <v>494</v>
      </c>
      <c r="H460" s="68" t="s">
        <v>892</v>
      </c>
      <c r="I460" s="68" t="s">
        <v>1113</v>
      </c>
      <c r="J460" s="68">
        <v>72.88</v>
      </c>
      <c r="K460" s="68">
        <v>76.524000000000001</v>
      </c>
      <c r="L460" s="68">
        <v>2</v>
      </c>
      <c r="M460" s="68" t="s">
        <v>422</v>
      </c>
      <c r="N460" s="68">
        <v>6.1</v>
      </c>
      <c r="O460" s="68">
        <v>3.6440000000000055</v>
      </c>
    </row>
    <row r="461" spans="2:15" ht="15.75">
      <c r="B461" s="70" t="s">
        <v>906</v>
      </c>
      <c r="C461" s="77">
        <v>44044</v>
      </c>
      <c r="D461" s="70" t="s">
        <v>175</v>
      </c>
      <c r="E461" s="68" t="s">
        <v>134</v>
      </c>
      <c r="F461" s="68" t="s">
        <v>420</v>
      </c>
      <c r="G461" s="68" t="s">
        <v>415</v>
      </c>
      <c r="H461" s="68" t="s">
        <v>457</v>
      </c>
      <c r="I461" s="68" t="s">
        <v>1114</v>
      </c>
      <c r="J461" s="68">
        <v>67.099999999999994</v>
      </c>
      <c r="K461" s="68">
        <v>70.454999999999998</v>
      </c>
      <c r="L461" s="68">
        <v>3</v>
      </c>
      <c r="M461" s="68" t="s">
        <v>422</v>
      </c>
      <c r="N461" s="68">
        <v>7.5</v>
      </c>
      <c r="O461" s="68">
        <v>3.355000000000004</v>
      </c>
    </row>
    <row r="462" spans="2:15" ht="15.75">
      <c r="B462" s="70" t="s">
        <v>907</v>
      </c>
      <c r="C462" s="77">
        <v>44045</v>
      </c>
      <c r="D462" s="70" t="s">
        <v>419</v>
      </c>
      <c r="E462" s="68" t="s">
        <v>131</v>
      </c>
      <c r="F462" s="68" t="s">
        <v>414</v>
      </c>
      <c r="G462" s="68" t="s">
        <v>415</v>
      </c>
      <c r="H462" s="68" t="s">
        <v>892</v>
      </c>
      <c r="I462" s="68" t="s">
        <v>1113</v>
      </c>
      <c r="J462" s="68">
        <v>70.19</v>
      </c>
      <c r="K462" s="68">
        <v>73.6995</v>
      </c>
      <c r="L462" s="68">
        <v>9</v>
      </c>
      <c r="M462" s="68" t="s">
        <v>422</v>
      </c>
      <c r="N462" s="68">
        <v>6.7</v>
      </c>
      <c r="O462" s="68">
        <v>3.5095000000000027</v>
      </c>
    </row>
    <row r="463" spans="2:15" ht="15.75">
      <c r="B463" s="70" t="s">
        <v>908</v>
      </c>
      <c r="C463" s="77">
        <v>44046</v>
      </c>
      <c r="D463" s="70" t="s">
        <v>419</v>
      </c>
      <c r="E463" s="68" t="s">
        <v>131</v>
      </c>
      <c r="F463" s="68" t="s">
        <v>414</v>
      </c>
      <c r="G463" s="68" t="s">
        <v>494</v>
      </c>
      <c r="H463" s="68" t="s">
        <v>457</v>
      </c>
      <c r="I463" s="68" t="s">
        <v>1114</v>
      </c>
      <c r="J463" s="68">
        <v>55.04</v>
      </c>
      <c r="K463" s="68">
        <v>57.791999999999994</v>
      </c>
      <c r="L463" s="68">
        <v>7</v>
      </c>
      <c r="M463" s="68" t="s">
        <v>417</v>
      </c>
      <c r="N463" s="68">
        <v>5.2</v>
      </c>
      <c r="O463" s="68">
        <v>2.7519999999999953</v>
      </c>
    </row>
    <row r="464" spans="2:15" ht="15.75">
      <c r="B464" s="70" t="s">
        <v>909</v>
      </c>
      <c r="C464" s="77">
        <v>44047</v>
      </c>
      <c r="D464" s="70" t="s">
        <v>175</v>
      </c>
      <c r="E464" s="68" t="s">
        <v>134</v>
      </c>
      <c r="F464" s="68" t="s">
        <v>414</v>
      </c>
      <c r="G464" s="68" t="s">
        <v>494</v>
      </c>
      <c r="H464" s="68" t="s">
        <v>442</v>
      </c>
      <c r="I464" s="68" t="s">
        <v>1115</v>
      </c>
      <c r="J464" s="68">
        <v>48.63</v>
      </c>
      <c r="K464" s="68">
        <v>51.061500000000002</v>
      </c>
      <c r="L464" s="68">
        <v>10</v>
      </c>
      <c r="M464" s="68" t="s">
        <v>422</v>
      </c>
      <c r="N464" s="68">
        <v>8.8000000000000007</v>
      </c>
      <c r="O464" s="68">
        <v>2.4314999999999998</v>
      </c>
    </row>
    <row r="465" spans="2:15" ht="15.75">
      <c r="B465" s="70" t="s">
        <v>910</v>
      </c>
      <c r="C465" s="77">
        <v>44048</v>
      </c>
      <c r="D465" s="70" t="s">
        <v>419</v>
      </c>
      <c r="E465" s="68" t="s">
        <v>131</v>
      </c>
      <c r="F465" s="68" t="s">
        <v>420</v>
      </c>
      <c r="G465" s="68" t="s">
        <v>415</v>
      </c>
      <c r="H465" s="68" t="s">
        <v>457</v>
      </c>
      <c r="I465" s="68" t="s">
        <v>1114</v>
      </c>
      <c r="J465" s="68">
        <v>52.6</v>
      </c>
      <c r="K465" s="68">
        <v>55.23</v>
      </c>
      <c r="L465" s="68">
        <v>9</v>
      </c>
      <c r="M465" s="68" t="s">
        <v>422</v>
      </c>
      <c r="N465" s="68">
        <v>7.6</v>
      </c>
      <c r="O465" s="68">
        <v>2.6299999999999955</v>
      </c>
    </row>
    <row r="466" spans="2:15" ht="15.75">
      <c r="B466" s="70" t="s">
        <v>911</v>
      </c>
      <c r="C466" s="77">
        <v>44049</v>
      </c>
      <c r="D466" s="70" t="s">
        <v>175</v>
      </c>
      <c r="E466" s="68" t="s">
        <v>134</v>
      </c>
      <c r="F466" s="68" t="s">
        <v>414</v>
      </c>
      <c r="G466" s="68" t="s">
        <v>415</v>
      </c>
      <c r="H466" s="68" t="s">
        <v>892</v>
      </c>
      <c r="I466" s="68" t="s">
        <v>1113</v>
      </c>
      <c r="J466" s="68">
        <v>27.04</v>
      </c>
      <c r="K466" s="68">
        <v>28.391999999999999</v>
      </c>
      <c r="L466" s="68">
        <v>4</v>
      </c>
      <c r="M466" s="68" t="s">
        <v>417</v>
      </c>
      <c r="N466" s="68">
        <v>6.9</v>
      </c>
      <c r="O466" s="68">
        <v>1.3520000000000003</v>
      </c>
    </row>
    <row r="467" spans="2:15" ht="15.75">
      <c r="B467" s="70" t="s">
        <v>912</v>
      </c>
      <c r="C467" s="77">
        <v>44050</v>
      </c>
      <c r="D467" s="70" t="s">
        <v>175</v>
      </c>
      <c r="E467" s="68" t="s">
        <v>134</v>
      </c>
      <c r="F467" s="68" t="s">
        <v>414</v>
      </c>
      <c r="G467" s="68" t="s">
        <v>494</v>
      </c>
      <c r="H467" s="68" t="s">
        <v>421</v>
      </c>
      <c r="I467" s="68" t="s">
        <v>1116</v>
      </c>
      <c r="J467" s="68">
        <v>69.58</v>
      </c>
      <c r="K467" s="68">
        <v>73.058999999999997</v>
      </c>
      <c r="L467" s="68">
        <v>9</v>
      </c>
      <c r="M467" s="68" t="s">
        <v>433</v>
      </c>
      <c r="N467" s="68">
        <v>7.8</v>
      </c>
      <c r="O467" s="68">
        <v>3.4789999999999992</v>
      </c>
    </row>
    <row r="468" spans="2:15" ht="15.75">
      <c r="B468" s="70" t="s">
        <v>913</v>
      </c>
      <c r="C468" s="77">
        <v>44051</v>
      </c>
      <c r="D468" s="70" t="s">
        <v>266</v>
      </c>
      <c r="E468" s="68" t="s">
        <v>135</v>
      </c>
      <c r="F468" s="68" t="s">
        <v>420</v>
      </c>
      <c r="G468" s="68" t="s">
        <v>494</v>
      </c>
      <c r="H468" s="68" t="s">
        <v>457</v>
      </c>
      <c r="I468" s="68" t="s">
        <v>1114</v>
      </c>
      <c r="J468" s="68">
        <v>32.32</v>
      </c>
      <c r="K468" s="68">
        <v>33.936</v>
      </c>
      <c r="L468" s="68">
        <v>3</v>
      </c>
      <c r="M468" s="68" t="s">
        <v>433</v>
      </c>
      <c r="N468" s="68">
        <v>4.3</v>
      </c>
      <c r="O468" s="68">
        <v>1.6159999999999997</v>
      </c>
    </row>
    <row r="469" spans="2:15" ht="15.75">
      <c r="B469" s="70" t="s">
        <v>914</v>
      </c>
      <c r="C469" s="77">
        <v>44052</v>
      </c>
      <c r="D469" s="70" t="s">
        <v>266</v>
      </c>
      <c r="E469" s="68" t="s">
        <v>135</v>
      </c>
      <c r="F469" s="68" t="s">
        <v>414</v>
      </c>
      <c r="G469" s="68" t="s">
        <v>494</v>
      </c>
      <c r="H469" s="68" t="s">
        <v>442</v>
      </c>
      <c r="I469" s="68" t="s">
        <v>1115</v>
      </c>
      <c r="J469" s="68">
        <v>80.47</v>
      </c>
      <c r="K469" s="68">
        <v>84.493499999999997</v>
      </c>
      <c r="L469" s="68">
        <v>9</v>
      </c>
      <c r="M469" s="68" t="s">
        <v>422</v>
      </c>
      <c r="N469" s="68">
        <v>9.1999999999999993</v>
      </c>
      <c r="O469" s="68">
        <v>4.0234999999999985</v>
      </c>
    </row>
    <row r="470" spans="2:15" ht="15.75">
      <c r="B470" s="70" t="s">
        <v>915</v>
      </c>
      <c r="C470" s="77">
        <v>44053</v>
      </c>
      <c r="D470" s="70" t="s">
        <v>266</v>
      </c>
      <c r="E470" s="68" t="s">
        <v>135</v>
      </c>
      <c r="F470" s="68" t="s">
        <v>420</v>
      </c>
      <c r="G470" s="68" t="s">
        <v>494</v>
      </c>
      <c r="H470" s="68" t="s">
        <v>442</v>
      </c>
      <c r="I470" s="68" t="s">
        <v>1115</v>
      </c>
      <c r="J470" s="68">
        <v>71.77</v>
      </c>
      <c r="K470" s="68">
        <v>75.358500000000006</v>
      </c>
      <c r="L470" s="68">
        <v>7</v>
      </c>
      <c r="M470" s="68" t="s">
        <v>422</v>
      </c>
      <c r="N470" s="68">
        <v>8.9</v>
      </c>
      <c r="O470" s="68">
        <v>3.5885000000000105</v>
      </c>
    </row>
    <row r="471" spans="2:15" ht="15.75">
      <c r="B471" s="70" t="s">
        <v>916</v>
      </c>
      <c r="C471" s="77">
        <v>44054</v>
      </c>
      <c r="D471" s="70" t="s">
        <v>266</v>
      </c>
      <c r="E471" s="68" t="s">
        <v>135</v>
      </c>
      <c r="F471" s="68" t="s">
        <v>420</v>
      </c>
      <c r="G471" s="68" t="s">
        <v>415</v>
      </c>
      <c r="H471" s="68" t="s">
        <v>421</v>
      </c>
      <c r="I471" s="68" t="s">
        <v>1116</v>
      </c>
      <c r="J471" s="68">
        <v>43</v>
      </c>
      <c r="K471" s="68">
        <v>45.15</v>
      </c>
      <c r="L471" s="68">
        <v>4</v>
      </c>
      <c r="M471" s="68" t="s">
        <v>417</v>
      </c>
      <c r="N471" s="68">
        <v>7.6</v>
      </c>
      <c r="O471" s="68">
        <v>2.1499999999999986</v>
      </c>
    </row>
    <row r="472" spans="2:15" ht="15.75">
      <c r="B472" s="70" t="s">
        <v>917</v>
      </c>
      <c r="C472" s="77">
        <v>44055</v>
      </c>
      <c r="D472" s="70" t="s">
        <v>419</v>
      </c>
      <c r="E472" s="68" t="s">
        <v>131</v>
      </c>
      <c r="F472" s="68" t="s">
        <v>414</v>
      </c>
      <c r="G472" s="68" t="s">
        <v>494</v>
      </c>
      <c r="H472" s="68" t="s">
        <v>467</v>
      </c>
      <c r="I472" s="68" t="s">
        <v>1114</v>
      </c>
      <c r="J472" s="68">
        <v>68.98</v>
      </c>
      <c r="K472" s="68">
        <v>72.429000000000002</v>
      </c>
      <c r="L472" s="68">
        <v>1</v>
      </c>
      <c r="M472" s="68" t="s">
        <v>422</v>
      </c>
      <c r="N472" s="68">
        <v>4.8</v>
      </c>
      <c r="O472" s="68">
        <v>3.4489999999999981</v>
      </c>
    </row>
    <row r="473" spans="2:15" ht="15.75">
      <c r="B473" s="70" t="s">
        <v>918</v>
      </c>
      <c r="C473" s="77">
        <v>44056</v>
      </c>
      <c r="D473" s="70" t="s">
        <v>175</v>
      </c>
      <c r="E473" s="68" t="s">
        <v>134</v>
      </c>
      <c r="F473" s="68" t="s">
        <v>420</v>
      </c>
      <c r="G473" s="68" t="s">
        <v>494</v>
      </c>
      <c r="H473" s="68" t="s">
        <v>892</v>
      </c>
      <c r="I473" s="68" t="s">
        <v>1113</v>
      </c>
      <c r="J473" s="68">
        <v>25.7</v>
      </c>
      <c r="K473" s="68">
        <v>26.984999999999999</v>
      </c>
      <c r="L473" s="68">
        <v>3</v>
      </c>
      <c r="M473" s="68" t="s">
        <v>417</v>
      </c>
      <c r="N473" s="68">
        <v>6.1</v>
      </c>
      <c r="O473" s="68">
        <v>1.2850000000000001</v>
      </c>
    </row>
    <row r="474" spans="2:15" ht="15.75">
      <c r="B474" s="70" t="s">
        <v>919</v>
      </c>
      <c r="C474" s="77">
        <v>44057</v>
      </c>
      <c r="D474" s="70" t="s">
        <v>175</v>
      </c>
      <c r="E474" s="68" t="s">
        <v>134</v>
      </c>
      <c r="F474" s="68" t="s">
        <v>414</v>
      </c>
      <c r="G474" s="68" t="s">
        <v>494</v>
      </c>
      <c r="H474" s="68" t="s">
        <v>920</v>
      </c>
      <c r="I474" s="68" t="s">
        <v>1114</v>
      </c>
      <c r="J474" s="68">
        <v>80.62</v>
      </c>
      <c r="K474" s="68">
        <v>84.650999999999996</v>
      </c>
      <c r="L474" s="68">
        <v>6</v>
      </c>
      <c r="M474" s="68" t="s">
        <v>422</v>
      </c>
      <c r="N474" s="68">
        <v>9.1</v>
      </c>
      <c r="O474" s="68">
        <v>4.0309999999999917</v>
      </c>
    </row>
    <row r="475" spans="2:15" ht="15.75">
      <c r="B475" s="70" t="s">
        <v>921</v>
      </c>
      <c r="C475" s="77">
        <v>44058</v>
      </c>
      <c r="D475" s="70" t="s">
        <v>419</v>
      </c>
      <c r="E475" s="68" t="s">
        <v>131</v>
      </c>
      <c r="F475" s="68" t="s">
        <v>420</v>
      </c>
      <c r="G475" s="68" t="s">
        <v>415</v>
      </c>
      <c r="H475" s="68" t="s">
        <v>421</v>
      </c>
      <c r="I475" s="68" t="s">
        <v>1116</v>
      </c>
      <c r="J475" s="68">
        <v>77.63</v>
      </c>
      <c r="K475" s="68">
        <v>81.511500000000012</v>
      </c>
      <c r="L475" s="68">
        <v>9</v>
      </c>
      <c r="M475" s="68" t="s">
        <v>417</v>
      </c>
      <c r="N475" s="68">
        <v>7.2</v>
      </c>
      <c r="O475" s="68">
        <v>3.8815000000000168</v>
      </c>
    </row>
    <row r="476" spans="2:15" ht="15.75">
      <c r="B476" s="70" t="s">
        <v>922</v>
      </c>
      <c r="C476" s="77">
        <v>44059</v>
      </c>
      <c r="D476" s="70" t="s">
        <v>419</v>
      </c>
      <c r="E476" s="68" t="s">
        <v>131</v>
      </c>
      <c r="F476" s="68" t="s">
        <v>420</v>
      </c>
      <c r="G476" s="68" t="s">
        <v>415</v>
      </c>
      <c r="H476" s="68" t="s">
        <v>446</v>
      </c>
      <c r="I476" s="68" t="s">
        <v>1115</v>
      </c>
      <c r="J476" s="68">
        <v>13.85</v>
      </c>
      <c r="K476" s="68">
        <v>14.542499999999999</v>
      </c>
      <c r="L476" s="68">
        <v>9</v>
      </c>
      <c r="M476" s="68" t="s">
        <v>417</v>
      </c>
      <c r="N476" s="68">
        <v>6</v>
      </c>
      <c r="O476" s="68">
        <v>0.69249999999999901</v>
      </c>
    </row>
    <row r="477" spans="2:15" ht="15.75">
      <c r="B477" s="70" t="s">
        <v>923</v>
      </c>
      <c r="C477" s="77">
        <v>44060</v>
      </c>
      <c r="D477" s="70" t="s">
        <v>175</v>
      </c>
      <c r="E477" s="68" t="s">
        <v>134</v>
      </c>
      <c r="F477" s="68" t="s">
        <v>420</v>
      </c>
      <c r="G477" s="68" t="s">
        <v>415</v>
      </c>
      <c r="H477" s="68" t="s">
        <v>465</v>
      </c>
      <c r="I477" s="68" t="s">
        <v>1115</v>
      </c>
      <c r="J477" s="68">
        <v>35.68</v>
      </c>
      <c r="K477" s="68">
        <v>37.463999999999999</v>
      </c>
      <c r="L477" s="68">
        <v>5</v>
      </c>
      <c r="M477" s="68" t="s">
        <v>433</v>
      </c>
      <c r="N477" s="68">
        <v>6.6</v>
      </c>
      <c r="O477" s="68">
        <v>1.7839999999999989</v>
      </c>
    </row>
    <row r="478" spans="2:15" ht="15.75">
      <c r="B478" s="70" t="s">
        <v>924</v>
      </c>
      <c r="C478" s="77">
        <v>44061</v>
      </c>
      <c r="D478" s="70" t="s">
        <v>175</v>
      </c>
      <c r="E478" s="68" t="s">
        <v>134</v>
      </c>
      <c r="F478" s="68" t="s">
        <v>414</v>
      </c>
      <c r="G478" s="68" t="s">
        <v>494</v>
      </c>
      <c r="H478" s="68" t="s">
        <v>421</v>
      </c>
      <c r="I478" s="68" t="s">
        <v>1116</v>
      </c>
      <c r="J478" s="68">
        <v>11.94</v>
      </c>
      <c r="K478" s="68">
        <v>12.536999999999999</v>
      </c>
      <c r="L478" s="68">
        <v>3</v>
      </c>
      <c r="M478" s="68" t="s">
        <v>433</v>
      </c>
      <c r="N478" s="68">
        <v>8.1</v>
      </c>
      <c r="O478" s="68">
        <v>0.59699999999999953</v>
      </c>
    </row>
    <row r="479" spans="2:15" ht="15.75">
      <c r="B479" s="70" t="s">
        <v>925</v>
      </c>
      <c r="C479" s="77">
        <v>44062</v>
      </c>
      <c r="D479" s="70" t="s">
        <v>419</v>
      </c>
      <c r="E479" s="68" t="s">
        <v>131</v>
      </c>
      <c r="F479" s="68" t="s">
        <v>414</v>
      </c>
      <c r="G479" s="68" t="s">
        <v>415</v>
      </c>
      <c r="H479" s="68" t="s">
        <v>892</v>
      </c>
      <c r="I479" s="68" t="s">
        <v>1113</v>
      </c>
      <c r="J479" s="68">
        <v>90.63</v>
      </c>
      <c r="K479" s="68">
        <v>95.16149999999999</v>
      </c>
      <c r="L479" s="68">
        <v>9</v>
      </c>
      <c r="M479" s="68" t="s">
        <v>422</v>
      </c>
      <c r="N479" s="68">
        <v>5.0999999999999996</v>
      </c>
      <c r="O479" s="68">
        <v>4.5314999999999941</v>
      </c>
    </row>
    <row r="480" spans="2:15" ht="15.75">
      <c r="B480" s="70" t="s">
        <v>926</v>
      </c>
      <c r="C480" s="77">
        <v>44063</v>
      </c>
      <c r="D480" s="70" t="s">
        <v>419</v>
      </c>
      <c r="E480" s="68" t="s">
        <v>131</v>
      </c>
      <c r="F480" s="68" t="s">
        <v>414</v>
      </c>
      <c r="G480" s="68" t="s">
        <v>415</v>
      </c>
      <c r="H480" s="68" t="s">
        <v>920</v>
      </c>
      <c r="I480" s="68" t="s">
        <v>1114</v>
      </c>
      <c r="J480" s="68">
        <v>36.770000000000003</v>
      </c>
      <c r="K480" s="68">
        <v>38.608499999999999</v>
      </c>
      <c r="L480" s="68">
        <v>7</v>
      </c>
      <c r="M480" s="68" t="s">
        <v>422</v>
      </c>
      <c r="N480" s="68">
        <v>7.4</v>
      </c>
      <c r="O480" s="68">
        <v>1.8384999999999962</v>
      </c>
    </row>
    <row r="481" spans="2:15" ht="15.75">
      <c r="B481" s="70" t="s">
        <v>927</v>
      </c>
      <c r="C481" s="77">
        <v>44064</v>
      </c>
      <c r="D481" s="70" t="s">
        <v>266</v>
      </c>
      <c r="E481" s="68" t="s">
        <v>135</v>
      </c>
      <c r="F481" s="68" t="s">
        <v>414</v>
      </c>
      <c r="G481" s="68" t="s">
        <v>494</v>
      </c>
      <c r="H481" s="68" t="s">
        <v>920</v>
      </c>
      <c r="I481" s="68" t="s">
        <v>1114</v>
      </c>
      <c r="J481" s="68">
        <v>23.34</v>
      </c>
      <c r="K481" s="68">
        <v>24.507000000000001</v>
      </c>
      <c r="L481" s="68">
        <v>4</v>
      </c>
      <c r="M481" s="68" t="s">
        <v>417</v>
      </c>
      <c r="N481" s="68">
        <v>7.4</v>
      </c>
      <c r="O481" s="68">
        <v>1.1670000000000016</v>
      </c>
    </row>
    <row r="482" spans="2:15" ht="15.75">
      <c r="B482" s="70" t="s">
        <v>928</v>
      </c>
      <c r="C482" s="77">
        <v>44065</v>
      </c>
      <c r="D482" s="70" t="s">
        <v>419</v>
      </c>
      <c r="E482" s="68" t="s">
        <v>131</v>
      </c>
      <c r="F482" s="68" t="s">
        <v>414</v>
      </c>
      <c r="G482" s="68" t="s">
        <v>415</v>
      </c>
      <c r="H482" s="68" t="s">
        <v>446</v>
      </c>
      <c r="I482" s="68" t="s">
        <v>1115</v>
      </c>
      <c r="J482" s="68">
        <v>28.5</v>
      </c>
      <c r="K482" s="68">
        <v>29.925000000000001</v>
      </c>
      <c r="L482" s="68">
        <v>8</v>
      </c>
      <c r="M482" s="68" t="s">
        <v>422</v>
      </c>
      <c r="N482" s="68">
        <v>6.6</v>
      </c>
      <c r="O482" s="68">
        <v>1.4250000000000007</v>
      </c>
    </row>
    <row r="483" spans="2:15" ht="15.75">
      <c r="B483" s="70" t="s">
        <v>929</v>
      </c>
      <c r="C483" s="77">
        <v>44066</v>
      </c>
      <c r="D483" s="70" t="s">
        <v>266</v>
      </c>
      <c r="E483" s="68" t="s">
        <v>135</v>
      </c>
      <c r="F483" s="68" t="s">
        <v>420</v>
      </c>
      <c r="G483" s="68" t="s">
        <v>494</v>
      </c>
      <c r="H483" s="68" t="s">
        <v>892</v>
      </c>
      <c r="I483" s="68" t="s">
        <v>1113</v>
      </c>
      <c r="J483" s="68">
        <v>69.739999999999995</v>
      </c>
      <c r="K483" s="68">
        <v>73.227000000000004</v>
      </c>
      <c r="L483" s="68">
        <v>10</v>
      </c>
      <c r="M483" s="68" t="s">
        <v>433</v>
      </c>
      <c r="N483" s="68">
        <v>8.9</v>
      </c>
      <c r="O483" s="68">
        <v>3.487000000000009</v>
      </c>
    </row>
    <row r="484" spans="2:15" ht="15.75">
      <c r="B484" s="70" t="s">
        <v>930</v>
      </c>
      <c r="C484" s="77">
        <v>44067</v>
      </c>
      <c r="D484" s="70" t="s">
        <v>175</v>
      </c>
      <c r="E484" s="68" t="s">
        <v>134</v>
      </c>
      <c r="F484" s="68" t="s">
        <v>420</v>
      </c>
      <c r="G484" s="68" t="s">
        <v>494</v>
      </c>
      <c r="H484" s="68" t="s">
        <v>465</v>
      </c>
      <c r="I484" s="68" t="s">
        <v>1115</v>
      </c>
      <c r="J484" s="68">
        <v>56</v>
      </c>
      <c r="K484" s="68">
        <v>58.800000000000004</v>
      </c>
      <c r="L484" s="68">
        <v>3</v>
      </c>
      <c r="M484" s="68" t="s">
        <v>417</v>
      </c>
      <c r="N484" s="68">
        <v>4.8</v>
      </c>
      <c r="O484" s="68">
        <v>2.8000000000000043</v>
      </c>
    </row>
    <row r="485" spans="2:15" ht="15.75">
      <c r="B485" s="70" t="s">
        <v>931</v>
      </c>
      <c r="C485" s="77">
        <v>44068</v>
      </c>
      <c r="D485" s="70" t="s">
        <v>266</v>
      </c>
      <c r="E485" s="68" t="s">
        <v>135</v>
      </c>
      <c r="F485" s="68" t="s">
        <v>420</v>
      </c>
      <c r="G485" s="68" t="s">
        <v>494</v>
      </c>
      <c r="H485" s="68" t="s">
        <v>499</v>
      </c>
      <c r="I485" s="68" t="s">
        <v>1116</v>
      </c>
      <c r="J485" s="68">
        <v>75.88</v>
      </c>
      <c r="K485" s="68">
        <v>79.673999999999992</v>
      </c>
      <c r="L485" s="68">
        <v>7</v>
      </c>
      <c r="M485" s="68" t="s">
        <v>417</v>
      </c>
      <c r="N485" s="68">
        <v>8.9</v>
      </c>
      <c r="O485" s="68">
        <v>3.7939999999999969</v>
      </c>
    </row>
    <row r="486" spans="2:15" ht="15.75">
      <c r="B486" s="70" t="s">
        <v>932</v>
      </c>
      <c r="C486" s="77">
        <v>44069</v>
      </c>
      <c r="D486" s="70" t="s">
        <v>266</v>
      </c>
      <c r="E486" s="68" t="s">
        <v>135</v>
      </c>
      <c r="F486" s="68" t="s">
        <v>414</v>
      </c>
      <c r="G486" s="68" t="s">
        <v>494</v>
      </c>
      <c r="H486" s="68" t="s">
        <v>920</v>
      </c>
      <c r="I486" s="68" t="s">
        <v>1114</v>
      </c>
      <c r="J486" s="68">
        <v>53.72</v>
      </c>
      <c r="K486" s="68">
        <v>56.405999999999999</v>
      </c>
      <c r="L486" s="68">
        <v>1</v>
      </c>
      <c r="M486" s="68" t="s">
        <v>417</v>
      </c>
      <c r="N486" s="68">
        <v>6.4</v>
      </c>
      <c r="O486" s="68">
        <v>2.6859999999999999</v>
      </c>
    </row>
    <row r="487" spans="2:15" ht="15.75">
      <c r="B487" s="70" t="s">
        <v>933</v>
      </c>
      <c r="C487" s="77">
        <v>44070</v>
      </c>
      <c r="D487" s="70" t="s">
        <v>419</v>
      </c>
      <c r="E487" s="68" t="s">
        <v>131</v>
      </c>
      <c r="F487" s="68" t="s">
        <v>414</v>
      </c>
      <c r="G487" s="68" t="s">
        <v>494</v>
      </c>
      <c r="H487" s="68" t="s">
        <v>446</v>
      </c>
      <c r="I487" s="68" t="s">
        <v>1115</v>
      </c>
      <c r="J487" s="68">
        <v>81.95</v>
      </c>
      <c r="K487" s="68">
        <v>86.047499999999999</v>
      </c>
      <c r="L487" s="68">
        <v>10</v>
      </c>
      <c r="M487" s="68" t="s">
        <v>433</v>
      </c>
      <c r="N487" s="68">
        <v>6</v>
      </c>
      <c r="O487" s="68">
        <v>4.0974999999999966</v>
      </c>
    </row>
    <row r="488" spans="2:15" ht="15.75">
      <c r="B488" s="70" t="s">
        <v>934</v>
      </c>
      <c r="C488" s="77">
        <v>44071</v>
      </c>
      <c r="D488" s="70" t="s">
        <v>419</v>
      </c>
      <c r="E488" s="68" t="s">
        <v>131</v>
      </c>
      <c r="F488" s="68" t="s">
        <v>420</v>
      </c>
      <c r="G488" s="68" t="s">
        <v>494</v>
      </c>
      <c r="H488" s="68" t="s">
        <v>499</v>
      </c>
      <c r="I488" s="68" t="s">
        <v>1116</v>
      </c>
      <c r="J488" s="68">
        <v>58.76</v>
      </c>
      <c r="K488" s="68">
        <v>61.698</v>
      </c>
      <c r="L488" s="68">
        <v>10</v>
      </c>
      <c r="M488" s="68" t="s">
        <v>417</v>
      </c>
      <c r="N488" s="68">
        <v>9</v>
      </c>
      <c r="O488" s="68">
        <v>2.9380000000000024</v>
      </c>
    </row>
    <row r="489" spans="2:15" ht="15.75">
      <c r="B489" s="70" t="s">
        <v>935</v>
      </c>
      <c r="C489" s="77">
        <v>44072</v>
      </c>
      <c r="D489" s="70" t="s">
        <v>266</v>
      </c>
      <c r="E489" s="68" t="s">
        <v>135</v>
      </c>
      <c r="F489" s="68" t="s">
        <v>414</v>
      </c>
      <c r="G489" s="68" t="s">
        <v>494</v>
      </c>
      <c r="H489" s="68" t="s">
        <v>430</v>
      </c>
      <c r="I489" s="68" t="s">
        <v>1116</v>
      </c>
      <c r="J489" s="68">
        <v>91.56</v>
      </c>
      <c r="K489" s="68">
        <v>96.138000000000005</v>
      </c>
      <c r="L489" s="68">
        <v>8</v>
      </c>
      <c r="M489" s="68" t="s">
        <v>417</v>
      </c>
      <c r="N489" s="68">
        <v>6</v>
      </c>
      <c r="O489" s="68">
        <v>4.578000000000003</v>
      </c>
    </row>
    <row r="490" spans="2:15" ht="15.75">
      <c r="B490" s="70" t="s">
        <v>936</v>
      </c>
      <c r="C490" s="77">
        <v>44073</v>
      </c>
      <c r="D490" s="70" t="s">
        <v>419</v>
      </c>
      <c r="E490" s="68" t="s">
        <v>131</v>
      </c>
      <c r="F490" s="68" t="s">
        <v>420</v>
      </c>
      <c r="G490" s="68" t="s">
        <v>494</v>
      </c>
      <c r="H490" s="68" t="s">
        <v>476</v>
      </c>
      <c r="I490" s="68" t="s">
        <v>1114</v>
      </c>
      <c r="J490" s="68">
        <v>84.83</v>
      </c>
      <c r="K490" s="68">
        <v>89.0715</v>
      </c>
      <c r="L490" s="68">
        <v>1</v>
      </c>
      <c r="M490" s="68" t="s">
        <v>417</v>
      </c>
      <c r="N490" s="68">
        <v>8.8000000000000007</v>
      </c>
      <c r="O490" s="68">
        <v>4.241500000000002</v>
      </c>
    </row>
    <row r="491" spans="2:15" ht="15.75">
      <c r="B491" s="70" t="s">
        <v>937</v>
      </c>
      <c r="C491" s="77">
        <v>44074</v>
      </c>
      <c r="D491" s="70" t="s">
        <v>175</v>
      </c>
      <c r="E491" s="68" t="s">
        <v>134</v>
      </c>
      <c r="F491" s="68" t="s">
        <v>414</v>
      </c>
      <c r="G491" s="68" t="s">
        <v>415</v>
      </c>
      <c r="H491" s="68" t="s">
        <v>892</v>
      </c>
      <c r="I491" s="68" t="s">
        <v>1113</v>
      </c>
      <c r="J491" s="68">
        <v>71.63</v>
      </c>
      <c r="K491" s="68">
        <v>75.211500000000001</v>
      </c>
      <c r="L491" s="68">
        <v>2</v>
      </c>
      <c r="M491" s="68" t="s">
        <v>417</v>
      </c>
      <c r="N491" s="68">
        <v>8.8000000000000007</v>
      </c>
      <c r="O491" s="68">
        <v>3.5815000000000055</v>
      </c>
    </row>
    <row r="492" spans="2:15" ht="15.75">
      <c r="B492" s="70" t="s">
        <v>938</v>
      </c>
      <c r="C492" s="77">
        <v>44075</v>
      </c>
      <c r="D492" s="70" t="s">
        <v>419</v>
      </c>
      <c r="E492" s="68" t="s">
        <v>131</v>
      </c>
      <c r="F492" s="68" t="s">
        <v>414</v>
      </c>
      <c r="G492" s="68" t="s">
        <v>415</v>
      </c>
      <c r="H492" s="68" t="s">
        <v>892</v>
      </c>
      <c r="I492" s="68" t="s">
        <v>1113</v>
      </c>
      <c r="J492" s="68">
        <v>31.67</v>
      </c>
      <c r="K492" s="68">
        <v>33.253500000000003</v>
      </c>
      <c r="L492" s="68">
        <v>8</v>
      </c>
      <c r="M492" s="68" t="s">
        <v>433</v>
      </c>
      <c r="N492" s="68">
        <v>5.6</v>
      </c>
      <c r="O492" s="68">
        <v>1.5835000000000008</v>
      </c>
    </row>
    <row r="493" spans="2:15" ht="15.75">
      <c r="B493" s="70" t="s">
        <v>939</v>
      </c>
      <c r="C493" s="77">
        <v>44076</v>
      </c>
      <c r="D493" s="70" t="s">
        <v>419</v>
      </c>
      <c r="E493" s="68" t="s">
        <v>131</v>
      </c>
      <c r="F493" s="68" t="s">
        <v>414</v>
      </c>
      <c r="G493" s="68" t="s">
        <v>415</v>
      </c>
      <c r="H493" s="68" t="s">
        <v>476</v>
      </c>
      <c r="I493" s="68" t="s">
        <v>1114</v>
      </c>
      <c r="J493" s="68">
        <v>38.42</v>
      </c>
      <c r="K493" s="68">
        <v>40.341000000000001</v>
      </c>
      <c r="L493" s="68">
        <v>1</v>
      </c>
      <c r="M493" s="68" t="s">
        <v>422</v>
      </c>
      <c r="N493" s="68">
        <v>8.6</v>
      </c>
      <c r="O493" s="68">
        <v>1.9209999999999994</v>
      </c>
    </row>
    <row r="494" spans="2:15" ht="15.75">
      <c r="B494" s="70" t="s">
        <v>940</v>
      </c>
      <c r="C494" s="77">
        <v>44077</v>
      </c>
      <c r="D494" s="70" t="s">
        <v>419</v>
      </c>
      <c r="E494" s="68" t="s">
        <v>131</v>
      </c>
      <c r="F494" s="68" t="s">
        <v>414</v>
      </c>
      <c r="G494" s="68" t="s">
        <v>494</v>
      </c>
      <c r="H494" s="68" t="s">
        <v>465</v>
      </c>
      <c r="I494" s="68" t="s">
        <v>1115</v>
      </c>
      <c r="J494" s="68">
        <v>81.23</v>
      </c>
      <c r="K494" s="68">
        <v>85.291499999999999</v>
      </c>
      <c r="L494" s="68">
        <v>7</v>
      </c>
      <c r="M494" s="68" t="s">
        <v>422</v>
      </c>
      <c r="N494" s="68">
        <v>9</v>
      </c>
      <c r="O494" s="68">
        <v>4.0614999999999952</v>
      </c>
    </row>
    <row r="495" spans="2:15" ht="15.75">
      <c r="B495" s="70" t="s">
        <v>941</v>
      </c>
      <c r="C495" s="77">
        <v>44078</v>
      </c>
      <c r="D495" s="70" t="s">
        <v>175</v>
      </c>
      <c r="E495" s="68" t="s">
        <v>134</v>
      </c>
      <c r="F495" s="68" t="s">
        <v>420</v>
      </c>
      <c r="G495" s="68" t="s">
        <v>415</v>
      </c>
      <c r="H495" s="68" t="s">
        <v>476</v>
      </c>
      <c r="I495" s="68" t="s">
        <v>1114</v>
      </c>
      <c r="J495" s="68">
        <v>27.28</v>
      </c>
      <c r="K495" s="68">
        <v>28.643999999999998</v>
      </c>
      <c r="L495" s="68">
        <v>5</v>
      </c>
      <c r="M495" s="68" t="s">
        <v>433</v>
      </c>
      <c r="N495" s="68">
        <v>8.6</v>
      </c>
      <c r="O495" s="68">
        <v>1.3639999999999972</v>
      </c>
    </row>
    <row r="496" spans="2:15" ht="15.75">
      <c r="B496" s="70" t="s">
        <v>942</v>
      </c>
      <c r="C496" s="77">
        <v>44079</v>
      </c>
      <c r="D496" s="70" t="s">
        <v>175</v>
      </c>
      <c r="E496" s="68" t="s">
        <v>134</v>
      </c>
      <c r="F496" s="68" t="s">
        <v>414</v>
      </c>
      <c r="G496" s="68" t="s">
        <v>415</v>
      </c>
      <c r="H496" s="68" t="s">
        <v>499</v>
      </c>
      <c r="I496" s="68" t="s">
        <v>1116</v>
      </c>
      <c r="J496" s="68">
        <v>17.420000000000002</v>
      </c>
      <c r="K496" s="68">
        <v>18.291</v>
      </c>
      <c r="L496" s="68">
        <v>10</v>
      </c>
      <c r="M496" s="68" t="s">
        <v>417</v>
      </c>
      <c r="N496" s="68">
        <v>7</v>
      </c>
      <c r="O496" s="68">
        <v>0.87099999999999866</v>
      </c>
    </row>
    <row r="497" spans="2:15" ht="15.75">
      <c r="B497" s="70" t="s">
        <v>943</v>
      </c>
      <c r="C497" s="77">
        <v>44080</v>
      </c>
      <c r="D497" s="70" t="s">
        <v>266</v>
      </c>
      <c r="E497" s="68" t="s">
        <v>135</v>
      </c>
      <c r="F497" s="68" t="s">
        <v>414</v>
      </c>
      <c r="G497" s="68" t="s">
        <v>415</v>
      </c>
      <c r="H497" s="68" t="s">
        <v>499</v>
      </c>
      <c r="I497" s="68" t="s">
        <v>1116</v>
      </c>
      <c r="J497" s="68">
        <v>35.74</v>
      </c>
      <c r="K497" s="68">
        <v>37.527000000000001</v>
      </c>
      <c r="L497" s="68">
        <v>8</v>
      </c>
      <c r="M497" s="68" t="s">
        <v>417</v>
      </c>
      <c r="N497" s="68">
        <v>4.9000000000000004</v>
      </c>
      <c r="O497" s="68">
        <v>1.786999999999999</v>
      </c>
    </row>
    <row r="498" spans="2:15" ht="15.75">
      <c r="B498" s="70" t="s">
        <v>944</v>
      </c>
      <c r="C498" s="77">
        <v>44081</v>
      </c>
      <c r="D498" s="70" t="s">
        <v>175</v>
      </c>
      <c r="E498" s="68" t="s">
        <v>134</v>
      </c>
      <c r="F498" s="68" t="s">
        <v>414</v>
      </c>
      <c r="G498" s="68" t="s">
        <v>494</v>
      </c>
      <c r="H498" s="68" t="s">
        <v>476</v>
      </c>
      <c r="I498" s="68" t="s">
        <v>1114</v>
      </c>
      <c r="J498" s="68">
        <v>18.850000000000001</v>
      </c>
      <c r="K498" s="68">
        <v>19.7925</v>
      </c>
      <c r="L498" s="68">
        <v>10</v>
      </c>
      <c r="M498" s="68" t="s">
        <v>417</v>
      </c>
      <c r="N498" s="68">
        <v>5.6</v>
      </c>
      <c r="O498" s="68">
        <v>0.94249999999999901</v>
      </c>
    </row>
    <row r="499" spans="2:15" ht="15.75">
      <c r="B499" s="70" t="s">
        <v>945</v>
      </c>
      <c r="C499" s="77">
        <v>44082</v>
      </c>
      <c r="D499" s="70" t="s">
        <v>175</v>
      </c>
      <c r="E499" s="68" t="s">
        <v>134</v>
      </c>
      <c r="F499" s="68" t="s">
        <v>420</v>
      </c>
      <c r="G499" s="68" t="s">
        <v>415</v>
      </c>
      <c r="H499" s="68" t="s">
        <v>476</v>
      </c>
      <c r="I499" s="68" t="s">
        <v>1114</v>
      </c>
      <c r="J499" s="68">
        <v>55.39</v>
      </c>
      <c r="K499" s="68">
        <v>58.159500000000001</v>
      </c>
      <c r="L499" s="68">
        <v>4</v>
      </c>
      <c r="M499" s="68" t="s">
        <v>417</v>
      </c>
      <c r="N499" s="68">
        <v>8</v>
      </c>
      <c r="O499" s="68">
        <v>2.7695000000000007</v>
      </c>
    </row>
    <row r="500" spans="2:15" ht="15.75">
      <c r="B500" s="70" t="s">
        <v>946</v>
      </c>
      <c r="C500" s="77">
        <v>44083</v>
      </c>
      <c r="D500" s="70" t="s">
        <v>266</v>
      </c>
      <c r="E500" s="68" t="s">
        <v>135</v>
      </c>
      <c r="F500" s="68" t="s">
        <v>414</v>
      </c>
      <c r="G500" s="68" t="s">
        <v>415</v>
      </c>
      <c r="H500" s="68" t="s">
        <v>476</v>
      </c>
      <c r="I500" s="68" t="s">
        <v>1114</v>
      </c>
      <c r="J500" s="68">
        <v>77.2</v>
      </c>
      <c r="K500" s="68">
        <v>81.06</v>
      </c>
      <c r="L500" s="68">
        <v>10</v>
      </c>
      <c r="M500" s="68" t="s">
        <v>433</v>
      </c>
      <c r="N500" s="68">
        <v>5.6</v>
      </c>
      <c r="O500" s="68">
        <v>3.8599999999999994</v>
      </c>
    </row>
    <row r="501" spans="2:15" ht="15.75">
      <c r="B501" s="70" t="s">
        <v>947</v>
      </c>
      <c r="C501" s="77">
        <v>44084</v>
      </c>
      <c r="D501" s="70" t="s">
        <v>266</v>
      </c>
      <c r="E501" s="68" t="s">
        <v>135</v>
      </c>
      <c r="F501" s="68" t="s">
        <v>420</v>
      </c>
      <c r="G501" s="68" t="s">
        <v>494</v>
      </c>
      <c r="H501" s="68" t="s">
        <v>499</v>
      </c>
      <c r="I501" s="68" t="s">
        <v>1116</v>
      </c>
      <c r="J501" s="68">
        <v>72.13</v>
      </c>
      <c r="K501" s="68">
        <v>75.736500000000007</v>
      </c>
      <c r="L501" s="68">
        <v>10</v>
      </c>
      <c r="M501" s="68" t="s">
        <v>433</v>
      </c>
      <c r="N501" s="68">
        <v>4.2</v>
      </c>
      <c r="O501" s="68">
        <v>3.6065000000000111</v>
      </c>
    </row>
    <row r="502" spans="2:15" ht="15.75">
      <c r="B502" s="70" t="s">
        <v>948</v>
      </c>
      <c r="C502" s="77">
        <v>44085</v>
      </c>
      <c r="D502" s="70" t="s">
        <v>175</v>
      </c>
      <c r="E502" s="68" t="s">
        <v>134</v>
      </c>
      <c r="F502" s="68" t="s">
        <v>414</v>
      </c>
      <c r="G502" s="68" t="s">
        <v>415</v>
      </c>
      <c r="H502" s="68" t="s">
        <v>442</v>
      </c>
      <c r="I502" s="68" t="s">
        <v>1115</v>
      </c>
      <c r="J502" s="68">
        <v>10.69</v>
      </c>
      <c r="K502" s="68">
        <v>11.224500000000001</v>
      </c>
      <c r="L502" s="68">
        <v>5</v>
      </c>
      <c r="M502" s="68" t="s">
        <v>417</v>
      </c>
      <c r="N502" s="68">
        <v>7.6</v>
      </c>
      <c r="O502" s="68">
        <v>0.53450000000000131</v>
      </c>
    </row>
    <row r="503" spans="2:15" ht="15.75">
      <c r="B503" s="70" t="s">
        <v>949</v>
      </c>
      <c r="C503" s="77">
        <v>44086</v>
      </c>
      <c r="D503" s="70" t="s">
        <v>175</v>
      </c>
      <c r="E503" s="68" t="s">
        <v>134</v>
      </c>
      <c r="F503" s="68" t="s">
        <v>414</v>
      </c>
      <c r="G503" s="68" t="s">
        <v>494</v>
      </c>
      <c r="H503" s="68" t="s">
        <v>442</v>
      </c>
      <c r="I503" s="68" t="s">
        <v>1115</v>
      </c>
      <c r="J503" s="68">
        <v>55.5</v>
      </c>
      <c r="K503" s="68">
        <v>58.274999999999999</v>
      </c>
      <c r="L503" s="68">
        <v>4</v>
      </c>
      <c r="M503" s="68" t="s">
        <v>433</v>
      </c>
      <c r="N503" s="68">
        <v>6.6</v>
      </c>
      <c r="O503" s="68">
        <v>2.7749999999999986</v>
      </c>
    </row>
    <row r="504" spans="2:15" ht="15.75">
      <c r="B504" s="70" t="s">
        <v>950</v>
      </c>
      <c r="C504" s="77">
        <v>44087</v>
      </c>
      <c r="D504" s="70" t="s">
        <v>266</v>
      </c>
      <c r="E504" s="68" t="s">
        <v>135</v>
      </c>
      <c r="F504" s="68" t="s">
        <v>420</v>
      </c>
      <c r="G504" s="68" t="s">
        <v>494</v>
      </c>
      <c r="H504" s="68" t="s">
        <v>892</v>
      </c>
      <c r="I504" s="68" t="s">
        <v>1113</v>
      </c>
      <c r="J504" s="68">
        <v>13.69</v>
      </c>
      <c r="K504" s="68">
        <v>14.374499999999999</v>
      </c>
      <c r="L504" s="68">
        <v>6</v>
      </c>
      <c r="M504" s="68" t="s">
        <v>422</v>
      </c>
      <c r="N504" s="68">
        <v>6.3</v>
      </c>
      <c r="O504" s="68">
        <v>0.68449999999999989</v>
      </c>
    </row>
    <row r="505" spans="2:15" ht="15.75">
      <c r="B505" s="70" t="s">
        <v>951</v>
      </c>
      <c r="C505" s="77">
        <v>44088</v>
      </c>
      <c r="D505" s="70" t="s">
        <v>266</v>
      </c>
      <c r="E505" s="68" t="s">
        <v>135</v>
      </c>
      <c r="F505" s="68" t="s">
        <v>420</v>
      </c>
      <c r="G505" s="68" t="s">
        <v>415</v>
      </c>
      <c r="H505" s="68" t="s">
        <v>499</v>
      </c>
      <c r="I505" s="68" t="s">
        <v>1116</v>
      </c>
      <c r="J505" s="68">
        <v>95.64</v>
      </c>
      <c r="K505" s="68">
        <v>100.422</v>
      </c>
      <c r="L505" s="68">
        <v>4</v>
      </c>
      <c r="M505" s="68" t="s">
        <v>422</v>
      </c>
      <c r="N505" s="68">
        <v>7.9</v>
      </c>
      <c r="O505" s="68">
        <v>4.7819999999999965</v>
      </c>
    </row>
    <row r="506" spans="2:15" ht="15.75">
      <c r="B506" s="70" t="s">
        <v>952</v>
      </c>
      <c r="C506" s="77">
        <v>44089</v>
      </c>
      <c r="D506" s="70" t="s">
        <v>266</v>
      </c>
      <c r="E506" s="68" t="s">
        <v>135</v>
      </c>
      <c r="F506" s="68" t="s">
        <v>414</v>
      </c>
      <c r="G506" s="68" t="s">
        <v>415</v>
      </c>
      <c r="H506" s="68" t="s">
        <v>471</v>
      </c>
      <c r="I506" s="68" t="s">
        <v>1113</v>
      </c>
      <c r="J506" s="68">
        <v>95.54</v>
      </c>
      <c r="K506" s="68">
        <v>100.31699999999999</v>
      </c>
      <c r="L506" s="68">
        <v>4</v>
      </c>
      <c r="M506" s="68" t="s">
        <v>417</v>
      </c>
      <c r="N506" s="68">
        <v>4.5</v>
      </c>
      <c r="O506" s="68">
        <v>4.7769999999999868</v>
      </c>
    </row>
    <row r="507" spans="2:15" ht="15.75">
      <c r="B507" s="70" t="s">
        <v>953</v>
      </c>
      <c r="C507" s="77">
        <v>44090</v>
      </c>
      <c r="D507" s="70" t="s">
        <v>419</v>
      </c>
      <c r="E507" s="68" t="s">
        <v>131</v>
      </c>
      <c r="F507" s="68" t="s">
        <v>414</v>
      </c>
      <c r="G507" s="68" t="s">
        <v>415</v>
      </c>
      <c r="H507" s="68" t="s">
        <v>442</v>
      </c>
      <c r="I507" s="68" t="s">
        <v>1115</v>
      </c>
      <c r="J507" s="68">
        <v>85.87</v>
      </c>
      <c r="K507" s="68">
        <v>90.163499999999999</v>
      </c>
      <c r="L507" s="68">
        <v>7</v>
      </c>
      <c r="M507" s="68" t="s">
        <v>433</v>
      </c>
      <c r="N507" s="68">
        <v>8</v>
      </c>
      <c r="O507" s="68">
        <v>4.2934999999999945</v>
      </c>
    </row>
    <row r="508" spans="2:15" ht="15.75">
      <c r="B508" s="70" t="s">
        <v>954</v>
      </c>
      <c r="C508" s="77">
        <v>44091</v>
      </c>
      <c r="D508" s="70" t="s">
        <v>419</v>
      </c>
      <c r="E508" s="68" t="s">
        <v>131</v>
      </c>
      <c r="F508" s="68" t="s">
        <v>414</v>
      </c>
      <c r="G508" s="68" t="s">
        <v>415</v>
      </c>
      <c r="H508" s="68" t="s">
        <v>471</v>
      </c>
      <c r="I508" s="68" t="s">
        <v>1113</v>
      </c>
      <c r="J508" s="68">
        <v>67.989999999999995</v>
      </c>
      <c r="K508" s="68">
        <v>71.389499999999998</v>
      </c>
      <c r="L508" s="68">
        <v>7</v>
      </c>
      <c r="M508" s="68" t="s">
        <v>417</v>
      </c>
      <c r="N508" s="68">
        <v>5.7</v>
      </c>
      <c r="O508" s="68">
        <v>3.3995000000000033</v>
      </c>
    </row>
    <row r="509" spans="2:15" ht="15.75">
      <c r="B509" s="70" t="s">
        <v>955</v>
      </c>
      <c r="C509" s="77">
        <v>44092</v>
      </c>
      <c r="D509" s="70" t="s">
        <v>419</v>
      </c>
      <c r="E509" s="68" t="s">
        <v>131</v>
      </c>
      <c r="F509" s="68" t="s">
        <v>420</v>
      </c>
      <c r="G509" s="68" t="s">
        <v>415</v>
      </c>
      <c r="H509" s="68" t="s">
        <v>476</v>
      </c>
      <c r="I509" s="68" t="s">
        <v>1114</v>
      </c>
      <c r="J509" s="68">
        <v>52.42</v>
      </c>
      <c r="K509" s="68">
        <v>55.040999999999997</v>
      </c>
      <c r="L509" s="68">
        <v>1</v>
      </c>
      <c r="M509" s="68" t="s">
        <v>433</v>
      </c>
      <c r="N509" s="68">
        <v>6.3</v>
      </c>
      <c r="O509" s="68">
        <v>2.6209999999999951</v>
      </c>
    </row>
    <row r="510" spans="2:15" ht="15.75">
      <c r="B510" s="70" t="s">
        <v>956</v>
      </c>
      <c r="C510" s="77">
        <v>44093</v>
      </c>
      <c r="D510" s="70" t="s">
        <v>419</v>
      </c>
      <c r="E510" s="68" t="s">
        <v>131</v>
      </c>
      <c r="F510" s="68" t="s">
        <v>414</v>
      </c>
      <c r="G510" s="68" t="s">
        <v>494</v>
      </c>
      <c r="H510" s="68" t="s">
        <v>476</v>
      </c>
      <c r="I510" s="68" t="s">
        <v>1114</v>
      </c>
      <c r="J510" s="68">
        <v>65.650000000000006</v>
      </c>
      <c r="K510" s="68">
        <v>68.932500000000005</v>
      </c>
      <c r="L510" s="68">
        <v>2</v>
      </c>
      <c r="M510" s="68" t="s">
        <v>422</v>
      </c>
      <c r="N510" s="68">
        <v>6</v>
      </c>
      <c r="O510" s="68">
        <v>3.2824999999999989</v>
      </c>
    </row>
    <row r="511" spans="2:15" ht="15.75">
      <c r="B511" s="70" t="s">
        <v>957</v>
      </c>
      <c r="C511" s="77">
        <v>44094</v>
      </c>
      <c r="D511" s="70" t="s">
        <v>266</v>
      </c>
      <c r="E511" s="68" t="s">
        <v>135</v>
      </c>
      <c r="F511" s="68" t="s">
        <v>420</v>
      </c>
      <c r="G511" s="68" t="s">
        <v>415</v>
      </c>
      <c r="H511" s="68" t="s">
        <v>476</v>
      </c>
      <c r="I511" s="68" t="s">
        <v>1114</v>
      </c>
      <c r="J511" s="68">
        <v>28.86</v>
      </c>
      <c r="K511" s="68">
        <v>30.302999999999997</v>
      </c>
      <c r="L511" s="68">
        <v>5</v>
      </c>
      <c r="M511" s="68" t="s">
        <v>433</v>
      </c>
      <c r="N511" s="68">
        <v>8</v>
      </c>
      <c r="O511" s="68">
        <v>1.4429999999999978</v>
      </c>
    </row>
    <row r="512" spans="2:15" ht="15.75">
      <c r="B512" s="70" t="s">
        <v>958</v>
      </c>
      <c r="C512" s="77">
        <v>44095</v>
      </c>
      <c r="D512" s="70" t="s">
        <v>419</v>
      </c>
      <c r="E512" s="68" t="s">
        <v>131</v>
      </c>
      <c r="F512" s="68" t="s">
        <v>414</v>
      </c>
      <c r="G512" s="68" t="s">
        <v>494</v>
      </c>
      <c r="H512" s="68" t="s">
        <v>442</v>
      </c>
      <c r="I512" s="68" t="s">
        <v>1115</v>
      </c>
      <c r="J512" s="68">
        <v>65.31</v>
      </c>
      <c r="K512" s="68">
        <v>68.575500000000005</v>
      </c>
      <c r="L512" s="68">
        <v>7</v>
      </c>
      <c r="M512" s="68" t="s">
        <v>433</v>
      </c>
      <c r="N512" s="68">
        <v>4.2</v>
      </c>
      <c r="O512" s="68">
        <v>3.265500000000003</v>
      </c>
    </row>
    <row r="513" spans="2:15" ht="15.75">
      <c r="B513" s="70" t="s">
        <v>959</v>
      </c>
      <c r="C513" s="77">
        <v>44096</v>
      </c>
      <c r="D513" s="70" t="s">
        <v>266</v>
      </c>
      <c r="E513" s="68" t="s">
        <v>135</v>
      </c>
      <c r="F513" s="68" t="s">
        <v>420</v>
      </c>
      <c r="G513" s="68" t="s">
        <v>494</v>
      </c>
      <c r="H513" s="68" t="s">
        <v>471</v>
      </c>
      <c r="I513" s="68" t="s">
        <v>1113</v>
      </c>
      <c r="J513" s="68">
        <v>93.38</v>
      </c>
      <c r="K513" s="68">
        <v>98.049000000000007</v>
      </c>
      <c r="L513" s="68">
        <v>1</v>
      </c>
      <c r="M513" s="68" t="s">
        <v>422</v>
      </c>
      <c r="N513" s="68">
        <v>9.6</v>
      </c>
      <c r="O513" s="68">
        <v>4.6690000000000111</v>
      </c>
    </row>
    <row r="514" spans="2:15" ht="15.75">
      <c r="B514" s="70" t="s">
        <v>960</v>
      </c>
      <c r="C514" s="77">
        <v>44097</v>
      </c>
      <c r="D514" s="70" t="s">
        <v>419</v>
      </c>
      <c r="E514" s="68" t="s">
        <v>131</v>
      </c>
      <c r="F514" s="68" t="s">
        <v>414</v>
      </c>
      <c r="G514" s="68" t="s">
        <v>494</v>
      </c>
      <c r="H514" s="68" t="s">
        <v>471</v>
      </c>
      <c r="I514" s="68" t="s">
        <v>1113</v>
      </c>
      <c r="J514" s="68">
        <v>25.25</v>
      </c>
      <c r="K514" s="68">
        <v>26.512499999999999</v>
      </c>
      <c r="L514" s="68">
        <v>5</v>
      </c>
      <c r="M514" s="68" t="s">
        <v>422</v>
      </c>
      <c r="N514" s="68">
        <v>6.1</v>
      </c>
      <c r="O514" s="68">
        <v>1.2624999999999993</v>
      </c>
    </row>
    <row r="515" spans="2:15" ht="15.75">
      <c r="B515" s="70" t="s">
        <v>961</v>
      </c>
      <c r="C515" s="77">
        <v>44098</v>
      </c>
      <c r="D515" s="70" t="s">
        <v>266</v>
      </c>
      <c r="E515" s="68" t="s">
        <v>135</v>
      </c>
      <c r="F515" s="68" t="s">
        <v>414</v>
      </c>
      <c r="G515" s="68" t="s">
        <v>494</v>
      </c>
      <c r="H515" s="68" t="s">
        <v>430</v>
      </c>
      <c r="I515" s="68" t="s">
        <v>1116</v>
      </c>
      <c r="J515" s="68">
        <v>87.87</v>
      </c>
      <c r="K515" s="68">
        <v>92.263499999999993</v>
      </c>
      <c r="L515" s="68">
        <v>9</v>
      </c>
      <c r="M515" s="68" t="s">
        <v>417</v>
      </c>
      <c r="N515" s="68">
        <v>5.6</v>
      </c>
      <c r="O515" s="68">
        <v>4.3934999999999889</v>
      </c>
    </row>
    <row r="516" spans="2:15" ht="15.75">
      <c r="B516" s="70" t="s">
        <v>962</v>
      </c>
      <c r="C516" s="77">
        <v>44099</v>
      </c>
      <c r="D516" s="70" t="s">
        <v>419</v>
      </c>
      <c r="E516" s="68" t="s">
        <v>131</v>
      </c>
      <c r="F516" s="68" t="s">
        <v>420</v>
      </c>
      <c r="G516" s="68" t="s">
        <v>494</v>
      </c>
      <c r="H516" s="68" t="s">
        <v>442</v>
      </c>
      <c r="I516" s="68" t="s">
        <v>1115</v>
      </c>
      <c r="J516" s="68">
        <v>21.8</v>
      </c>
      <c r="K516" s="68">
        <v>22.89</v>
      </c>
      <c r="L516" s="68">
        <v>8</v>
      </c>
      <c r="M516" s="68" t="s">
        <v>422</v>
      </c>
      <c r="N516" s="68">
        <v>8.3000000000000007</v>
      </c>
      <c r="O516" s="68">
        <v>1.0899999999999999</v>
      </c>
    </row>
    <row r="517" spans="2:15" ht="15.75">
      <c r="B517" s="70" t="s">
        <v>963</v>
      </c>
      <c r="C517" s="77">
        <v>44100</v>
      </c>
      <c r="D517" s="70" t="s">
        <v>175</v>
      </c>
      <c r="E517" s="68" t="s">
        <v>134</v>
      </c>
      <c r="F517" s="68" t="s">
        <v>420</v>
      </c>
      <c r="G517" s="68" t="s">
        <v>415</v>
      </c>
      <c r="H517" s="68" t="s">
        <v>471</v>
      </c>
      <c r="I517" s="68" t="s">
        <v>1113</v>
      </c>
      <c r="J517" s="68">
        <v>94.76</v>
      </c>
      <c r="K517" s="68">
        <v>99.498000000000005</v>
      </c>
      <c r="L517" s="68">
        <v>4</v>
      </c>
      <c r="M517" s="68" t="s">
        <v>417</v>
      </c>
      <c r="N517" s="68">
        <v>7.8</v>
      </c>
      <c r="O517" s="68">
        <v>4.7379999999999995</v>
      </c>
    </row>
    <row r="518" spans="2:15" ht="15.75">
      <c r="B518" s="70" t="s">
        <v>964</v>
      </c>
      <c r="C518" s="77">
        <v>44101</v>
      </c>
      <c r="D518" s="70" t="s">
        <v>419</v>
      </c>
      <c r="E518" s="68" t="s">
        <v>131</v>
      </c>
      <c r="F518" s="68" t="s">
        <v>414</v>
      </c>
      <c r="G518" s="68" t="s">
        <v>415</v>
      </c>
      <c r="H518" s="68" t="s">
        <v>442</v>
      </c>
      <c r="I518" s="68" t="s">
        <v>1115</v>
      </c>
      <c r="J518" s="68">
        <v>10.16</v>
      </c>
      <c r="K518" s="68">
        <v>10.668000000000001</v>
      </c>
      <c r="L518" s="68">
        <v>5</v>
      </c>
      <c r="M518" s="68" t="s">
        <v>417</v>
      </c>
      <c r="N518" s="68">
        <v>4.0999999999999996</v>
      </c>
      <c r="O518" s="68">
        <v>0.5080000000000009</v>
      </c>
    </row>
    <row r="519" spans="2:15" ht="15.75">
      <c r="B519" s="70" t="s">
        <v>965</v>
      </c>
      <c r="C519" s="77">
        <v>44102</v>
      </c>
      <c r="D519" s="70" t="s">
        <v>175</v>
      </c>
      <c r="E519" s="68" t="s">
        <v>134</v>
      </c>
      <c r="F519" s="68" t="s">
        <v>420</v>
      </c>
      <c r="G519" s="68" t="s">
        <v>494</v>
      </c>
      <c r="H519" s="68" t="s">
        <v>499</v>
      </c>
      <c r="I519" s="68" t="s">
        <v>1116</v>
      </c>
      <c r="J519" s="68">
        <v>74.58</v>
      </c>
      <c r="K519" s="68">
        <v>78.308999999999997</v>
      </c>
      <c r="L519" s="68">
        <v>7</v>
      </c>
      <c r="M519" s="68" t="s">
        <v>433</v>
      </c>
      <c r="N519" s="68">
        <v>9</v>
      </c>
      <c r="O519" s="68">
        <v>3.7289999999999992</v>
      </c>
    </row>
    <row r="520" spans="2:15" ht="15.75">
      <c r="B520" s="70" t="s">
        <v>966</v>
      </c>
      <c r="C520" s="77">
        <v>44103</v>
      </c>
      <c r="D520" s="70" t="s">
        <v>419</v>
      </c>
      <c r="E520" s="68" t="s">
        <v>131</v>
      </c>
      <c r="F520" s="68" t="s">
        <v>420</v>
      </c>
      <c r="G520" s="68" t="s">
        <v>494</v>
      </c>
      <c r="H520" s="68" t="s">
        <v>499</v>
      </c>
      <c r="I520" s="68" t="s">
        <v>1116</v>
      </c>
      <c r="J520" s="68">
        <v>71.89</v>
      </c>
      <c r="K520" s="68">
        <v>75.484499999999997</v>
      </c>
      <c r="L520" s="68">
        <v>8</v>
      </c>
      <c r="M520" s="68" t="s">
        <v>417</v>
      </c>
      <c r="N520" s="68">
        <v>5.5</v>
      </c>
      <c r="O520" s="68">
        <v>3.5944999999999965</v>
      </c>
    </row>
    <row r="521" spans="2:15" ht="15.75">
      <c r="B521" s="70" t="s">
        <v>967</v>
      </c>
      <c r="C521" s="77">
        <v>44104</v>
      </c>
      <c r="D521" s="70" t="s">
        <v>419</v>
      </c>
      <c r="E521" s="68" t="s">
        <v>131</v>
      </c>
      <c r="F521" s="68" t="s">
        <v>420</v>
      </c>
      <c r="G521" s="68" t="s">
        <v>415</v>
      </c>
      <c r="H521" s="68" t="s">
        <v>465</v>
      </c>
      <c r="I521" s="68" t="s">
        <v>1115</v>
      </c>
      <c r="J521" s="68">
        <v>10.99</v>
      </c>
      <c r="K521" s="68">
        <v>11.5395</v>
      </c>
      <c r="L521" s="68">
        <v>5</v>
      </c>
      <c r="M521" s="68" t="s">
        <v>433</v>
      </c>
      <c r="N521" s="68">
        <v>9.3000000000000007</v>
      </c>
      <c r="O521" s="68">
        <v>0.5495000000000001</v>
      </c>
    </row>
    <row r="522" spans="2:15" ht="15.75">
      <c r="B522" s="70" t="s">
        <v>968</v>
      </c>
      <c r="C522" s="77">
        <v>44105</v>
      </c>
      <c r="D522" s="70" t="s">
        <v>419</v>
      </c>
      <c r="E522" s="68" t="s">
        <v>131</v>
      </c>
      <c r="F522" s="68" t="s">
        <v>414</v>
      </c>
      <c r="G522" s="68" t="s">
        <v>494</v>
      </c>
      <c r="H522" s="68" t="s">
        <v>446</v>
      </c>
      <c r="I522" s="68" t="s">
        <v>1115</v>
      </c>
      <c r="J522" s="68">
        <v>60.47</v>
      </c>
      <c r="K522" s="68">
        <v>63.493500000000004</v>
      </c>
      <c r="L522" s="68">
        <v>3</v>
      </c>
      <c r="M522" s="68" t="s">
        <v>433</v>
      </c>
      <c r="N522" s="68">
        <v>5.6</v>
      </c>
      <c r="O522" s="68">
        <v>3.0235000000000056</v>
      </c>
    </row>
    <row r="523" spans="2:15" ht="15.75">
      <c r="B523" s="70" t="s">
        <v>969</v>
      </c>
      <c r="C523" s="77">
        <v>44106</v>
      </c>
      <c r="D523" s="70" t="s">
        <v>175</v>
      </c>
      <c r="E523" s="68" t="s">
        <v>134</v>
      </c>
      <c r="F523" s="68" t="s">
        <v>420</v>
      </c>
      <c r="G523" s="68" t="s">
        <v>494</v>
      </c>
      <c r="H523" s="68" t="s">
        <v>471</v>
      </c>
      <c r="I523" s="68" t="s">
        <v>1113</v>
      </c>
      <c r="J523" s="68">
        <v>58.91</v>
      </c>
      <c r="K523" s="68">
        <v>61.855499999999999</v>
      </c>
      <c r="L523" s="68">
        <v>7</v>
      </c>
      <c r="M523" s="68" t="s">
        <v>417</v>
      </c>
      <c r="N523" s="68">
        <v>9.6999999999999993</v>
      </c>
      <c r="O523" s="68">
        <v>2.9455000000000027</v>
      </c>
    </row>
    <row r="524" spans="2:15" ht="15.75">
      <c r="B524" s="70" t="s">
        <v>970</v>
      </c>
      <c r="C524" s="77">
        <v>44107</v>
      </c>
      <c r="D524" s="70" t="s">
        <v>419</v>
      </c>
      <c r="E524" s="68" t="s">
        <v>131</v>
      </c>
      <c r="F524" s="68" t="s">
        <v>414</v>
      </c>
      <c r="G524" s="68" t="s">
        <v>494</v>
      </c>
      <c r="H524" s="68" t="s">
        <v>465</v>
      </c>
      <c r="I524" s="68" t="s">
        <v>1115</v>
      </c>
      <c r="J524" s="68">
        <v>68.55</v>
      </c>
      <c r="K524" s="68">
        <v>71.977500000000006</v>
      </c>
      <c r="L524" s="68">
        <v>4</v>
      </c>
      <c r="M524" s="68" t="s">
        <v>433</v>
      </c>
      <c r="N524" s="68">
        <v>9.1999999999999993</v>
      </c>
      <c r="O524" s="68">
        <v>3.4275000000000091</v>
      </c>
    </row>
    <row r="525" spans="2:15" ht="15.75">
      <c r="B525" s="70" t="s">
        <v>971</v>
      </c>
      <c r="C525" s="77">
        <v>44108</v>
      </c>
      <c r="D525" s="70" t="s">
        <v>175</v>
      </c>
      <c r="E525" s="68" t="s">
        <v>134</v>
      </c>
      <c r="F525" s="68" t="s">
        <v>414</v>
      </c>
      <c r="G525" s="68" t="s">
        <v>494</v>
      </c>
      <c r="H525" s="68" t="s">
        <v>499</v>
      </c>
      <c r="I525" s="68" t="s">
        <v>1116</v>
      </c>
      <c r="J525" s="68">
        <v>92.6</v>
      </c>
      <c r="K525" s="68">
        <v>97.23</v>
      </c>
      <c r="L525" s="68">
        <v>7</v>
      </c>
      <c r="M525" s="68" t="s">
        <v>433</v>
      </c>
      <c r="N525" s="68">
        <v>9.3000000000000007</v>
      </c>
      <c r="O525" s="68">
        <v>4.6300000000000097</v>
      </c>
    </row>
    <row r="526" spans="2:15" ht="15.75">
      <c r="B526" s="70" t="s">
        <v>972</v>
      </c>
      <c r="C526" s="77">
        <v>44109</v>
      </c>
      <c r="D526" s="70" t="s">
        <v>175</v>
      </c>
      <c r="E526" s="68" t="s">
        <v>134</v>
      </c>
      <c r="F526" s="68" t="s">
        <v>420</v>
      </c>
      <c r="G526" s="68" t="s">
        <v>415</v>
      </c>
      <c r="H526" s="68" t="s">
        <v>499</v>
      </c>
      <c r="I526" s="68" t="s">
        <v>1116</v>
      </c>
      <c r="J526" s="68">
        <v>46.61</v>
      </c>
      <c r="K526" s="68">
        <v>48.9405</v>
      </c>
      <c r="L526" s="68">
        <v>2</v>
      </c>
      <c r="M526" s="68" t="s">
        <v>433</v>
      </c>
      <c r="N526" s="68">
        <v>6.6</v>
      </c>
      <c r="O526" s="68">
        <v>2.3305000000000007</v>
      </c>
    </row>
    <row r="527" spans="2:15" ht="15.75">
      <c r="B527" s="70" t="s">
        <v>973</v>
      </c>
      <c r="C527" s="77">
        <v>44110</v>
      </c>
      <c r="D527" s="70" t="s">
        <v>175</v>
      </c>
      <c r="E527" s="68" t="s">
        <v>134</v>
      </c>
      <c r="F527" s="68" t="s">
        <v>414</v>
      </c>
      <c r="G527" s="68" t="s">
        <v>415</v>
      </c>
      <c r="H527" s="68" t="s">
        <v>471</v>
      </c>
      <c r="I527" s="68" t="s">
        <v>1113</v>
      </c>
      <c r="J527" s="68">
        <v>24.49</v>
      </c>
      <c r="K527" s="68">
        <v>25.714499999999997</v>
      </c>
      <c r="L527" s="68">
        <v>10</v>
      </c>
      <c r="M527" s="68" t="s">
        <v>422</v>
      </c>
      <c r="N527" s="68">
        <v>8.1</v>
      </c>
      <c r="O527" s="68">
        <v>1.224499999999999</v>
      </c>
    </row>
    <row r="528" spans="2:15" ht="15.75">
      <c r="B528" s="70" t="s">
        <v>974</v>
      </c>
      <c r="C528" s="77">
        <v>44111</v>
      </c>
      <c r="D528" s="70" t="s">
        <v>266</v>
      </c>
      <c r="E528" s="68" t="s">
        <v>135</v>
      </c>
      <c r="F528" s="68" t="s">
        <v>420</v>
      </c>
      <c r="G528" s="68" t="s">
        <v>494</v>
      </c>
      <c r="H528" s="68" t="s">
        <v>446</v>
      </c>
      <c r="I528" s="68" t="s">
        <v>1115</v>
      </c>
      <c r="J528" s="68">
        <v>92.78</v>
      </c>
      <c r="K528" s="68">
        <v>97.418999999999997</v>
      </c>
      <c r="L528" s="68">
        <v>1</v>
      </c>
      <c r="M528" s="68" t="s">
        <v>433</v>
      </c>
      <c r="N528" s="68">
        <v>9.8000000000000007</v>
      </c>
      <c r="O528" s="68">
        <v>4.6389999999999958</v>
      </c>
    </row>
    <row r="529" spans="2:15" ht="15.75">
      <c r="B529" s="70" t="s">
        <v>975</v>
      </c>
      <c r="C529" s="77">
        <v>44112</v>
      </c>
      <c r="D529" s="70" t="s">
        <v>266</v>
      </c>
      <c r="E529" s="68" t="s">
        <v>135</v>
      </c>
      <c r="F529" s="68" t="s">
        <v>420</v>
      </c>
      <c r="G529" s="68" t="s">
        <v>494</v>
      </c>
      <c r="H529" s="68" t="s">
        <v>471</v>
      </c>
      <c r="I529" s="68" t="s">
        <v>1113</v>
      </c>
      <c r="J529" s="68">
        <v>23.01</v>
      </c>
      <c r="K529" s="68">
        <v>24.160499999999999</v>
      </c>
      <c r="L529" s="68">
        <v>6</v>
      </c>
      <c r="M529" s="68" t="s">
        <v>417</v>
      </c>
      <c r="N529" s="68">
        <v>7.9</v>
      </c>
      <c r="O529" s="68">
        <v>1.1504999999999974</v>
      </c>
    </row>
    <row r="530" spans="2:15" ht="15.75">
      <c r="B530" s="70" t="s">
        <v>976</v>
      </c>
      <c r="C530" s="77">
        <v>44113</v>
      </c>
      <c r="D530" s="70" t="s">
        <v>419</v>
      </c>
      <c r="E530" s="68" t="s">
        <v>131</v>
      </c>
      <c r="F530" s="68" t="s">
        <v>414</v>
      </c>
      <c r="G530" s="68" t="s">
        <v>415</v>
      </c>
      <c r="H530" s="68" t="s">
        <v>499</v>
      </c>
      <c r="I530" s="68" t="s">
        <v>1116</v>
      </c>
      <c r="J530" s="68">
        <v>30.2</v>
      </c>
      <c r="K530" s="68">
        <v>31.71</v>
      </c>
      <c r="L530" s="68">
        <v>8</v>
      </c>
      <c r="M530" s="68" t="s">
        <v>417</v>
      </c>
      <c r="N530" s="68">
        <v>5.0999999999999996</v>
      </c>
      <c r="O530" s="68">
        <v>1.5100000000000016</v>
      </c>
    </row>
    <row r="531" spans="2:15" ht="15.75">
      <c r="B531" s="70" t="s">
        <v>977</v>
      </c>
      <c r="C531" s="77">
        <v>44114</v>
      </c>
      <c r="D531" s="70" t="s">
        <v>266</v>
      </c>
      <c r="E531" s="68" t="s">
        <v>135</v>
      </c>
      <c r="F531" s="68" t="s">
        <v>414</v>
      </c>
      <c r="G531" s="68" t="s">
        <v>415</v>
      </c>
      <c r="H531" s="68" t="s">
        <v>430</v>
      </c>
      <c r="I531" s="68" t="s">
        <v>1116</v>
      </c>
      <c r="J531" s="68">
        <v>75.59</v>
      </c>
      <c r="K531" s="68">
        <v>79.369500000000002</v>
      </c>
      <c r="L531" s="68">
        <v>9</v>
      </c>
      <c r="M531" s="68" t="s">
        <v>422</v>
      </c>
      <c r="N531" s="68">
        <v>8</v>
      </c>
      <c r="O531" s="68">
        <v>3.7794999999999987</v>
      </c>
    </row>
    <row r="532" spans="2:15" ht="15.75">
      <c r="B532" s="70" t="s">
        <v>978</v>
      </c>
      <c r="C532" s="77">
        <v>44115</v>
      </c>
      <c r="D532" s="70" t="s">
        <v>175</v>
      </c>
      <c r="E532" s="68" t="s">
        <v>134</v>
      </c>
      <c r="F532" s="68" t="s">
        <v>420</v>
      </c>
      <c r="G532" s="68" t="s">
        <v>415</v>
      </c>
      <c r="H532" s="68" t="s">
        <v>471</v>
      </c>
      <c r="I532" s="68" t="s">
        <v>1113</v>
      </c>
      <c r="J532" s="68">
        <v>93.18</v>
      </c>
      <c r="K532" s="68">
        <v>97.838999999999999</v>
      </c>
      <c r="L532" s="68">
        <v>2</v>
      </c>
      <c r="M532" s="68" t="s">
        <v>433</v>
      </c>
      <c r="N532" s="68">
        <v>8.5</v>
      </c>
      <c r="O532" s="68">
        <v>4.6589999999999918</v>
      </c>
    </row>
    <row r="533" spans="2:15" ht="15.75">
      <c r="B533" s="70" t="s">
        <v>979</v>
      </c>
      <c r="C533" s="77">
        <v>44116</v>
      </c>
      <c r="D533" s="70" t="s">
        <v>175</v>
      </c>
      <c r="E533" s="68" t="s">
        <v>134</v>
      </c>
      <c r="F533" s="68" t="s">
        <v>420</v>
      </c>
      <c r="G533" s="68" t="s">
        <v>415</v>
      </c>
      <c r="H533" s="68" t="s">
        <v>421</v>
      </c>
      <c r="I533" s="68" t="s">
        <v>1116</v>
      </c>
      <c r="J533" s="68">
        <v>50.23</v>
      </c>
      <c r="K533" s="68">
        <v>52.741500000000002</v>
      </c>
      <c r="L533" s="68">
        <v>4</v>
      </c>
      <c r="M533" s="68" t="s">
        <v>422</v>
      </c>
      <c r="N533" s="68">
        <v>9</v>
      </c>
      <c r="O533" s="68">
        <v>2.5115000000000052</v>
      </c>
    </row>
    <row r="534" spans="2:15" ht="15.75">
      <c r="B534" s="70" t="s">
        <v>980</v>
      </c>
      <c r="C534" s="77">
        <v>44117</v>
      </c>
      <c r="D534" s="70" t="s">
        <v>266</v>
      </c>
      <c r="E534" s="68" t="s">
        <v>135</v>
      </c>
      <c r="F534" s="68" t="s">
        <v>420</v>
      </c>
      <c r="G534" s="68" t="s">
        <v>415</v>
      </c>
      <c r="H534" s="68" t="s">
        <v>424</v>
      </c>
      <c r="I534" s="68" t="s">
        <v>1115</v>
      </c>
      <c r="J534" s="68">
        <v>17.75</v>
      </c>
      <c r="K534" s="68">
        <v>18.637499999999999</v>
      </c>
      <c r="L534" s="68">
        <v>1</v>
      </c>
      <c r="M534" s="68" t="s">
        <v>422</v>
      </c>
      <c r="N534" s="68">
        <v>8.6</v>
      </c>
      <c r="O534" s="68">
        <v>0.88749999999999929</v>
      </c>
    </row>
    <row r="535" spans="2:15" ht="15.75">
      <c r="B535" s="70" t="s">
        <v>981</v>
      </c>
      <c r="C535" s="77">
        <v>44118</v>
      </c>
      <c r="D535" s="70" t="s">
        <v>266</v>
      </c>
      <c r="E535" s="68" t="s">
        <v>135</v>
      </c>
      <c r="F535" s="68" t="s">
        <v>420</v>
      </c>
      <c r="G535" s="68" t="s">
        <v>494</v>
      </c>
      <c r="H535" s="68" t="s">
        <v>465</v>
      </c>
      <c r="I535" s="68" t="s">
        <v>1115</v>
      </c>
      <c r="J535" s="68">
        <v>10.75</v>
      </c>
      <c r="K535" s="68">
        <v>11.2875</v>
      </c>
      <c r="L535" s="68">
        <v>8</v>
      </c>
      <c r="M535" s="68" t="s">
        <v>417</v>
      </c>
      <c r="N535" s="68">
        <v>6.2</v>
      </c>
      <c r="O535" s="68">
        <v>0.53749999999999964</v>
      </c>
    </row>
    <row r="536" spans="2:15" ht="15.75">
      <c r="B536" s="70" t="s">
        <v>982</v>
      </c>
      <c r="C536" s="77">
        <v>44119</v>
      </c>
      <c r="D536" s="70" t="s">
        <v>175</v>
      </c>
      <c r="E536" s="68" t="s">
        <v>134</v>
      </c>
      <c r="F536" s="68" t="s">
        <v>420</v>
      </c>
      <c r="G536" s="68" t="s">
        <v>415</v>
      </c>
      <c r="H536" s="68" t="s">
        <v>421</v>
      </c>
      <c r="I536" s="68" t="s">
        <v>1116</v>
      </c>
      <c r="J536" s="68">
        <v>40.26</v>
      </c>
      <c r="K536" s="68">
        <v>42.273000000000003</v>
      </c>
      <c r="L536" s="68">
        <v>10</v>
      </c>
      <c r="M536" s="68" t="s">
        <v>433</v>
      </c>
      <c r="N536" s="68">
        <v>5</v>
      </c>
      <c r="O536" s="68">
        <v>2.0130000000000052</v>
      </c>
    </row>
    <row r="537" spans="2:15" ht="15.75">
      <c r="B537" s="70" t="s">
        <v>983</v>
      </c>
      <c r="C537" s="77">
        <v>44120</v>
      </c>
      <c r="D537" s="70" t="s">
        <v>419</v>
      </c>
      <c r="E537" s="68" t="s">
        <v>131</v>
      </c>
      <c r="F537" s="68" t="s">
        <v>414</v>
      </c>
      <c r="G537" s="68" t="s">
        <v>415</v>
      </c>
      <c r="H537" s="68" t="s">
        <v>471</v>
      </c>
      <c r="I537" s="68" t="s">
        <v>1113</v>
      </c>
      <c r="J537" s="68">
        <v>64.97</v>
      </c>
      <c r="K537" s="68">
        <v>68.218499999999992</v>
      </c>
      <c r="L537" s="68">
        <v>5</v>
      </c>
      <c r="M537" s="68" t="s">
        <v>433</v>
      </c>
      <c r="N537" s="68">
        <v>6.5</v>
      </c>
      <c r="O537" s="68">
        <v>3.2484999999999928</v>
      </c>
    </row>
    <row r="538" spans="2:15" ht="15.75">
      <c r="B538" s="70" t="s">
        <v>984</v>
      </c>
      <c r="C538" s="77">
        <v>44121</v>
      </c>
      <c r="D538" s="70" t="s">
        <v>175</v>
      </c>
      <c r="E538" s="68" t="s">
        <v>134</v>
      </c>
      <c r="F538" s="68" t="s">
        <v>420</v>
      </c>
      <c r="G538" s="68" t="s">
        <v>494</v>
      </c>
      <c r="H538" s="68" t="s">
        <v>421</v>
      </c>
      <c r="I538" s="68" t="s">
        <v>1116</v>
      </c>
      <c r="J538" s="68">
        <v>95.15</v>
      </c>
      <c r="K538" s="68">
        <v>99.907499999999999</v>
      </c>
      <c r="L538" s="68">
        <v>1</v>
      </c>
      <c r="M538" s="68" t="s">
        <v>422</v>
      </c>
      <c r="N538" s="68">
        <v>6</v>
      </c>
      <c r="O538" s="68">
        <v>4.7574999999999932</v>
      </c>
    </row>
    <row r="539" spans="2:15" ht="15.75">
      <c r="B539" s="70" t="s">
        <v>985</v>
      </c>
      <c r="C539" s="77">
        <v>44122</v>
      </c>
      <c r="D539" s="70" t="s">
        <v>175</v>
      </c>
      <c r="E539" s="68" t="s">
        <v>134</v>
      </c>
      <c r="F539" s="68" t="s">
        <v>414</v>
      </c>
      <c r="G539" s="68" t="s">
        <v>415</v>
      </c>
      <c r="H539" s="68" t="s">
        <v>421</v>
      </c>
      <c r="I539" s="68" t="s">
        <v>1116</v>
      </c>
      <c r="J539" s="68">
        <v>48.62</v>
      </c>
      <c r="K539" s="68">
        <v>51.051000000000002</v>
      </c>
      <c r="L539" s="68">
        <v>8</v>
      </c>
      <c r="M539" s="68" t="s">
        <v>422</v>
      </c>
      <c r="N539" s="68">
        <v>5</v>
      </c>
      <c r="O539" s="68">
        <v>2.4310000000000045</v>
      </c>
    </row>
    <row r="540" spans="2:15" ht="15.75">
      <c r="B540" s="70" t="s">
        <v>986</v>
      </c>
      <c r="C540" s="77">
        <v>44123</v>
      </c>
      <c r="D540" s="70" t="s">
        <v>266</v>
      </c>
      <c r="E540" s="68" t="s">
        <v>135</v>
      </c>
      <c r="F540" s="68" t="s">
        <v>420</v>
      </c>
      <c r="G540" s="68" t="s">
        <v>415</v>
      </c>
      <c r="H540" s="68" t="s">
        <v>476</v>
      </c>
      <c r="I540" s="68" t="s">
        <v>1114</v>
      </c>
      <c r="J540" s="68">
        <v>53.21</v>
      </c>
      <c r="K540" s="68">
        <v>55.8705</v>
      </c>
      <c r="L540" s="68">
        <v>8</v>
      </c>
      <c r="M540" s="68" t="s">
        <v>417</v>
      </c>
      <c r="N540" s="68">
        <v>5</v>
      </c>
      <c r="O540" s="68">
        <v>2.660499999999999</v>
      </c>
    </row>
    <row r="541" spans="2:15" ht="15.75">
      <c r="B541" s="70" t="s">
        <v>987</v>
      </c>
      <c r="C541" s="77">
        <v>44124</v>
      </c>
      <c r="D541" s="70" t="s">
        <v>175</v>
      </c>
      <c r="E541" s="68" t="s">
        <v>134</v>
      </c>
      <c r="F541" s="68" t="s">
        <v>420</v>
      </c>
      <c r="G541" s="68" t="s">
        <v>494</v>
      </c>
      <c r="H541" s="68" t="s">
        <v>476</v>
      </c>
      <c r="I541" s="68" t="s">
        <v>1114</v>
      </c>
      <c r="J541" s="68">
        <v>33.880000000000003</v>
      </c>
      <c r="K541" s="68">
        <v>35.573999999999998</v>
      </c>
      <c r="L541" s="68">
        <v>8</v>
      </c>
      <c r="M541" s="68" t="s">
        <v>417</v>
      </c>
      <c r="N541" s="68">
        <v>9.6</v>
      </c>
      <c r="O541" s="68">
        <v>1.6939999999999955</v>
      </c>
    </row>
    <row r="542" spans="2:15" ht="15.75">
      <c r="B542" s="70" t="s">
        <v>988</v>
      </c>
      <c r="C542" s="77">
        <v>44125</v>
      </c>
      <c r="D542" s="70" t="s">
        <v>266</v>
      </c>
      <c r="E542" s="68" t="s">
        <v>135</v>
      </c>
      <c r="F542" s="68" t="s">
        <v>414</v>
      </c>
      <c r="G542" s="68" t="s">
        <v>494</v>
      </c>
      <c r="H542" s="68" t="s">
        <v>465</v>
      </c>
      <c r="I542" s="68" t="s">
        <v>1115</v>
      </c>
      <c r="J542" s="68">
        <v>96.16</v>
      </c>
      <c r="K542" s="68">
        <v>100.968</v>
      </c>
      <c r="L542" s="68">
        <v>4</v>
      </c>
      <c r="M542" s="68" t="s">
        <v>433</v>
      </c>
      <c r="N542" s="68">
        <v>8.4</v>
      </c>
      <c r="O542" s="68">
        <v>4.8080000000000069</v>
      </c>
    </row>
    <row r="543" spans="2:15" ht="15.75">
      <c r="B543" s="70" t="s">
        <v>989</v>
      </c>
      <c r="C543" s="77">
        <v>44126</v>
      </c>
      <c r="D543" s="70" t="s">
        <v>266</v>
      </c>
      <c r="E543" s="68" t="s">
        <v>135</v>
      </c>
      <c r="F543" s="68" t="s">
        <v>414</v>
      </c>
      <c r="G543" s="68" t="s">
        <v>494</v>
      </c>
      <c r="H543" s="68" t="s">
        <v>476</v>
      </c>
      <c r="I543" s="68" t="s">
        <v>1114</v>
      </c>
      <c r="J543" s="68">
        <v>47.16</v>
      </c>
      <c r="K543" s="68">
        <v>49.518000000000001</v>
      </c>
      <c r="L543" s="68">
        <v>5</v>
      </c>
      <c r="M543" s="68" t="s">
        <v>433</v>
      </c>
      <c r="N543" s="68">
        <v>6</v>
      </c>
      <c r="O543" s="68">
        <v>2.3580000000000041</v>
      </c>
    </row>
    <row r="544" spans="2:15" ht="15.75">
      <c r="B544" s="70" t="s">
        <v>990</v>
      </c>
      <c r="C544" s="77">
        <v>44127</v>
      </c>
      <c r="D544" s="70" t="s">
        <v>266</v>
      </c>
      <c r="E544" s="68" t="s">
        <v>135</v>
      </c>
      <c r="F544" s="68" t="s">
        <v>420</v>
      </c>
      <c r="G544" s="68" t="s">
        <v>494</v>
      </c>
      <c r="H544" s="68" t="s">
        <v>421</v>
      </c>
      <c r="I544" s="68" t="s">
        <v>1116</v>
      </c>
      <c r="J544" s="68">
        <v>52.89</v>
      </c>
      <c r="K544" s="68">
        <v>55.534500000000001</v>
      </c>
      <c r="L544" s="68">
        <v>4</v>
      </c>
      <c r="M544" s="68" t="s">
        <v>417</v>
      </c>
      <c r="N544" s="68">
        <v>6.7</v>
      </c>
      <c r="O544" s="68">
        <v>2.6445000000000007</v>
      </c>
    </row>
    <row r="545" spans="2:15" ht="15.75">
      <c r="B545" s="70" t="s">
        <v>991</v>
      </c>
      <c r="C545" s="77">
        <v>44128</v>
      </c>
      <c r="D545" s="70" t="s">
        <v>419</v>
      </c>
      <c r="E545" s="68" t="s">
        <v>131</v>
      </c>
      <c r="F545" s="68" t="s">
        <v>414</v>
      </c>
      <c r="G545" s="68" t="s">
        <v>494</v>
      </c>
      <c r="H545" s="68" t="s">
        <v>471</v>
      </c>
      <c r="I545" s="68" t="s">
        <v>1113</v>
      </c>
      <c r="J545" s="68">
        <v>10.17</v>
      </c>
      <c r="K545" s="68">
        <v>10.6785</v>
      </c>
      <c r="L545" s="68">
        <v>1</v>
      </c>
      <c r="M545" s="68" t="s">
        <v>422</v>
      </c>
      <c r="N545" s="68">
        <v>5.9</v>
      </c>
      <c r="O545" s="68">
        <v>0.50849999999999973</v>
      </c>
    </row>
    <row r="546" spans="2:15" ht="15.75">
      <c r="B546" s="70" t="s">
        <v>992</v>
      </c>
      <c r="C546" s="77">
        <v>44129</v>
      </c>
      <c r="D546" s="70" t="s">
        <v>175</v>
      </c>
      <c r="E546" s="68" t="s">
        <v>134</v>
      </c>
      <c r="F546" s="68" t="s">
        <v>420</v>
      </c>
      <c r="G546" s="68" t="s">
        <v>415</v>
      </c>
      <c r="H546" s="68" t="s">
        <v>446</v>
      </c>
      <c r="I546" s="68" t="s">
        <v>1115</v>
      </c>
      <c r="J546" s="68">
        <v>68.709999999999994</v>
      </c>
      <c r="K546" s="68">
        <v>72.145499999999998</v>
      </c>
      <c r="L546" s="68">
        <v>3</v>
      </c>
      <c r="M546" s="68" t="s">
        <v>422</v>
      </c>
      <c r="N546" s="68">
        <v>8.6999999999999993</v>
      </c>
      <c r="O546" s="68">
        <v>3.4355000000000047</v>
      </c>
    </row>
    <row r="547" spans="2:15" ht="15.75">
      <c r="B547" s="70" t="s">
        <v>993</v>
      </c>
      <c r="C547" s="77">
        <v>44130</v>
      </c>
      <c r="D547" s="70" t="s">
        <v>266</v>
      </c>
      <c r="E547" s="68" t="s">
        <v>135</v>
      </c>
      <c r="F547" s="68" t="s">
        <v>414</v>
      </c>
      <c r="G547" s="68" t="s">
        <v>415</v>
      </c>
      <c r="H547" s="68" t="s">
        <v>471</v>
      </c>
      <c r="I547" s="68" t="s">
        <v>1113</v>
      </c>
      <c r="J547" s="68">
        <v>60.08</v>
      </c>
      <c r="K547" s="68">
        <v>63.084000000000003</v>
      </c>
      <c r="L547" s="68">
        <v>7</v>
      </c>
      <c r="M547" s="68" t="s">
        <v>433</v>
      </c>
      <c r="N547" s="68">
        <v>4.5</v>
      </c>
      <c r="O547" s="68">
        <v>3.0040000000000049</v>
      </c>
    </row>
    <row r="548" spans="2:15" ht="15.75">
      <c r="B548" s="70" t="s">
        <v>994</v>
      </c>
      <c r="C548" s="77">
        <v>44131</v>
      </c>
      <c r="D548" s="70" t="s">
        <v>175</v>
      </c>
      <c r="E548" s="68" t="s">
        <v>134</v>
      </c>
      <c r="F548" s="68" t="s">
        <v>414</v>
      </c>
      <c r="G548" s="68" t="s">
        <v>415</v>
      </c>
      <c r="H548" s="68" t="s">
        <v>471</v>
      </c>
      <c r="I548" s="68" t="s">
        <v>1113</v>
      </c>
      <c r="J548" s="68">
        <v>22.01</v>
      </c>
      <c r="K548" s="68">
        <v>23.110499999999998</v>
      </c>
      <c r="L548" s="68">
        <v>4</v>
      </c>
      <c r="M548" s="68" t="s">
        <v>433</v>
      </c>
      <c r="N548" s="68">
        <v>6.6</v>
      </c>
      <c r="O548" s="68">
        <v>1.1004999999999967</v>
      </c>
    </row>
    <row r="549" spans="2:15" ht="15.75">
      <c r="B549" s="70" t="s">
        <v>995</v>
      </c>
      <c r="C549" s="77">
        <v>44132</v>
      </c>
      <c r="D549" s="70" t="s">
        <v>266</v>
      </c>
      <c r="E549" s="68" t="s">
        <v>135</v>
      </c>
      <c r="F549" s="68" t="s">
        <v>414</v>
      </c>
      <c r="G549" s="68" t="s">
        <v>415</v>
      </c>
      <c r="H549" s="68" t="s">
        <v>424</v>
      </c>
      <c r="I549" s="68" t="s">
        <v>1115</v>
      </c>
      <c r="J549" s="68">
        <v>72.11</v>
      </c>
      <c r="K549" s="68">
        <v>75.715499999999992</v>
      </c>
      <c r="L549" s="68">
        <v>9</v>
      </c>
      <c r="M549" s="68" t="s">
        <v>433</v>
      </c>
      <c r="N549" s="68">
        <v>7.7</v>
      </c>
      <c r="O549" s="68">
        <v>3.6054999999999922</v>
      </c>
    </row>
    <row r="550" spans="2:15" ht="15.75">
      <c r="B550" s="70" t="s">
        <v>996</v>
      </c>
      <c r="C550" s="77">
        <v>44133</v>
      </c>
      <c r="D550" s="70" t="s">
        <v>419</v>
      </c>
      <c r="E550" s="68" t="s">
        <v>131</v>
      </c>
      <c r="F550" s="68" t="s">
        <v>420</v>
      </c>
      <c r="G550" s="68" t="s">
        <v>494</v>
      </c>
      <c r="H550" s="68" t="s">
        <v>430</v>
      </c>
      <c r="I550" s="68" t="s">
        <v>1116</v>
      </c>
      <c r="J550" s="68">
        <v>64.95</v>
      </c>
      <c r="K550" s="68">
        <v>68.197500000000005</v>
      </c>
      <c r="L550" s="68">
        <v>10</v>
      </c>
      <c r="M550" s="68" t="s">
        <v>422</v>
      </c>
      <c r="N550" s="68">
        <v>5.2</v>
      </c>
      <c r="O550" s="68">
        <v>3.2475000000000023</v>
      </c>
    </row>
    <row r="551" spans="2:15" ht="15.75">
      <c r="B551" s="70" t="s">
        <v>997</v>
      </c>
      <c r="C551" s="77">
        <v>44134</v>
      </c>
      <c r="D551" s="70" t="s">
        <v>175</v>
      </c>
      <c r="E551" s="68" t="s">
        <v>134</v>
      </c>
      <c r="F551" s="68" t="s">
        <v>414</v>
      </c>
      <c r="G551" s="68" t="s">
        <v>415</v>
      </c>
      <c r="H551" s="68" t="s">
        <v>421</v>
      </c>
      <c r="I551" s="68" t="s">
        <v>1116</v>
      </c>
      <c r="J551" s="68">
        <v>74.22</v>
      </c>
      <c r="K551" s="68">
        <v>77.930999999999997</v>
      </c>
      <c r="L551" s="68">
        <v>10</v>
      </c>
      <c r="M551" s="68" t="s">
        <v>433</v>
      </c>
      <c r="N551" s="68">
        <v>4.3</v>
      </c>
      <c r="O551" s="68">
        <v>3.7109999999999985</v>
      </c>
    </row>
    <row r="552" spans="2:15" ht="15.75">
      <c r="B552" s="70" t="s">
        <v>998</v>
      </c>
      <c r="C552" s="77">
        <v>44135</v>
      </c>
      <c r="D552" s="70" t="s">
        <v>175</v>
      </c>
      <c r="E552" s="68" t="s">
        <v>134</v>
      </c>
      <c r="F552" s="68" t="s">
        <v>420</v>
      </c>
      <c r="G552" s="68" t="s">
        <v>494</v>
      </c>
      <c r="H552" s="68" t="s">
        <v>421</v>
      </c>
      <c r="I552" s="68" t="s">
        <v>1116</v>
      </c>
      <c r="J552" s="68">
        <v>10.56</v>
      </c>
      <c r="K552" s="68">
        <v>11.087999999999999</v>
      </c>
      <c r="L552" s="68">
        <v>8</v>
      </c>
      <c r="M552" s="68" t="s">
        <v>422</v>
      </c>
      <c r="N552" s="68">
        <v>7.6</v>
      </c>
      <c r="O552" s="68">
        <v>0.52799999999999869</v>
      </c>
    </row>
    <row r="553" spans="2:15" ht="15.75">
      <c r="B553" s="70" t="s">
        <v>999</v>
      </c>
      <c r="C553" s="77">
        <v>44136</v>
      </c>
      <c r="D553" s="70" t="s">
        <v>266</v>
      </c>
      <c r="E553" s="68" t="s">
        <v>135</v>
      </c>
      <c r="F553" s="68" t="s">
        <v>420</v>
      </c>
      <c r="G553" s="68" t="s">
        <v>494</v>
      </c>
      <c r="H553" s="68" t="s">
        <v>465</v>
      </c>
      <c r="I553" s="68" t="s">
        <v>1115</v>
      </c>
      <c r="J553" s="68">
        <v>62.57</v>
      </c>
      <c r="K553" s="68">
        <v>65.698499999999996</v>
      </c>
      <c r="L553" s="68">
        <v>4</v>
      </c>
      <c r="M553" s="68" t="s">
        <v>422</v>
      </c>
      <c r="N553" s="68">
        <v>9.5</v>
      </c>
      <c r="O553" s="68">
        <v>3.1284999999999954</v>
      </c>
    </row>
    <row r="554" spans="2:15" ht="15.75">
      <c r="B554" s="70" t="s">
        <v>1000</v>
      </c>
      <c r="C554" s="77">
        <v>44137</v>
      </c>
      <c r="D554" s="70" t="s">
        <v>266</v>
      </c>
      <c r="E554" s="68" t="s">
        <v>135</v>
      </c>
      <c r="F554" s="68" t="s">
        <v>414</v>
      </c>
      <c r="G554" s="68" t="s">
        <v>415</v>
      </c>
      <c r="H554" s="68" t="s">
        <v>471</v>
      </c>
      <c r="I554" s="68" t="s">
        <v>1113</v>
      </c>
      <c r="J554" s="68">
        <v>11.85</v>
      </c>
      <c r="K554" s="68">
        <v>12.442500000000001</v>
      </c>
      <c r="L554" s="68">
        <v>8</v>
      </c>
      <c r="M554" s="68" t="s">
        <v>422</v>
      </c>
      <c r="N554" s="68">
        <v>4.0999999999999996</v>
      </c>
      <c r="O554" s="68">
        <v>0.59250000000000114</v>
      </c>
    </row>
    <row r="555" spans="2:15" ht="15.75">
      <c r="B555" s="70" t="s">
        <v>1001</v>
      </c>
      <c r="C555" s="77">
        <v>44138</v>
      </c>
      <c r="D555" s="70" t="s">
        <v>175</v>
      </c>
      <c r="E555" s="68" t="s">
        <v>134</v>
      </c>
      <c r="F555" s="68" t="s">
        <v>414</v>
      </c>
      <c r="G555" s="68" t="s">
        <v>494</v>
      </c>
      <c r="H555" s="68" t="s">
        <v>446</v>
      </c>
      <c r="I555" s="68" t="s">
        <v>1115</v>
      </c>
      <c r="J555" s="68">
        <v>91.3</v>
      </c>
      <c r="K555" s="68">
        <v>95.864999999999995</v>
      </c>
      <c r="L555" s="68">
        <v>1</v>
      </c>
      <c r="M555" s="68" t="s">
        <v>417</v>
      </c>
      <c r="N555" s="68">
        <v>9.1999999999999993</v>
      </c>
      <c r="O555" s="68">
        <v>4.5649999999999977</v>
      </c>
    </row>
    <row r="556" spans="2:15" ht="15.75">
      <c r="B556" s="70" t="s">
        <v>1002</v>
      </c>
      <c r="C556" s="77">
        <v>44139</v>
      </c>
      <c r="D556" s="70" t="s">
        <v>266</v>
      </c>
      <c r="E556" s="68" t="s">
        <v>135</v>
      </c>
      <c r="F556" s="68" t="s">
        <v>420</v>
      </c>
      <c r="G556" s="68" t="s">
        <v>494</v>
      </c>
      <c r="H556" s="68" t="s">
        <v>471</v>
      </c>
      <c r="I556" s="68" t="s">
        <v>1113</v>
      </c>
      <c r="J556" s="68">
        <v>44.63</v>
      </c>
      <c r="K556" s="68">
        <v>46.861499999999999</v>
      </c>
      <c r="L556" s="68">
        <v>6</v>
      </c>
      <c r="M556" s="68" t="s">
        <v>433</v>
      </c>
      <c r="N556" s="68">
        <v>5.0999999999999996</v>
      </c>
      <c r="O556" s="68">
        <v>2.2314999999999969</v>
      </c>
    </row>
    <row r="557" spans="2:15" ht="15.75">
      <c r="B557" s="70" t="s">
        <v>1003</v>
      </c>
      <c r="C557" s="77">
        <v>44140</v>
      </c>
      <c r="D557" s="70" t="s">
        <v>419</v>
      </c>
      <c r="E557" s="68" t="s">
        <v>131</v>
      </c>
      <c r="F557" s="68" t="s">
        <v>420</v>
      </c>
      <c r="G557" s="68" t="s">
        <v>494</v>
      </c>
      <c r="H557" s="68" t="s">
        <v>421</v>
      </c>
      <c r="I557" s="68" t="s">
        <v>1116</v>
      </c>
      <c r="J557" s="68">
        <v>55.87</v>
      </c>
      <c r="K557" s="68">
        <v>58.663499999999999</v>
      </c>
      <c r="L557" s="68">
        <v>10</v>
      </c>
      <c r="M557" s="68" t="s">
        <v>422</v>
      </c>
      <c r="N557" s="68">
        <v>5.8</v>
      </c>
      <c r="O557" s="68">
        <v>2.7935000000000016</v>
      </c>
    </row>
    <row r="558" spans="2:15" ht="15.75">
      <c r="B558" s="70" t="s">
        <v>1004</v>
      </c>
      <c r="C558" s="77">
        <v>44141</v>
      </c>
      <c r="D558" s="70" t="s">
        <v>419</v>
      </c>
      <c r="E558" s="68" t="s">
        <v>131</v>
      </c>
      <c r="F558" s="68" t="s">
        <v>414</v>
      </c>
      <c r="G558" s="68" t="s">
        <v>415</v>
      </c>
      <c r="H558" s="68" t="s">
        <v>471</v>
      </c>
      <c r="I558" s="68" t="s">
        <v>1113</v>
      </c>
      <c r="J558" s="68">
        <v>29.22</v>
      </c>
      <c r="K558" s="68">
        <v>30.681000000000001</v>
      </c>
      <c r="L558" s="68">
        <v>6</v>
      </c>
      <c r="M558" s="68" t="s">
        <v>417</v>
      </c>
      <c r="N558" s="68">
        <v>5</v>
      </c>
      <c r="O558" s="68">
        <v>1.4610000000000021</v>
      </c>
    </row>
    <row r="559" spans="2:15" ht="15.75">
      <c r="B559" s="70" t="s">
        <v>1005</v>
      </c>
      <c r="C559" s="77">
        <v>44142</v>
      </c>
      <c r="D559" s="70" t="s">
        <v>266</v>
      </c>
      <c r="E559" s="68" t="s">
        <v>135</v>
      </c>
      <c r="F559" s="68" t="s">
        <v>420</v>
      </c>
      <c r="G559" s="68" t="s">
        <v>494</v>
      </c>
      <c r="H559" s="68" t="s">
        <v>421</v>
      </c>
      <c r="I559" s="68" t="s">
        <v>1116</v>
      </c>
      <c r="J559" s="68">
        <v>60.3</v>
      </c>
      <c r="K559" s="68">
        <v>63.314999999999998</v>
      </c>
      <c r="L559" s="68">
        <v>1</v>
      </c>
      <c r="M559" s="68" t="s">
        <v>422</v>
      </c>
      <c r="N559" s="68">
        <v>6</v>
      </c>
      <c r="O559" s="68">
        <v>3.0150000000000006</v>
      </c>
    </row>
    <row r="560" spans="2:15" ht="15.75">
      <c r="B560" s="70" t="s">
        <v>1006</v>
      </c>
      <c r="C560" s="77">
        <v>44143</v>
      </c>
      <c r="D560" s="70" t="s">
        <v>175</v>
      </c>
      <c r="E560" s="68" t="s">
        <v>134</v>
      </c>
      <c r="F560" s="68" t="s">
        <v>414</v>
      </c>
      <c r="G560" s="68" t="s">
        <v>415</v>
      </c>
      <c r="H560" s="68" t="s">
        <v>471</v>
      </c>
      <c r="I560" s="68" t="s">
        <v>1113</v>
      </c>
      <c r="J560" s="68">
        <v>39.47</v>
      </c>
      <c r="K560" s="68">
        <v>41.4435</v>
      </c>
      <c r="L560" s="68">
        <v>2</v>
      </c>
      <c r="M560" s="68" t="s">
        <v>433</v>
      </c>
      <c r="N560" s="68">
        <v>5</v>
      </c>
      <c r="O560" s="68">
        <v>1.9735000000000014</v>
      </c>
    </row>
    <row r="561" spans="2:15" ht="15.75">
      <c r="B561" s="70" t="s">
        <v>1007</v>
      </c>
      <c r="C561" s="77">
        <v>44144</v>
      </c>
      <c r="D561" s="70" t="s">
        <v>419</v>
      </c>
      <c r="E561" s="68" t="s">
        <v>131</v>
      </c>
      <c r="F561" s="68" t="s">
        <v>414</v>
      </c>
      <c r="G561" s="68" t="s">
        <v>415</v>
      </c>
      <c r="H561" s="68" t="s">
        <v>476</v>
      </c>
      <c r="I561" s="68" t="s">
        <v>1114</v>
      </c>
      <c r="J561" s="68">
        <v>14.87</v>
      </c>
      <c r="K561" s="68">
        <v>15.6135</v>
      </c>
      <c r="L561" s="68">
        <v>2</v>
      </c>
      <c r="M561" s="68" t="s">
        <v>433</v>
      </c>
      <c r="N561" s="68">
        <v>8.9</v>
      </c>
      <c r="O561" s="68">
        <v>0.74350000000000094</v>
      </c>
    </row>
    <row r="562" spans="2:15" ht="15.75">
      <c r="B562" s="70" t="s">
        <v>1008</v>
      </c>
      <c r="C562" s="77">
        <v>44145</v>
      </c>
      <c r="D562" s="70" t="s">
        <v>175</v>
      </c>
      <c r="E562" s="68" t="s">
        <v>134</v>
      </c>
      <c r="F562" s="68" t="s">
        <v>414</v>
      </c>
      <c r="G562" s="68" t="s">
        <v>494</v>
      </c>
      <c r="H562" s="68" t="s">
        <v>421</v>
      </c>
      <c r="I562" s="68" t="s">
        <v>1116</v>
      </c>
      <c r="J562" s="68">
        <v>93.78</v>
      </c>
      <c r="K562" s="68">
        <v>98.468999999999994</v>
      </c>
      <c r="L562" s="68">
        <v>3</v>
      </c>
      <c r="M562" s="68" t="s">
        <v>433</v>
      </c>
      <c r="N562" s="68">
        <v>5.9</v>
      </c>
      <c r="O562" s="68">
        <v>4.688999999999993</v>
      </c>
    </row>
    <row r="563" spans="2:15" ht="15.75">
      <c r="B563" s="70" t="s">
        <v>1009</v>
      </c>
      <c r="C563" s="77">
        <v>44146</v>
      </c>
      <c r="D563" s="70" t="s">
        <v>175</v>
      </c>
      <c r="E563" s="68" t="s">
        <v>134</v>
      </c>
      <c r="F563" s="68" t="s">
        <v>414</v>
      </c>
      <c r="G563" s="68" t="s">
        <v>494</v>
      </c>
      <c r="H563" s="68" t="s">
        <v>430</v>
      </c>
      <c r="I563" s="68" t="s">
        <v>1116</v>
      </c>
      <c r="J563" s="68">
        <v>73.260000000000005</v>
      </c>
      <c r="K563" s="68">
        <v>76.923000000000002</v>
      </c>
      <c r="L563" s="68">
        <v>1</v>
      </c>
      <c r="M563" s="68" t="s">
        <v>417</v>
      </c>
      <c r="N563" s="68">
        <v>9.6999999999999993</v>
      </c>
      <c r="O563" s="68">
        <v>3.6629999999999967</v>
      </c>
    </row>
    <row r="564" spans="2:15" ht="15.75">
      <c r="B564" s="70" t="s">
        <v>1010</v>
      </c>
      <c r="C564" s="77">
        <v>44147</v>
      </c>
      <c r="D564" s="70" t="s">
        <v>419</v>
      </c>
      <c r="E564" s="68" t="s">
        <v>131</v>
      </c>
      <c r="F564" s="68" t="s">
        <v>420</v>
      </c>
      <c r="G564" s="68" t="s">
        <v>415</v>
      </c>
      <c r="H564" s="68" t="s">
        <v>471</v>
      </c>
      <c r="I564" s="68" t="s">
        <v>1113</v>
      </c>
      <c r="J564" s="68">
        <v>22.38</v>
      </c>
      <c r="K564" s="68">
        <v>23.498999999999999</v>
      </c>
      <c r="L564" s="68">
        <v>1</v>
      </c>
      <c r="M564" s="68" t="s">
        <v>433</v>
      </c>
      <c r="N564" s="68">
        <v>8.6</v>
      </c>
      <c r="O564" s="68">
        <v>1.1189999999999998</v>
      </c>
    </row>
    <row r="565" spans="2:15" ht="15.75">
      <c r="B565" s="70" t="s">
        <v>1011</v>
      </c>
      <c r="C565" s="77">
        <v>44148</v>
      </c>
      <c r="D565" s="70" t="s">
        <v>419</v>
      </c>
      <c r="E565" s="68" t="s">
        <v>131</v>
      </c>
      <c r="F565" s="68" t="s">
        <v>414</v>
      </c>
      <c r="G565" s="68" t="s">
        <v>415</v>
      </c>
      <c r="H565" s="68" t="s">
        <v>920</v>
      </c>
      <c r="I565" s="68" t="s">
        <v>1114</v>
      </c>
      <c r="J565" s="68">
        <v>72.88</v>
      </c>
      <c r="K565" s="68">
        <v>76.524000000000001</v>
      </c>
      <c r="L565" s="68">
        <v>9</v>
      </c>
      <c r="M565" s="68" t="s">
        <v>422</v>
      </c>
      <c r="N565" s="68">
        <v>4</v>
      </c>
      <c r="O565" s="68">
        <v>3.6440000000000055</v>
      </c>
    </row>
    <row r="566" spans="2:15" ht="15.75">
      <c r="B566" s="70" t="s">
        <v>1012</v>
      </c>
      <c r="C566" s="77">
        <v>44149</v>
      </c>
      <c r="D566" s="70" t="s">
        <v>419</v>
      </c>
      <c r="E566" s="68" t="s">
        <v>131</v>
      </c>
      <c r="F566" s="68" t="s">
        <v>420</v>
      </c>
      <c r="G566" s="68" t="s">
        <v>494</v>
      </c>
      <c r="H566" s="68" t="s">
        <v>465</v>
      </c>
      <c r="I566" s="68" t="s">
        <v>1115</v>
      </c>
      <c r="J566" s="68">
        <v>53.19</v>
      </c>
      <c r="K566" s="68">
        <v>55.849499999999999</v>
      </c>
      <c r="L566" s="68">
        <v>7</v>
      </c>
      <c r="M566" s="68" t="s">
        <v>417</v>
      </c>
      <c r="N566" s="68">
        <v>5</v>
      </c>
      <c r="O566" s="68">
        <v>2.6595000000000013</v>
      </c>
    </row>
    <row r="567" spans="2:15" ht="15.75">
      <c r="B567" s="70" t="s">
        <v>1013</v>
      </c>
      <c r="C567" s="77">
        <v>44150</v>
      </c>
      <c r="D567" s="70" t="s">
        <v>266</v>
      </c>
      <c r="E567" s="68" t="s">
        <v>135</v>
      </c>
      <c r="F567" s="68" t="s">
        <v>420</v>
      </c>
      <c r="G567" s="68" t="s">
        <v>415</v>
      </c>
      <c r="H567" s="68" t="s">
        <v>421</v>
      </c>
      <c r="I567" s="68" t="s">
        <v>1116</v>
      </c>
      <c r="J567" s="68">
        <v>52.79</v>
      </c>
      <c r="K567" s="68">
        <v>55.429499999999997</v>
      </c>
      <c r="L567" s="68">
        <v>10</v>
      </c>
      <c r="M567" s="68" t="s">
        <v>417</v>
      </c>
      <c r="N567" s="68">
        <v>10</v>
      </c>
      <c r="O567" s="68">
        <v>2.6394999999999982</v>
      </c>
    </row>
    <row r="568" spans="2:15" ht="15.75">
      <c r="B568" s="70" t="s">
        <v>1014</v>
      </c>
      <c r="C568" s="77">
        <v>44151</v>
      </c>
      <c r="D568" s="70" t="s">
        <v>175</v>
      </c>
      <c r="E568" s="68" t="s">
        <v>134</v>
      </c>
      <c r="F568" s="68" t="s">
        <v>414</v>
      </c>
      <c r="G568" s="68" t="s">
        <v>415</v>
      </c>
      <c r="H568" s="68" t="s">
        <v>424</v>
      </c>
      <c r="I568" s="68" t="s">
        <v>1115</v>
      </c>
      <c r="J568" s="68">
        <v>95.95</v>
      </c>
      <c r="K568" s="68">
        <v>100.7475</v>
      </c>
      <c r="L568" s="68">
        <v>5</v>
      </c>
      <c r="M568" s="68" t="s">
        <v>417</v>
      </c>
      <c r="N568" s="68">
        <v>8.8000000000000007</v>
      </c>
      <c r="O568" s="68">
        <v>4.7974999999999994</v>
      </c>
    </row>
    <row r="569" spans="2:15" ht="15.75">
      <c r="B569" s="70" t="s">
        <v>1015</v>
      </c>
      <c r="C569" s="77">
        <v>44152</v>
      </c>
      <c r="D569" s="70" t="s">
        <v>266</v>
      </c>
      <c r="E569" s="68" t="s">
        <v>135</v>
      </c>
      <c r="F569" s="68" t="s">
        <v>420</v>
      </c>
      <c r="G569" s="68" t="s">
        <v>494</v>
      </c>
      <c r="H569" s="68" t="s">
        <v>920</v>
      </c>
      <c r="I569" s="68" t="s">
        <v>1114</v>
      </c>
      <c r="J569" s="68">
        <v>21.12</v>
      </c>
      <c r="K569" s="68">
        <v>22.175999999999998</v>
      </c>
      <c r="L569" s="68">
        <v>8</v>
      </c>
      <c r="M569" s="68" t="s">
        <v>422</v>
      </c>
      <c r="N569" s="68">
        <v>6.3</v>
      </c>
      <c r="O569" s="68">
        <v>1.0559999999999974</v>
      </c>
    </row>
    <row r="570" spans="2:15" ht="15.75">
      <c r="B570" s="70" t="s">
        <v>1016</v>
      </c>
      <c r="C570" s="77">
        <v>44153</v>
      </c>
      <c r="D570" s="70" t="s">
        <v>266</v>
      </c>
      <c r="E570" s="68" t="s">
        <v>135</v>
      </c>
      <c r="F570" s="68" t="s">
        <v>420</v>
      </c>
      <c r="G570" s="68" t="s">
        <v>494</v>
      </c>
      <c r="H570" s="68" t="s">
        <v>424</v>
      </c>
      <c r="I570" s="68" t="s">
        <v>1115</v>
      </c>
      <c r="J570" s="68">
        <v>57.59</v>
      </c>
      <c r="K570" s="68">
        <v>60.469500000000004</v>
      </c>
      <c r="L570" s="68">
        <v>6</v>
      </c>
      <c r="M570" s="68" t="s">
        <v>422</v>
      </c>
      <c r="N570" s="68">
        <v>5.0999999999999996</v>
      </c>
      <c r="O570" s="68">
        <v>2.8795000000000002</v>
      </c>
    </row>
    <row r="571" spans="2:15" ht="15.75">
      <c r="B571" s="70" t="s">
        <v>1017</v>
      </c>
      <c r="C571" s="77">
        <v>44154</v>
      </c>
      <c r="D571" s="70" t="s">
        <v>175</v>
      </c>
      <c r="E571" s="68" t="s">
        <v>134</v>
      </c>
      <c r="F571" s="68" t="s">
        <v>414</v>
      </c>
      <c r="G571" s="68" t="s">
        <v>415</v>
      </c>
      <c r="H571" s="68" t="s">
        <v>920</v>
      </c>
      <c r="I571" s="68" t="s">
        <v>1114</v>
      </c>
      <c r="J571" s="68">
        <v>47.63</v>
      </c>
      <c r="K571" s="68">
        <v>50.011499999999998</v>
      </c>
      <c r="L571" s="68">
        <v>9</v>
      </c>
      <c r="M571" s="68" t="s">
        <v>422</v>
      </c>
      <c r="N571" s="68">
        <v>5</v>
      </c>
      <c r="O571" s="68">
        <v>2.3814999999999955</v>
      </c>
    </row>
    <row r="572" spans="2:15" ht="15.75">
      <c r="B572" s="70" t="s">
        <v>1018</v>
      </c>
      <c r="C572" s="77">
        <v>44155</v>
      </c>
      <c r="D572" s="70" t="s">
        <v>175</v>
      </c>
      <c r="E572" s="68" t="s">
        <v>134</v>
      </c>
      <c r="F572" s="68" t="s">
        <v>414</v>
      </c>
      <c r="G572" s="68" t="s">
        <v>494</v>
      </c>
      <c r="H572" s="68" t="s">
        <v>471</v>
      </c>
      <c r="I572" s="68" t="s">
        <v>1113</v>
      </c>
      <c r="J572" s="68">
        <v>12.76</v>
      </c>
      <c r="K572" s="68">
        <v>13.398</v>
      </c>
      <c r="L572" s="68">
        <v>2</v>
      </c>
      <c r="M572" s="68" t="s">
        <v>417</v>
      </c>
      <c r="N572" s="68">
        <v>7.8</v>
      </c>
      <c r="O572" s="68">
        <v>0.6379999999999999</v>
      </c>
    </row>
    <row r="573" spans="2:15" ht="15.75">
      <c r="B573" s="70" t="s">
        <v>1019</v>
      </c>
      <c r="C573" s="77">
        <v>44156</v>
      </c>
      <c r="D573" s="70" t="s">
        <v>175</v>
      </c>
      <c r="E573" s="68" t="s">
        <v>134</v>
      </c>
      <c r="F573" s="68" t="s">
        <v>414</v>
      </c>
      <c r="G573" s="68" t="s">
        <v>415</v>
      </c>
      <c r="H573" s="68" t="s">
        <v>421</v>
      </c>
      <c r="I573" s="68" t="s">
        <v>1116</v>
      </c>
      <c r="J573" s="68">
        <v>79.59</v>
      </c>
      <c r="K573" s="68">
        <v>83.569499999999991</v>
      </c>
      <c r="L573" s="68">
        <v>3</v>
      </c>
      <c r="M573" s="68" t="s">
        <v>422</v>
      </c>
      <c r="N573" s="68">
        <v>6.6</v>
      </c>
      <c r="O573" s="68">
        <v>3.9794999999999874</v>
      </c>
    </row>
    <row r="574" spans="2:15" ht="15.75">
      <c r="B574" s="70" t="s">
        <v>1020</v>
      </c>
      <c r="C574" s="77">
        <v>44157</v>
      </c>
      <c r="D574" s="70" t="s">
        <v>419</v>
      </c>
      <c r="E574" s="68" t="s">
        <v>131</v>
      </c>
      <c r="F574" s="68" t="s">
        <v>414</v>
      </c>
      <c r="G574" s="68" t="s">
        <v>494</v>
      </c>
      <c r="H574" s="68" t="s">
        <v>465</v>
      </c>
      <c r="I574" s="68" t="s">
        <v>1115</v>
      </c>
      <c r="J574" s="68">
        <v>33.81</v>
      </c>
      <c r="K574" s="68">
        <v>35.500499999999995</v>
      </c>
      <c r="L574" s="68">
        <v>3</v>
      </c>
      <c r="M574" s="68" t="s">
        <v>417</v>
      </c>
      <c r="N574" s="68">
        <v>7.3</v>
      </c>
      <c r="O574" s="68">
        <v>1.690499999999993</v>
      </c>
    </row>
    <row r="575" spans="2:15" ht="15.75">
      <c r="B575" s="70" t="s">
        <v>1021</v>
      </c>
      <c r="C575" s="77">
        <v>44158</v>
      </c>
      <c r="D575" s="70" t="s">
        <v>266</v>
      </c>
      <c r="E575" s="68" t="s">
        <v>135</v>
      </c>
      <c r="F575" s="68" t="s">
        <v>414</v>
      </c>
      <c r="G575" s="68" t="s">
        <v>494</v>
      </c>
      <c r="H575" s="68" t="s">
        <v>471</v>
      </c>
      <c r="I575" s="68" t="s">
        <v>1113</v>
      </c>
      <c r="J575" s="68">
        <v>90.53</v>
      </c>
      <c r="K575" s="68">
        <v>95.0565</v>
      </c>
      <c r="L575" s="68">
        <v>8</v>
      </c>
      <c r="M575" s="68" t="s">
        <v>433</v>
      </c>
      <c r="N575" s="68">
        <v>6.5</v>
      </c>
      <c r="O575" s="68">
        <v>4.5264999999999986</v>
      </c>
    </row>
    <row r="576" spans="2:15" ht="15.75">
      <c r="B576" s="70" t="s">
        <v>1022</v>
      </c>
      <c r="C576" s="77">
        <v>44159</v>
      </c>
      <c r="D576" s="70" t="s">
        <v>419</v>
      </c>
      <c r="E576" s="68" t="s">
        <v>131</v>
      </c>
      <c r="F576" s="68" t="s">
        <v>414</v>
      </c>
      <c r="G576" s="68" t="s">
        <v>415</v>
      </c>
      <c r="H576" s="68" t="s">
        <v>446</v>
      </c>
      <c r="I576" s="68" t="s">
        <v>1115</v>
      </c>
      <c r="J576" s="68">
        <v>62.82</v>
      </c>
      <c r="K576" s="68">
        <v>65.960999999999999</v>
      </c>
      <c r="L576" s="68">
        <v>2</v>
      </c>
      <c r="M576" s="68" t="s">
        <v>417</v>
      </c>
      <c r="N576" s="68">
        <v>4.9000000000000004</v>
      </c>
      <c r="O576" s="68">
        <v>3.1409999999999982</v>
      </c>
    </row>
    <row r="577" spans="2:15" ht="15.75">
      <c r="B577" s="70" t="s">
        <v>1023</v>
      </c>
      <c r="C577" s="77">
        <v>44160</v>
      </c>
      <c r="D577" s="70" t="s">
        <v>419</v>
      </c>
      <c r="E577" s="68" t="s">
        <v>131</v>
      </c>
      <c r="F577" s="68" t="s">
        <v>414</v>
      </c>
      <c r="G577" s="68" t="s">
        <v>494</v>
      </c>
      <c r="H577" s="68" t="s">
        <v>920</v>
      </c>
      <c r="I577" s="68" t="s">
        <v>1114</v>
      </c>
      <c r="J577" s="68">
        <v>24.31</v>
      </c>
      <c r="K577" s="68">
        <v>25.525499999999997</v>
      </c>
      <c r="L577" s="68">
        <v>3</v>
      </c>
      <c r="M577" s="68" t="s">
        <v>433</v>
      </c>
      <c r="N577" s="68">
        <v>4.3</v>
      </c>
      <c r="O577" s="68">
        <v>1.2154999999999987</v>
      </c>
    </row>
    <row r="578" spans="2:15" ht="15.75">
      <c r="B578" s="70" t="s">
        <v>1024</v>
      </c>
      <c r="C578" s="77">
        <v>44161</v>
      </c>
      <c r="D578" s="70" t="s">
        <v>175</v>
      </c>
      <c r="E578" s="68" t="s">
        <v>134</v>
      </c>
      <c r="F578" s="68" t="s">
        <v>420</v>
      </c>
      <c r="G578" s="68" t="s">
        <v>494</v>
      </c>
      <c r="H578" s="68" t="s">
        <v>471</v>
      </c>
      <c r="I578" s="68" t="s">
        <v>1113</v>
      </c>
      <c r="J578" s="68">
        <v>64.59</v>
      </c>
      <c r="K578" s="68">
        <v>67.819500000000005</v>
      </c>
      <c r="L578" s="68">
        <v>4</v>
      </c>
      <c r="M578" s="68" t="s">
        <v>417</v>
      </c>
      <c r="N578" s="68">
        <v>9.3000000000000007</v>
      </c>
      <c r="O578" s="68">
        <v>3.2295000000000016</v>
      </c>
    </row>
    <row r="579" spans="2:15" ht="15.75">
      <c r="B579" s="70" t="s">
        <v>1025</v>
      </c>
      <c r="C579" s="77">
        <v>44162</v>
      </c>
      <c r="D579" s="70" t="s">
        <v>175</v>
      </c>
      <c r="E579" s="68" t="s">
        <v>134</v>
      </c>
      <c r="F579" s="68" t="s">
        <v>414</v>
      </c>
      <c r="G579" s="68" t="s">
        <v>494</v>
      </c>
      <c r="H579" s="68" t="s">
        <v>920</v>
      </c>
      <c r="I579" s="68" t="s">
        <v>1114</v>
      </c>
      <c r="J579" s="68">
        <v>24.82</v>
      </c>
      <c r="K579" s="68">
        <v>26.061</v>
      </c>
      <c r="L579" s="68">
        <v>7</v>
      </c>
      <c r="M579" s="68" t="s">
        <v>433</v>
      </c>
      <c r="N579" s="68">
        <v>7.1</v>
      </c>
      <c r="O579" s="68">
        <v>1.2409999999999997</v>
      </c>
    </row>
    <row r="580" spans="2:15" ht="15.75">
      <c r="B580" s="70" t="s">
        <v>1026</v>
      </c>
      <c r="C580" s="77">
        <v>44163</v>
      </c>
      <c r="D580" s="70" t="s">
        <v>266</v>
      </c>
      <c r="E580" s="68" t="s">
        <v>135</v>
      </c>
      <c r="F580" s="68" t="s">
        <v>414</v>
      </c>
      <c r="G580" s="68" t="s">
        <v>415</v>
      </c>
      <c r="H580" s="68" t="s">
        <v>499</v>
      </c>
      <c r="I580" s="68" t="s">
        <v>1116</v>
      </c>
      <c r="J580" s="68">
        <v>21.43</v>
      </c>
      <c r="K580" s="68">
        <v>22.5015</v>
      </c>
      <c r="L580" s="68">
        <v>10</v>
      </c>
      <c r="M580" s="68" t="s">
        <v>422</v>
      </c>
      <c r="N580" s="68">
        <v>6.2</v>
      </c>
      <c r="O580" s="68">
        <v>1.0715000000000003</v>
      </c>
    </row>
    <row r="581" spans="2:15" ht="15.75">
      <c r="B581" s="70" t="s">
        <v>1027</v>
      </c>
      <c r="C581" s="77">
        <v>44164</v>
      </c>
      <c r="D581" s="70" t="s">
        <v>175</v>
      </c>
      <c r="E581" s="68" t="s">
        <v>134</v>
      </c>
      <c r="F581" s="68" t="s">
        <v>414</v>
      </c>
      <c r="G581" s="68" t="s">
        <v>494</v>
      </c>
      <c r="H581" s="68" t="s">
        <v>471</v>
      </c>
      <c r="I581" s="68" t="s">
        <v>1113</v>
      </c>
      <c r="J581" s="68">
        <v>89.06</v>
      </c>
      <c r="K581" s="68">
        <v>93.512999999999991</v>
      </c>
      <c r="L581" s="68">
        <v>6</v>
      </c>
      <c r="M581" s="68" t="s">
        <v>422</v>
      </c>
      <c r="N581" s="68">
        <v>9.9</v>
      </c>
      <c r="O581" s="68">
        <v>4.4529999999999887</v>
      </c>
    </row>
    <row r="582" spans="2:15" ht="15.75">
      <c r="B582" s="70" t="s">
        <v>1028</v>
      </c>
      <c r="C582" s="77">
        <v>44165</v>
      </c>
      <c r="D582" s="70" t="s">
        <v>266</v>
      </c>
      <c r="E582" s="68" t="s">
        <v>135</v>
      </c>
      <c r="F582" s="68" t="s">
        <v>414</v>
      </c>
      <c r="G582" s="68" t="s">
        <v>494</v>
      </c>
      <c r="H582" s="68" t="s">
        <v>421</v>
      </c>
      <c r="I582" s="68" t="s">
        <v>1116</v>
      </c>
      <c r="J582" s="68">
        <v>39.75</v>
      </c>
      <c r="K582" s="68">
        <v>41.737499999999997</v>
      </c>
      <c r="L582" s="68">
        <v>1</v>
      </c>
      <c r="M582" s="68" t="s">
        <v>422</v>
      </c>
      <c r="N582" s="68">
        <v>6.1</v>
      </c>
      <c r="O582" s="68">
        <v>1.9874999999999972</v>
      </c>
    </row>
    <row r="583" spans="2:15" ht="15.75">
      <c r="B583" s="70" t="s">
        <v>1029</v>
      </c>
      <c r="C583" s="77">
        <v>44166</v>
      </c>
      <c r="D583" s="70" t="s">
        <v>175</v>
      </c>
      <c r="E583" s="68" t="s">
        <v>134</v>
      </c>
      <c r="F583" s="68" t="s">
        <v>420</v>
      </c>
      <c r="G583" s="68" t="s">
        <v>415</v>
      </c>
      <c r="H583" s="68" t="s">
        <v>430</v>
      </c>
      <c r="I583" s="68" t="s">
        <v>1116</v>
      </c>
      <c r="J583" s="68">
        <v>90.02</v>
      </c>
      <c r="K583" s="68">
        <v>94.521000000000001</v>
      </c>
      <c r="L583" s="68">
        <v>8</v>
      </c>
      <c r="M583" s="68" t="s">
        <v>433</v>
      </c>
      <c r="N583" s="68">
        <v>4.5</v>
      </c>
      <c r="O583" s="68">
        <v>4.5010000000000048</v>
      </c>
    </row>
    <row r="584" spans="2:15" ht="15.75">
      <c r="B584" s="70" t="s">
        <v>1030</v>
      </c>
      <c r="C584" s="77">
        <v>44167</v>
      </c>
      <c r="D584" s="70" t="s">
        <v>266</v>
      </c>
      <c r="E584" s="68" t="s">
        <v>135</v>
      </c>
      <c r="F584" s="68" t="s">
        <v>414</v>
      </c>
      <c r="G584" s="68" t="s">
        <v>415</v>
      </c>
      <c r="H584" s="68" t="s">
        <v>421</v>
      </c>
      <c r="I584" s="68" t="s">
        <v>1116</v>
      </c>
      <c r="J584" s="68">
        <v>12.1</v>
      </c>
      <c r="K584" s="68">
        <v>12.705</v>
      </c>
      <c r="L584" s="68">
        <v>8</v>
      </c>
      <c r="M584" s="68" t="s">
        <v>417</v>
      </c>
      <c r="N584" s="68">
        <v>8.6</v>
      </c>
      <c r="O584" s="68">
        <v>0.60500000000000043</v>
      </c>
    </row>
    <row r="585" spans="2:15" ht="15.75">
      <c r="B585" s="70" t="s">
        <v>1031</v>
      </c>
      <c r="C585" s="77">
        <v>44168</v>
      </c>
      <c r="D585" s="70" t="s">
        <v>266</v>
      </c>
      <c r="E585" s="68" t="s">
        <v>135</v>
      </c>
      <c r="F585" s="68" t="s">
        <v>414</v>
      </c>
      <c r="G585" s="68" t="s">
        <v>415</v>
      </c>
      <c r="H585" s="68" t="s">
        <v>920</v>
      </c>
      <c r="I585" s="68" t="s">
        <v>1114</v>
      </c>
      <c r="J585" s="68">
        <v>33.21</v>
      </c>
      <c r="K585" s="68">
        <v>34.8705</v>
      </c>
      <c r="L585" s="68">
        <v>10</v>
      </c>
      <c r="M585" s="68" t="s">
        <v>417</v>
      </c>
      <c r="N585" s="68">
        <v>6</v>
      </c>
      <c r="O585" s="68">
        <v>1.660499999999999</v>
      </c>
    </row>
    <row r="586" spans="2:15" ht="15.75">
      <c r="B586" s="70" t="s">
        <v>1032</v>
      </c>
      <c r="C586" s="77">
        <v>44169</v>
      </c>
      <c r="D586" s="70" t="s">
        <v>266</v>
      </c>
      <c r="E586" s="68" t="s">
        <v>135</v>
      </c>
      <c r="F586" s="68" t="s">
        <v>414</v>
      </c>
      <c r="G586" s="68" t="s">
        <v>494</v>
      </c>
      <c r="H586" s="68" t="s">
        <v>444</v>
      </c>
      <c r="I586" s="68" t="s">
        <v>1113</v>
      </c>
      <c r="J586" s="68">
        <v>31.99</v>
      </c>
      <c r="K586" s="68">
        <v>33.589500000000001</v>
      </c>
      <c r="L586" s="68">
        <v>10</v>
      </c>
      <c r="M586" s="68" t="s">
        <v>433</v>
      </c>
      <c r="N586" s="68">
        <v>9.9</v>
      </c>
      <c r="O586" s="68">
        <v>1.5995000000000026</v>
      </c>
    </row>
    <row r="587" spans="2:15" ht="15.75">
      <c r="B587" s="70" t="s">
        <v>1033</v>
      </c>
      <c r="C587" s="77">
        <v>44170</v>
      </c>
      <c r="D587" s="70" t="s">
        <v>175</v>
      </c>
      <c r="E587" s="68" t="s">
        <v>134</v>
      </c>
      <c r="F587" s="68" t="s">
        <v>414</v>
      </c>
      <c r="G587" s="68" t="s">
        <v>415</v>
      </c>
      <c r="H587" s="68" t="s">
        <v>920</v>
      </c>
      <c r="I587" s="68" t="s">
        <v>1114</v>
      </c>
      <c r="J587" s="68">
        <v>83.34</v>
      </c>
      <c r="K587" s="68">
        <v>87.507000000000005</v>
      </c>
      <c r="L587" s="68">
        <v>2</v>
      </c>
      <c r="M587" s="68" t="s">
        <v>422</v>
      </c>
      <c r="N587" s="68">
        <v>7.6</v>
      </c>
      <c r="O587" s="68">
        <v>4.1670000000000016</v>
      </c>
    </row>
    <row r="588" spans="2:15" ht="15.75">
      <c r="B588" s="70" t="s">
        <v>1034</v>
      </c>
      <c r="C588" s="77">
        <v>44171</v>
      </c>
      <c r="D588" s="70" t="s">
        <v>175</v>
      </c>
      <c r="E588" s="68" t="s">
        <v>134</v>
      </c>
      <c r="F588" s="68" t="s">
        <v>420</v>
      </c>
      <c r="G588" s="68" t="s">
        <v>494</v>
      </c>
      <c r="H588" s="68" t="s">
        <v>444</v>
      </c>
      <c r="I588" s="68" t="s">
        <v>1113</v>
      </c>
      <c r="J588" s="68">
        <v>45.58</v>
      </c>
      <c r="K588" s="68">
        <v>47.858999999999995</v>
      </c>
      <c r="L588" s="68">
        <v>7</v>
      </c>
      <c r="M588" s="68" t="s">
        <v>422</v>
      </c>
      <c r="N588" s="68">
        <v>5</v>
      </c>
      <c r="O588" s="68">
        <v>2.2789999999999964</v>
      </c>
    </row>
    <row r="589" spans="2:15" ht="15.75">
      <c r="B589" s="70" t="s">
        <v>1035</v>
      </c>
      <c r="C589" s="77">
        <v>44172</v>
      </c>
      <c r="D589" s="70" t="s">
        <v>175</v>
      </c>
      <c r="E589" s="68" t="s">
        <v>134</v>
      </c>
      <c r="F589" s="68" t="s">
        <v>414</v>
      </c>
      <c r="G589" s="68" t="s">
        <v>494</v>
      </c>
      <c r="H589" s="68" t="s">
        <v>920</v>
      </c>
      <c r="I589" s="68" t="s">
        <v>1114</v>
      </c>
      <c r="J589" s="68">
        <v>87.9</v>
      </c>
      <c r="K589" s="68">
        <v>92.295000000000002</v>
      </c>
      <c r="L589" s="68">
        <v>1</v>
      </c>
      <c r="M589" s="68" t="s">
        <v>417</v>
      </c>
      <c r="N589" s="68">
        <v>6.7</v>
      </c>
      <c r="O589" s="68">
        <v>4.394999999999996</v>
      </c>
    </row>
    <row r="590" spans="2:15" ht="15.75">
      <c r="B590" s="70" t="s">
        <v>1036</v>
      </c>
      <c r="C590" s="77">
        <v>44173</v>
      </c>
      <c r="D590" s="70" t="s">
        <v>175</v>
      </c>
      <c r="E590" s="68" t="s">
        <v>134</v>
      </c>
      <c r="F590" s="68" t="s">
        <v>414</v>
      </c>
      <c r="G590" s="68" t="s">
        <v>415</v>
      </c>
      <c r="H590" s="68" t="s">
        <v>421</v>
      </c>
      <c r="I590" s="68" t="s">
        <v>1116</v>
      </c>
      <c r="J590" s="68">
        <v>73.47</v>
      </c>
      <c r="K590" s="68">
        <v>77.143499999999989</v>
      </c>
      <c r="L590" s="68">
        <v>10</v>
      </c>
      <c r="M590" s="68" t="s">
        <v>417</v>
      </c>
      <c r="N590" s="68">
        <v>9.5</v>
      </c>
      <c r="O590" s="68">
        <v>3.67349999999999</v>
      </c>
    </row>
    <row r="591" spans="2:15" ht="15.75">
      <c r="B591" s="70" t="s">
        <v>1037</v>
      </c>
      <c r="C591" s="77">
        <v>44174</v>
      </c>
      <c r="D591" s="70" t="s">
        <v>175</v>
      </c>
      <c r="E591" s="68" t="s">
        <v>134</v>
      </c>
      <c r="F591" s="68" t="s">
        <v>414</v>
      </c>
      <c r="G591" s="68" t="s">
        <v>494</v>
      </c>
      <c r="H591" s="68" t="s">
        <v>444</v>
      </c>
      <c r="I591" s="68" t="s">
        <v>1113</v>
      </c>
      <c r="J591" s="68">
        <v>76.92</v>
      </c>
      <c r="K591" s="68">
        <v>80.765999999999991</v>
      </c>
      <c r="L591" s="68">
        <v>10</v>
      </c>
      <c r="M591" s="68" t="s">
        <v>417</v>
      </c>
      <c r="N591" s="68">
        <v>5.6</v>
      </c>
      <c r="O591" s="68">
        <v>3.8459999999999894</v>
      </c>
    </row>
    <row r="592" spans="2:15" ht="15.75">
      <c r="B592" s="70" t="s">
        <v>1038</v>
      </c>
      <c r="C592" s="77">
        <v>44175</v>
      </c>
      <c r="D592" s="70" t="s">
        <v>419</v>
      </c>
      <c r="E592" s="68" t="s">
        <v>131</v>
      </c>
      <c r="F592" s="68" t="s">
        <v>420</v>
      </c>
      <c r="G592" s="68" t="s">
        <v>415</v>
      </c>
      <c r="H592" s="68" t="s">
        <v>465</v>
      </c>
      <c r="I592" s="68" t="s">
        <v>1115</v>
      </c>
      <c r="J592" s="68">
        <v>83.66</v>
      </c>
      <c r="K592" s="68">
        <v>87.842999999999989</v>
      </c>
      <c r="L592" s="68">
        <v>5</v>
      </c>
      <c r="M592" s="68" t="s">
        <v>422</v>
      </c>
      <c r="N592" s="68">
        <v>7.2</v>
      </c>
      <c r="O592" s="68">
        <v>4.1829999999999927</v>
      </c>
    </row>
    <row r="593" spans="2:15" ht="15.75">
      <c r="B593" s="70" t="s">
        <v>1039</v>
      </c>
      <c r="C593" s="77">
        <v>44176</v>
      </c>
      <c r="D593" s="70" t="s">
        <v>266</v>
      </c>
      <c r="E593" s="68" t="s">
        <v>135</v>
      </c>
      <c r="F593" s="68" t="s">
        <v>420</v>
      </c>
      <c r="G593" s="68" t="s">
        <v>415</v>
      </c>
      <c r="H593" s="68" t="s">
        <v>421</v>
      </c>
      <c r="I593" s="68" t="s">
        <v>1116</v>
      </c>
      <c r="J593" s="68">
        <v>57.91</v>
      </c>
      <c r="K593" s="68">
        <v>60.805500000000002</v>
      </c>
      <c r="L593" s="68">
        <v>8</v>
      </c>
      <c r="M593" s="68" t="s">
        <v>422</v>
      </c>
      <c r="N593" s="68">
        <v>8.1</v>
      </c>
      <c r="O593" s="68">
        <v>2.8955000000000055</v>
      </c>
    </row>
    <row r="594" spans="2:15" ht="15.75">
      <c r="B594" s="70" t="s">
        <v>1040</v>
      </c>
      <c r="C594" s="77">
        <v>44177</v>
      </c>
      <c r="D594" s="70" t="s">
        <v>266</v>
      </c>
      <c r="E594" s="68" t="s">
        <v>135</v>
      </c>
      <c r="F594" s="68" t="s">
        <v>420</v>
      </c>
      <c r="G594" s="68" t="s">
        <v>494</v>
      </c>
      <c r="H594" s="68" t="s">
        <v>499</v>
      </c>
      <c r="I594" s="68" t="s">
        <v>1116</v>
      </c>
      <c r="J594" s="68">
        <v>28.38</v>
      </c>
      <c r="K594" s="68">
        <v>29.798999999999999</v>
      </c>
      <c r="L594" s="68">
        <v>5</v>
      </c>
      <c r="M594" s="68" t="s">
        <v>422</v>
      </c>
      <c r="N594" s="68">
        <v>9.4</v>
      </c>
      <c r="O594" s="68">
        <v>1.4190000000000005</v>
      </c>
    </row>
    <row r="595" spans="2:15" ht="15.75">
      <c r="B595" s="70" t="s">
        <v>1041</v>
      </c>
      <c r="C595" s="77">
        <v>44178</v>
      </c>
      <c r="D595" s="70" t="s">
        <v>266</v>
      </c>
      <c r="E595" s="68" t="s">
        <v>135</v>
      </c>
      <c r="F595" s="68" t="s">
        <v>414</v>
      </c>
      <c r="G595" s="68" t="s">
        <v>494</v>
      </c>
      <c r="H595" s="68" t="s">
        <v>430</v>
      </c>
      <c r="I595" s="68" t="s">
        <v>1116</v>
      </c>
      <c r="J595" s="68">
        <v>50.45</v>
      </c>
      <c r="K595" s="68">
        <v>52.972499999999997</v>
      </c>
      <c r="L595" s="68">
        <v>6</v>
      </c>
      <c r="M595" s="68" t="s">
        <v>433</v>
      </c>
      <c r="N595" s="68">
        <v>8.9</v>
      </c>
      <c r="O595" s="68">
        <v>2.5224999999999937</v>
      </c>
    </row>
    <row r="596" spans="2:15" ht="15.75">
      <c r="B596" s="70" t="s">
        <v>1042</v>
      </c>
      <c r="C596" s="77">
        <v>44179</v>
      </c>
      <c r="D596" s="70" t="s">
        <v>266</v>
      </c>
      <c r="E596" s="68" t="s">
        <v>135</v>
      </c>
      <c r="F596" s="68" t="s">
        <v>420</v>
      </c>
      <c r="G596" s="68" t="s">
        <v>494</v>
      </c>
      <c r="H596" s="68" t="s">
        <v>465</v>
      </c>
      <c r="I596" s="68" t="s">
        <v>1115</v>
      </c>
      <c r="J596" s="68">
        <v>99.16</v>
      </c>
      <c r="K596" s="68">
        <v>104.11799999999999</v>
      </c>
      <c r="L596" s="68">
        <v>8</v>
      </c>
      <c r="M596" s="68" t="s">
        <v>433</v>
      </c>
      <c r="N596" s="68">
        <v>4.2</v>
      </c>
      <c r="O596" s="68">
        <v>4.9579999999999984</v>
      </c>
    </row>
    <row r="597" spans="2:15" ht="15.75">
      <c r="B597" s="70" t="s">
        <v>1043</v>
      </c>
      <c r="C597" s="77">
        <v>44180</v>
      </c>
      <c r="D597" s="70" t="s">
        <v>419</v>
      </c>
      <c r="E597" s="68" t="s">
        <v>131</v>
      </c>
      <c r="F597" s="68" t="s">
        <v>414</v>
      </c>
      <c r="G597" s="68" t="s">
        <v>415</v>
      </c>
      <c r="H597" s="68" t="s">
        <v>920</v>
      </c>
      <c r="I597" s="68" t="s">
        <v>1114</v>
      </c>
      <c r="J597" s="68">
        <v>47.27</v>
      </c>
      <c r="K597" s="68">
        <v>49.633499999999998</v>
      </c>
      <c r="L597" s="68">
        <v>6</v>
      </c>
      <c r="M597" s="68" t="s">
        <v>422</v>
      </c>
      <c r="N597" s="68">
        <v>8.8000000000000007</v>
      </c>
      <c r="O597" s="68">
        <v>2.3634999999999948</v>
      </c>
    </row>
    <row r="598" spans="2:15" ht="15.75">
      <c r="B598" s="70" t="s">
        <v>1044</v>
      </c>
      <c r="C598" s="77">
        <v>44181</v>
      </c>
      <c r="D598" s="70" t="s">
        <v>419</v>
      </c>
      <c r="E598" s="68" t="s">
        <v>131</v>
      </c>
      <c r="F598" s="68" t="s">
        <v>414</v>
      </c>
      <c r="G598" s="68" t="s">
        <v>494</v>
      </c>
      <c r="H598" s="68" t="s">
        <v>465</v>
      </c>
      <c r="I598" s="68" t="s">
        <v>1115</v>
      </c>
      <c r="J598" s="68">
        <v>85.6</v>
      </c>
      <c r="K598" s="68">
        <v>89.88</v>
      </c>
      <c r="L598" s="68">
        <v>7</v>
      </c>
      <c r="M598" s="68" t="s">
        <v>422</v>
      </c>
      <c r="N598" s="68">
        <v>5.3</v>
      </c>
      <c r="O598" s="68">
        <v>4.2800000000000011</v>
      </c>
    </row>
    <row r="599" spans="2:15" ht="15.75">
      <c r="B599" s="70" t="s">
        <v>1045</v>
      </c>
      <c r="C599" s="77">
        <v>44182</v>
      </c>
      <c r="D599" s="70" t="s">
        <v>175</v>
      </c>
      <c r="E599" s="68" t="s">
        <v>134</v>
      </c>
      <c r="F599" s="68" t="s">
        <v>414</v>
      </c>
      <c r="G599" s="68" t="s">
        <v>494</v>
      </c>
      <c r="H599" s="68" t="s">
        <v>920</v>
      </c>
      <c r="I599" s="68" t="s">
        <v>1114</v>
      </c>
      <c r="J599" s="68">
        <v>35.04</v>
      </c>
      <c r="K599" s="68">
        <v>36.792000000000002</v>
      </c>
      <c r="L599" s="68">
        <v>9</v>
      </c>
      <c r="M599" s="68" t="s">
        <v>417</v>
      </c>
      <c r="N599" s="68">
        <v>4.5999999999999996</v>
      </c>
      <c r="O599" s="68">
        <v>1.7520000000000024</v>
      </c>
    </row>
    <row r="600" spans="2:15" ht="15.75">
      <c r="B600" s="70" t="s">
        <v>1046</v>
      </c>
      <c r="C600" s="77">
        <v>44183</v>
      </c>
      <c r="D600" s="70" t="s">
        <v>419</v>
      </c>
      <c r="E600" s="68" t="s">
        <v>131</v>
      </c>
      <c r="F600" s="68" t="s">
        <v>414</v>
      </c>
      <c r="G600" s="68" t="s">
        <v>415</v>
      </c>
      <c r="H600" s="68" t="s">
        <v>421</v>
      </c>
      <c r="I600" s="68" t="s">
        <v>1116</v>
      </c>
      <c r="J600" s="68">
        <v>44.84</v>
      </c>
      <c r="K600" s="68">
        <v>47.082000000000001</v>
      </c>
      <c r="L600" s="68">
        <v>9</v>
      </c>
      <c r="M600" s="68" t="s">
        <v>433</v>
      </c>
      <c r="N600" s="68">
        <v>7.5</v>
      </c>
      <c r="O600" s="68">
        <v>2.2419999999999973</v>
      </c>
    </row>
    <row r="601" spans="2:15" ht="15.75">
      <c r="B601" s="70" t="s">
        <v>1047</v>
      </c>
      <c r="C601" s="77">
        <v>44184</v>
      </c>
      <c r="D601" s="70" t="s">
        <v>175</v>
      </c>
      <c r="E601" s="68" t="s">
        <v>134</v>
      </c>
      <c r="F601" s="68" t="s">
        <v>414</v>
      </c>
      <c r="G601" s="68" t="s">
        <v>415</v>
      </c>
      <c r="H601" s="68" t="s">
        <v>446</v>
      </c>
      <c r="I601" s="68" t="s">
        <v>1115</v>
      </c>
      <c r="J601" s="68">
        <v>27.73</v>
      </c>
      <c r="K601" s="68">
        <v>29.116500000000002</v>
      </c>
      <c r="L601" s="68">
        <v>5</v>
      </c>
      <c r="M601" s="68" t="s">
        <v>433</v>
      </c>
      <c r="N601" s="68">
        <v>4.2</v>
      </c>
      <c r="O601" s="68">
        <v>1.3865000000000016</v>
      </c>
    </row>
    <row r="602" spans="2:15" ht="15.75">
      <c r="B602" s="70" t="s">
        <v>1048</v>
      </c>
      <c r="C602" s="77">
        <v>44185</v>
      </c>
      <c r="D602" s="70" t="s">
        <v>175</v>
      </c>
      <c r="E602" s="68" t="s">
        <v>134</v>
      </c>
      <c r="F602" s="68" t="s">
        <v>420</v>
      </c>
      <c r="G602" s="68" t="s">
        <v>494</v>
      </c>
      <c r="H602" s="68" t="s">
        <v>920</v>
      </c>
      <c r="I602" s="68" t="s">
        <v>1114</v>
      </c>
      <c r="J602" s="68">
        <v>11.53</v>
      </c>
      <c r="K602" s="68">
        <v>12.1065</v>
      </c>
      <c r="L602" s="68">
        <v>7</v>
      </c>
      <c r="M602" s="68" t="s">
        <v>422</v>
      </c>
      <c r="N602" s="68">
        <v>8.1</v>
      </c>
      <c r="O602" s="68">
        <v>0.57650000000000112</v>
      </c>
    </row>
    <row r="603" spans="2:15" ht="15.75">
      <c r="B603" s="70" t="s">
        <v>1049</v>
      </c>
      <c r="C603" s="77">
        <v>44186</v>
      </c>
      <c r="D603" s="70" t="s">
        <v>419</v>
      </c>
      <c r="E603" s="68" t="s">
        <v>131</v>
      </c>
      <c r="F603" s="68" t="s">
        <v>420</v>
      </c>
      <c r="G603" s="68" t="s">
        <v>415</v>
      </c>
      <c r="H603" s="68" t="s">
        <v>442</v>
      </c>
      <c r="I603" s="68" t="s">
        <v>1115</v>
      </c>
      <c r="J603" s="68">
        <v>58.32</v>
      </c>
      <c r="K603" s="68">
        <v>61.235999999999997</v>
      </c>
      <c r="L603" s="68">
        <v>2</v>
      </c>
      <c r="M603" s="68" t="s">
        <v>417</v>
      </c>
      <c r="N603" s="68">
        <v>6</v>
      </c>
      <c r="O603" s="68">
        <v>2.9159999999999968</v>
      </c>
    </row>
    <row r="604" spans="2:15" ht="15.75">
      <c r="B604" s="70" t="s">
        <v>1050</v>
      </c>
      <c r="C604" s="77">
        <v>44187</v>
      </c>
      <c r="D604" s="70" t="s">
        <v>419</v>
      </c>
      <c r="E604" s="68" t="s">
        <v>131</v>
      </c>
      <c r="F604" s="68" t="s">
        <v>420</v>
      </c>
      <c r="G604" s="68" t="s">
        <v>494</v>
      </c>
      <c r="H604" s="68" t="s">
        <v>442</v>
      </c>
      <c r="I604" s="68" t="s">
        <v>1115</v>
      </c>
      <c r="J604" s="68">
        <v>84.61</v>
      </c>
      <c r="K604" s="68">
        <v>88.840499999999992</v>
      </c>
      <c r="L604" s="68">
        <v>10</v>
      </c>
      <c r="M604" s="68" t="s">
        <v>433</v>
      </c>
      <c r="N604" s="68">
        <v>8.8000000000000007</v>
      </c>
      <c r="O604" s="68">
        <v>4.2304999999999922</v>
      </c>
    </row>
    <row r="605" spans="2:15" ht="15.75">
      <c r="B605" s="70" t="s">
        <v>1051</v>
      </c>
      <c r="C605" s="77">
        <v>44188</v>
      </c>
      <c r="D605" s="70" t="s">
        <v>266</v>
      </c>
      <c r="E605" s="68" t="s">
        <v>135</v>
      </c>
      <c r="F605" s="68" t="s">
        <v>420</v>
      </c>
      <c r="G605" s="68" t="s">
        <v>415</v>
      </c>
      <c r="H605" s="68" t="s">
        <v>424</v>
      </c>
      <c r="I605" s="68" t="s">
        <v>1115</v>
      </c>
      <c r="J605" s="68">
        <v>82.88</v>
      </c>
      <c r="K605" s="68">
        <v>87.024000000000001</v>
      </c>
      <c r="L605" s="68">
        <v>5</v>
      </c>
      <c r="M605" s="68" t="s">
        <v>433</v>
      </c>
      <c r="N605" s="68">
        <v>6.6</v>
      </c>
      <c r="O605" s="68">
        <v>4.1440000000000055</v>
      </c>
    </row>
    <row r="606" spans="2:15" ht="15.75">
      <c r="B606" s="70" t="s">
        <v>1052</v>
      </c>
      <c r="C606" s="77">
        <v>44189</v>
      </c>
      <c r="D606" s="70" t="s">
        <v>175</v>
      </c>
      <c r="E606" s="68" t="s">
        <v>134</v>
      </c>
      <c r="F606" s="68" t="s">
        <v>414</v>
      </c>
      <c r="G606" s="68" t="s">
        <v>415</v>
      </c>
      <c r="H606" s="68" t="s">
        <v>476</v>
      </c>
      <c r="I606" s="68" t="s">
        <v>1114</v>
      </c>
      <c r="J606" s="68">
        <v>79.540000000000006</v>
      </c>
      <c r="K606" s="68">
        <v>83.516999999999996</v>
      </c>
      <c r="L606" s="68">
        <v>2</v>
      </c>
      <c r="M606" s="68" t="s">
        <v>417</v>
      </c>
      <c r="N606" s="68">
        <v>6.2</v>
      </c>
      <c r="O606" s="68">
        <v>3.9769999999999897</v>
      </c>
    </row>
    <row r="607" spans="2:15" ht="15.75">
      <c r="B607" s="70" t="s">
        <v>1053</v>
      </c>
      <c r="C607" s="77">
        <v>44190</v>
      </c>
      <c r="D607" s="70" t="s">
        <v>266</v>
      </c>
      <c r="E607" s="68" t="s">
        <v>135</v>
      </c>
      <c r="F607" s="68" t="s">
        <v>414</v>
      </c>
      <c r="G607" s="68" t="s">
        <v>415</v>
      </c>
      <c r="H607" s="68" t="s">
        <v>476</v>
      </c>
      <c r="I607" s="68" t="s">
        <v>1114</v>
      </c>
      <c r="J607" s="68">
        <v>29.15</v>
      </c>
      <c r="K607" s="68">
        <v>30.607500000000002</v>
      </c>
      <c r="L607" s="68">
        <v>3</v>
      </c>
      <c r="M607" s="68" t="s">
        <v>433</v>
      </c>
      <c r="N607" s="68">
        <v>7.3</v>
      </c>
      <c r="O607" s="68">
        <v>1.4575000000000031</v>
      </c>
    </row>
    <row r="608" spans="2:15" ht="15.75">
      <c r="B608" s="70" t="s">
        <v>1054</v>
      </c>
      <c r="C608" s="77">
        <v>44191</v>
      </c>
      <c r="D608" s="70" t="s">
        <v>419</v>
      </c>
      <c r="E608" s="68" t="s">
        <v>131</v>
      </c>
      <c r="F608" s="68" t="s">
        <v>420</v>
      </c>
      <c r="G608" s="68" t="s">
        <v>415</v>
      </c>
      <c r="H608" s="68" t="s">
        <v>421</v>
      </c>
      <c r="I608" s="68" t="s">
        <v>1116</v>
      </c>
      <c r="J608" s="68">
        <v>56.13</v>
      </c>
      <c r="K608" s="68">
        <v>58.936500000000002</v>
      </c>
      <c r="L608" s="68">
        <v>4</v>
      </c>
      <c r="M608" s="68" t="s">
        <v>417</v>
      </c>
      <c r="N608" s="68">
        <v>8.6</v>
      </c>
      <c r="O608" s="68">
        <v>2.8064999999999998</v>
      </c>
    </row>
    <row r="609" spans="2:15" ht="15.75">
      <c r="B609" s="70" t="s">
        <v>1055</v>
      </c>
      <c r="C609" s="77">
        <v>44192</v>
      </c>
      <c r="D609" s="70" t="s">
        <v>175</v>
      </c>
      <c r="E609" s="68" t="s">
        <v>134</v>
      </c>
      <c r="F609" s="68" t="s">
        <v>414</v>
      </c>
      <c r="G609" s="68" t="s">
        <v>415</v>
      </c>
      <c r="H609" s="68" t="s">
        <v>476</v>
      </c>
      <c r="I609" s="68" t="s">
        <v>1114</v>
      </c>
      <c r="J609" s="68">
        <v>99.6</v>
      </c>
      <c r="K609" s="68">
        <v>104.58</v>
      </c>
      <c r="L609" s="68">
        <v>3</v>
      </c>
      <c r="M609" s="68" t="s">
        <v>422</v>
      </c>
      <c r="N609" s="68">
        <v>5.8</v>
      </c>
      <c r="O609" s="68">
        <v>4.980000000000004</v>
      </c>
    </row>
    <row r="610" spans="2:15" ht="15.75">
      <c r="B610" s="70" t="s">
        <v>1056</v>
      </c>
      <c r="C610" s="77">
        <v>44193</v>
      </c>
      <c r="D610" s="70" t="s">
        <v>419</v>
      </c>
      <c r="E610" s="68" t="s">
        <v>131</v>
      </c>
      <c r="F610" s="68" t="s">
        <v>420</v>
      </c>
      <c r="G610" s="68" t="s">
        <v>415</v>
      </c>
      <c r="H610" s="68" t="s">
        <v>421</v>
      </c>
      <c r="I610" s="68" t="s">
        <v>1116</v>
      </c>
      <c r="J610" s="68">
        <v>35.49</v>
      </c>
      <c r="K610" s="68">
        <v>37.264499999999998</v>
      </c>
      <c r="L610" s="68">
        <v>6</v>
      </c>
      <c r="M610" s="68" t="s">
        <v>422</v>
      </c>
      <c r="N610" s="68">
        <v>4.0999999999999996</v>
      </c>
      <c r="O610" s="68">
        <v>1.7744999999999962</v>
      </c>
    </row>
    <row r="611" spans="2:15" ht="15.75">
      <c r="B611" s="70" t="s">
        <v>1057</v>
      </c>
      <c r="C611" s="77">
        <v>44194</v>
      </c>
      <c r="D611" s="70" t="s">
        <v>419</v>
      </c>
      <c r="E611" s="68" t="s">
        <v>131</v>
      </c>
      <c r="F611" s="68" t="s">
        <v>414</v>
      </c>
      <c r="G611" s="68" t="s">
        <v>494</v>
      </c>
      <c r="H611" s="68" t="s">
        <v>444</v>
      </c>
      <c r="I611" s="68" t="s">
        <v>1113</v>
      </c>
      <c r="J611" s="68">
        <v>42.85</v>
      </c>
      <c r="K611" s="68">
        <v>44.9925</v>
      </c>
      <c r="L611" s="68">
        <v>1</v>
      </c>
      <c r="M611" s="68" t="s">
        <v>433</v>
      </c>
      <c r="N611" s="68">
        <v>9.3000000000000007</v>
      </c>
      <c r="O611" s="68">
        <v>2.1424999999999983</v>
      </c>
    </row>
    <row r="612" spans="2:15" ht="15.75">
      <c r="B612" s="70" t="s">
        <v>1058</v>
      </c>
      <c r="C612" s="77">
        <v>44195</v>
      </c>
      <c r="D612" s="70" t="s">
        <v>266</v>
      </c>
      <c r="E612" s="68" t="s">
        <v>135</v>
      </c>
      <c r="F612" s="68" t="s">
        <v>414</v>
      </c>
      <c r="G612" s="68" t="s">
        <v>415</v>
      </c>
      <c r="H612" s="68" t="s">
        <v>430</v>
      </c>
      <c r="I612" s="68" t="s">
        <v>1116</v>
      </c>
      <c r="J612" s="68">
        <v>26.26</v>
      </c>
      <c r="K612" s="68">
        <v>27.572999999999997</v>
      </c>
      <c r="L612" s="68">
        <v>3</v>
      </c>
      <c r="M612" s="68" t="s">
        <v>417</v>
      </c>
      <c r="N612" s="68">
        <v>6.3</v>
      </c>
      <c r="O612" s="68">
        <v>1.3129999999999953</v>
      </c>
    </row>
    <row r="613" spans="2:15" ht="15.75">
      <c r="B613" s="70" t="s">
        <v>1059</v>
      </c>
      <c r="C613" s="77">
        <v>44196</v>
      </c>
      <c r="D613" s="70" t="s">
        <v>419</v>
      </c>
      <c r="E613" s="68" t="s">
        <v>131</v>
      </c>
      <c r="F613" s="68" t="s">
        <v>420</v>
      </c>
      <c r="G613" s="68" t="s">
        <v>415</v>
      </c>
      <c r="H613" s="68" t="s">
        <v>444</v>
      </c>
      <c r="I613" s="68" t="s">
        <v>1113</v>
      </c>
      <c r="J613" s="68">
        <v>83.14</v>
      </c>
      <c r="K613" s="68">
        <v>87.296999999999997</v>
      </c>
      <c r="L613" s="68">
        <v>7</v>
      </c>
      <c r="M613" s="68" t="s">
        <v>433</v>
      </c>
      <c r="N613" s="68">
        <v>6.6</v>
      </c>
      <c r="O613" s="68">
        <v>4.1569999999999965</v>
      </c>
    </row>
    <row r="614" spans="2:15" ht="15.75">
      <c r="B614" s="70" t="s">
        <v>1060</v>
      </c>
      <c r="C614" s="77">
        <v>44197</v>
      </c>
      <c r="D614" s="70" t="s">
        <v>419</v>
      </c>
      <c r="E614" s="68" t="s">
        <v>131</v>
      </c>
      <c r="F614" s="68" t="s">
        <v>414</v>
      </c>
      <c r="G614" s="68" t="s">
        <v>415</v>
      </c>
      <c r="H614" s="68" t="s">
        <v>444</v>
      </c>
      <c r="I614" s="68" t="s">
        <v>1113</v>
      </c>
      <c r="J614" s="68">
        <v>35.22</v>
      </c>
      <c r="K614" s="68">
        <v>36.981000000000002</v>
      </c>
      <c r="L614" s="68">
        <v>6</v>
      </c>
      <c r="M614" s="68" t="s">
        <v>417</v>
      </c>
      <c r="N614" s="68">
        <v>6.5</v>
      </c>
      <c r="O614" s="68">
        <v>1.7610000000000028</v>
      </c>
    </row>
    <row r="615" spans="2:15" ht="15.75">
      <c r="B615" s="70" t="s">
        <v>1061</v>
      </c>
      <c r="C615" s="77">
        <v>44198</v>
      </c>
      <c r="D615" s="70" t="s">
        <v>266</v>
      </c>
      <c r="E615" s="68" t="s">
        <v>135</v>
      </c>
      <c r="F615" s="68" t="s">
        <v>420</v>
      </c>
      <c r="G615" s="68" t="s">
        <v>415</v>
      </c>
      <c r="H615" s="68" t="s">
        <v>421</v>
      </c>
      <c r="I615" s="68" t="s">
        <v>1116</v>
      </c>
      <c r="J615" s="68">
        <v>13.78</v>
      </c>
      <c r="K615" s="68">
        <v>14.468999999999999</v>
      </c>
      <c r="L615" s="68">
        <v>4</v>
      </c>
      <c r="M615" s="68" t="s">
        <v>417</v>
      </c>
      <c r="N615" s="68">
        <v>9</v>
      </c>
      <c r="O615" s="68">
        <v>0.68900000000000006</v>
      </c>
    </row>
    <row r="616" spans="2:15" ht="15.75">
      <c r="B616" s="70" t="s">
        <v>1062</v>
      </c>
      <c r="C616" s="77">
        <v>44199</v>
      </c>
      <c r="D616" s="70" t="s">
        <v>266</v>
      </c>
      <c r="E616" s="68" t="s">
        <v>135</v>
      </c>
      <c r="F616" s="68" t="s">
        <v>414</v>
      </c>
      <c r="G616" s="68" t="s">
        <v>494</v>
      </c>
      <c r="H616" s="68" t="s">
        <v>444</v>
      </c>
      <c r="I616" s="68" t="s">
        <v>1113</v>
      </c>
      <c r="J616" s="68">
        <v>88.31</v>
      </c>
      <c r="K616" s="68">
        <v>92.725499999999997</v>
      </c>
      <c r="L616" s="68">
        <v>1</v>
      </c>
      <c r="M616" s="68" t="s">
        <v>433</v>
      </c>
      <c r="N616" s="68">
        <v>5.2</v>
      </c>
      <c r="O616" s="68">
        <v>4.4154999999999944</v>
      </c>
    </row>
    <row r="617" spans="2:15" ht="15.75">
      <c r="B617" s="70" t="s">
        <v>1063</v>
      </c>
      <c r="C617" s="77">
        <v>44200</v>
      </c>
      <c r="D617" s="70" t="s">
        <v>175</v>
      </c>
      <c r="E617" s="68" t="s">
        <v>134</v>
      </c>
      <c r="F617" s="68" t="s">
        <v>414</v>
      </c>
      <c r="G617" s="68" t="s">
        <v>415</v>
      </c>
      <c r="H617" s="68" t="s">
        <v>442</v>
      </c>
      <c r="I617" s="68" t="s">
        <v>1115</v>
      </c>
      <c r="J617" s="68">
        <v>39.619999999999997</v>
      </c>
      <c r="K617" s="68">
        <v>41.600999999999999</v>
      </c>
      <c r="L617" s="68">
        <v>9</v>
      </c>
      <c r="M617" s="68" t="s">
        <v>433</v>
      </c>
      <c r="N617" s="68">
        <v>6.8</v>
      </c>
      <c r="O617" s="68">
        <v>1.9810000000000016</v>
      </c>
    </row>
    <row r="618" spans="2:15" ht="15.75">
      <c r="B618" s="70" t="s">
        <v>1064</v>
      </c>
      <c r="C618" s="77">
        <v>44201</v>
      </c>
      <c r="D618" s="70" t="s">
        <v>266</v>
      </c>
      <c r="E618" s="68" t="s">
        <v>135</v>
      </c>
      <c r="F618" s="68" t="s">
        <v>420</v>
      </c>
      <c r="G618" s="68" t="s">
        <v>415</v>
      </c>
      <c r="H618" s="68" t="s">
        <v>499</v>
      </c>
      <c r="I618" s="68" t="s">
        <v>1116</v>
      </c>
      <c r="J618" s="68">
        <v>88.25</v>
      </c>
      <c r="K618" s="68">
        <v>92.662499999999994</v>
      </c>
      <c r="L618" s="68">
        <v>9</v>
      </c>
      <c r="M618" s="68" t="s">
        <v>433</v>
      </c>
      <c r="N618" s="68">
        <v>7.6</v>
      </c>
      <c r="O618" s="68">
        <v>4.4124999999999943</v>
      </c>
    </row>
    <row r="619" spans="2:15" ht="15.75">
      <c r="B619" s="70" t="s">
        <v>1065</v>
      </c>
      <c r="C619" s="77">
        <v>44202</v>
      </c>
      <c r="D619" s="70" t="s">
        <v>266</v>
      </c>
      <c r="E619" s="68" t="s">
        <v>135</v>
      </c>
      <c r="F619" s="68" t="s">
        <v>420</v>
      </c>
      <c r="G619" s="68" t="s">
        <v>494</v>
      </c>
      <c r="H619" s="68" t="s">
        <v>444</v>
      </c>
      <c r="I619" s="68" t="s">
        <v>1113</v>
      </c>
      <c r="J619" s="68">
        <v>25.31</v>
      </c>
      <c r="K619" s="68">
        <v>26.575500000000002</v>
      </c>
      <c r="L619" s="68">
        <v>2</v>
      </c>
      <c r="M619" s="68" t="s">
        <v>417</v>
      </c>
      <c r="N619" s="68">
        <v>7.2</v>
      </c>
      <c r="O619" s="68">
        <v>1.265500000000003</v>
      </c>
    </row>
    <row r="620" spans="2:15" ht="15.75">
      <c r="B620" s="70" t="s">
        <v>1066</v>
      </c>
      <c r="C620" s="77">
        <v>44203</v>
      </c>
      <c r="D620" s="70" t="s">
        <v>175</v>
      </c>
      <c r="E620" s="68" t="s">
        <v>134</v>
      </c>
      <c r="F620" s="68" t="s">
        <v>420</v>
      </c>
      <c r="G620" s="68" t="s">
        <v>415</v>
      </c>
      <c r="H620" s="68" t="s">
        <v>476</v>
      </c>
      <c r="I620" s="68" t="s">
        <v>1114</v>
      </c>
      <c r="J620" s="68">
        <v>74.44</v>
      </c>
      <c r="K620" s="68">
        <v>78.162000000000006</v>
      </c>
      <c r="L620" s="68">
        <v>10</v>
      </c>
      <c r="M620" s="68" t="s">
        <v>417</v>
      </c>
      <c r="N620" s="68">
        <v>5.0999999999999996</v>
      </c>
      <c r="O620" s="68">
        <v>3.7220000000000084</v>
      </c>
    </row>
    <row r="621" spans="2:15" ht="15.75">
      <c r="B621" s="70" t="s">
        <v>1067</v>
      </c>
      <c r="C621" s="77">
        <v>44204</v>
      </c>
      <c r="D621" s="70" t="s">
        <v>419</v>
      </c>
      <c r="E621" s="68" t="s">
        <v>131</v>
      </c>
      <c r="F621" s="68" t="s">
        <v>420</v>
      </c>
      <c r="G621" s="68" t="s">
        <v>494</v>
      </c>
      <c r="H621" s="68" t="s">
        <v>424</v>
      </c>
      <c r="I621" s="68" t="s">
        <v>1115</v>
      </c>
      <c r="J621" s="68">
        <v>64.08</v>
      </c>
      <c r="K621" s="68">
        <v>67.284000000000006</v>
      </c>
      <c r="L621" s="68">
        <v>7</v>
      </c>
      <c r="M621" s="68" t="s">
        <v>417</v>
      </c>
      <c r="N621" s="68">
        <v>7.6</v>
      </c>
      <c r="O621" s="68">
        <v>3.2040000000000077</v>
      </c>
    </row>
    <row r="622" spans="2:15" ht="15.75">
      <c r="B622" s="70" t="s">
        <v>1068</v>
      </c>
      <c r="C622" s="77">
        <v>44205</v>
      </c>
      <c r="D622" s="70" t="s">
        <v>419</v>
      </c>
      <c r="E622" s="68" t="s">
        <v>131</v>
      </c>
      <c r="F622" s="68" t="s">
        <v>420</v>
      </c>
      <c r="G622" s="68" t="s">
        <v>415</v>
      </c>
      <c r="H622" s="68" t="s">
        <v>442</v>
      </c>
      <c r="I622" s="68" t="s">
        <v>1115</v>
      </c>
      <c r="J622" s="68">
        <v>78.89</v>
      </c>
      <c r="K622" s="68">
        <v>82.834500000000006</v>
      </c>
      <c r="L622" s="68">
        <v>7</v>
      </c>
      <c r="M622" s="68" t="s">
        <v>417</v>
      </c>
      <c r="N622" s="68">
        <v>7.5</v>
      </c>
      <c r="O622" s="68">
        <v>3.944500000000005</v>
      </c>
    </row>
    <row r="623" spans="2:15" ht="15.75">
      <c r="B623" s="70" t="s">
        <v>1069</v>
      </c>
      <c r="C623" s="77">
        <v>44206</v>
      </c>
      <c r="D623" s="70" t="s">
        <v>175</v>
      </c>
      <c r="E623" s="68" t="s">
        <v>134</v>
      </c>
      <c r="F623" s="68" t="s">
        <v>420</v>
      </c>
      <c r="G623" s="68" t="s">
        <v>415</v>
      </c>
      <c r="H623" s="68" t="s">
        <v>444</v>
      </c>
      <c r="I623" s="68" t="s">
        <v>1113</v>
      </c>
      <c r="J623" s="68">
        <v>89.48</v>
      </c>
      <c r="K623" s="68">
        <v>93.953999999999994</v>
      </c>
      <c r="L623" s="68">
        <v>5</v>
      </c>
      <c r="M623" s="68" t="s">
        <v>422</v>
      </c>
      <c r="N623" s="68">
        <v>7.4</v>
      </c>
      <c r="O623" s="68">
        <v>4.4739999999999895</v>
      </c>
    </row>
    <row r="624" spans="2:15" ht="15.75">
      <c r="B624" s="70" t="s">
        <v>1070</v>
      </c>
      <c r="C624" s="77">
        <v>44207</v>
      </c>
      <c r="D624" s="70" t="s">
        <v>175</v>
      </c>
      <c r="E624" s="68" t="s">
        <v>134</v>
      </c>
      <c r="F624" s="68" t="s">
        <v>414</v>
      </c>
      <c r="G624" s="68" t="s">
        <v>415</v>
      </c>
      <c r="H624" s="68" t="s">
        <v>442</v>
      </c>
      <c r="I624" s="68" t="s">
        <v>1115</v>
      </c>
      <c r="J624" s="68">
        <v>92.09</v>
      </c>
      <c r="K624" s="68">
        <v>96.694500000000005</v>
      </c>
      <c r="L624" s="68">
        <v>3</v>
      </c>
      <c r="M624" s="68" t="s">
        <v>422</v>
      </c>
      <c r="N624" s="68">
        <v>4.2</v>
      </c>
      <c r="O624" s="68">
        <v>4.6045000000000016</v>
      </c>
    </row>
    <row r="625" spans="2:15" ht="15.75">
      <c r="B625" s="70" t="s">
        <v>1071</v>
      </c>
      <c r="C625" s="77">
        <v>44208</v>
      </c>
      <c r="D625" s="70" t="s">
        <v>419</v>
      </c>
      <c r="E625" s="68" t="s">
        <v>131</v>
      </c>
      <c r="F625" s="68" t="s">
        <v>420</v>
      </c>
      <c r="G625" s="68" t="s">
        <v>415</v>
      </c>
      <c r="H625" s="68" t="s">
        <v>476</v>
      </c>
      <c r="I625" s="68" t="s">
        <v>1114</v>
      </c>
      <c r="J625" s="68">
        <v>57.29</v>
      </c>
      <c r="K625" s="68">
        <v>60.154500000000006</v>
      </c>
      <c r="L625" s="68">
        <v>6</v>
      </c>
      <c r="M625" s="68" t="s">
        <v>417</v>
      </c>
      <c r="N625" s="68">
        <v>5.9</v>
      </c>
      <c r="O625" s="68">
        <v>2.8645000000000067</v>
      </c>
    </row>
    <row r="626" spans="2:15" ht="15.75">
      <c r="B626" s="70" t="s">
        <v>1072</v>
      </c>
      <c r="C626" s="77">
        <v>44209</v>
      </c>
      <c r="D626" s="70" t="s">
        <v>175</v>
      </c>
      <c r="E626" s="68" t="s">
        <v>134</v>
      </c>
      <c r="F626" s="68" t="s">
        <v>420</v>
      </c>
      <c r="G626" s="68" t="s">
        <v>494</v>
      </c>
      <c r="H626" s="68" t="s">
        <v>476</v>
      </c>
      <c r="I626" s="68" t="s">
        <v>1114</v>
      </c>
      <c r="J626" s="68">
        <v>66.52</v>
      </c>
      <c r="K626" s="68">
        <v>69.846000000000004</v>
      </c>
      <c r="L626" s="68">
        <v>4</v>
      </c>
      <c r="M626" s="68" t="s">
        <v>417</v>
      </c>
      <c r="N626" s="68">
        <v>6.9</v>
      </c>
      <c r="O626" s="68">
        <v>3.3260000000000076</v>
      </c>
    </row>
    <row r="627" spans="2:15" ht="15.75">
      <c r="B627" s="70" t="s">
        <v>1073</v>
      </c>
      <c r="C627" s="77">
        <v>44210</v>
      </c>
      <c r="D627" s="70" t="s">
        <v>175</v>
      </c>
      <c r="E627" s="68" t="s">
        <v>134</v>
      </c>
      <c r="F627" s="68" t="s">
        <v>420</v>
      </c>
      <c r="G627" s="68" t="s">
        <v>494</v>
      </c>
      <c r="H627" s="68" t="s">
        <v>424</v>
      </c>
      <c r="I627" s="68" t="s">
        <v>1115</v>
      </c>
      <c r="J627" s="68">
        <v>50.79</v>
      </c>
      <c r="K627" s="68">
        <v>53.329499999999996</v>
      </c>
      <c r="L627" s="68">
        <v>5</v>
      </c>
      <c r="M627" s="68" t="s">
        <v>433</v>
      </c>
      <c r="N627" s="68">
        <v>5.3</v>
      </c>
      <c r="O627" s="68">
        <v>2.5394999999999968</v>
      </c>
    </row>
    <row r="628" spans="2:15" ht="15.75">
      <c r="B628" s="70" t="s">
        <v>1074</v>
      </c>
      <c r="C628" s="77">
        <v>44211</v>
      </c>
      <c r="D628" s="70" t="s">
        <v>175</v>
      </c>
      <c r="E628" s="68" t="s">
        <v>134</v>
      </c>
      <c r="F628" s="68" t="s">
        <v>414</v>
      </c>
      <c r="G628" s="68" t="s">
        <v>494</v>
      </c>
      <c r="H628" s="68" t="s">
        <v>446</v>
      </c>
      <c r="I628" s="68" t="s">
        <v>1115</v>
      </c>
      <c r="J628" s="68">
        <v>10.08</v>
      </c>
      <c r="K628" s="68">
        <v>10.584</v>
      </c>
      <c r="L628" s="68">
        <v>7</v>
      </c>
      <c r="M628" s="68" t="s">
        <v>422</v>
      </c>
      <c r="N628" s="68">
        <v>4.2</v>
      </c>
      <c r="O628" s="68">
        <v>0.50399999999999956</v>
      </c>
    </row>
    <row r="629" spans="2:15" ht="15.75">
      <c r="B629" s="70" t="s">
        <v>1075</v>
      </c>
      <c r="C629" s="77">
        <v>44212</v>
      </c>
      <c r="D629" s="70" t="s">
        <v>175</v>
      </c>
      <c r="E629" s="68" t="s">
        <v>134</v>
      </c>
      <c r="F629" s="68" t="s">
        <v>420</v>
      </c>
      <c r="G629" s="68" t="s">
        <v>415</v>
      </c>
      <c r="H629" s="68" t="s">
        <v>421</v>
      </c>
      <c r="I629" s="68" t="s">
        <v>1116</v>
      </c>
      <c r="J629" s="68">
        <v>93.88</v>
      </c>
      <c r="K629" s="68">
        <v>98.573999999999998</v>
      </c>
      <c r="L629" s="68">
        <v>7</v>
      </c>
      <c r="M629" s="68" t="s">
        <v>433</v>
      </c>
      <c r="N629" s="68">
        <v>7.3</v>
      </c>
      <c r="O629" s="68">
        <v>4.6940000000000026</v>
      </c>
    </row>
    <row r="630" spans="2:15" ht="15.75">
      <c r="B630" s="70" t="s">
        <v>1076</v>
      </c>
      <c r="C630" s="77">
        <v>44213</v>
      </c>
      <c r="D630" s="70" t="s">
        <v>419</v>
      </c>
      <c r="E630" s="68" t="s">
        <v>131</v>
      </c>
      <c r="F630" s="68" t="s">
        <v>414</v>
      </c>
      <c r="G630" s="68" t="s">
        <v>494</v>
      </c>
      <c r="H630" s="68" t="s">
        <v>421</v>
      </c>
      <c r="I630" s="68" t="s">
        <v>1116</v>
      </c>
      <c r="J630" s="68">
        <v>84.25</v>
      </c>
      <c r="K630" s="68">
        <v>88.462500000000006</v>
      </c>
      <c r="L630" s="68">
        <v>2</v>
      </c>
      <c r="M630" s="68" t="s">
        <v>433</v>
      </c>
      <c r="N630" s="68">
        <v>5.3</v>
      </c>
      <c r="O630" s="68">
        <v>4.2125000000000057</v>
      </c>
    </row>
    <row r="631" spans="2:15" ht="15.75">
      <c r="B631" s="70" t="s">
        <v>1077</v>
      </c>
      <c r="C631" s="77">
        <v>44214</v>
      </c>
      <c r="D631" s="70" t="s">
        <v>266</v>
      </c>
      <c r="E631" s="68" t="s">
        <v>135</v>
      </c>
      <c r="F631" s="68" t="s">
        <v>420</v>
      </c>
      <c r="G631" s="68" t="s">
        <v>415</v>
      </c>
      <c r="H631" s="68" t="s">
        <v>476</v>
      </c>
      <c r="I631" s="68" t="s">
        <v>1114</v>
      </c>
      <c r="J631" s="68">
        <v>26.43</v>
      </c>
      <c r="K631" s="68">
        <v>27.7515</v>
      </c>
      <c r="L631" s="68">
        <v>8</v>
      </c>
      <c r="M631" s="68" t="s">
        <v>417</v>
      </c>
      <c r="N631" s="68">
        <v>8.9</v>
      </c>
      <c r="O631" s="68">
        <v>1.3215000000000003</v>
      </c>
    </row>
    <row r="632" spans="2:15" ht="15.75">
      <c r="B632" s="70" t="s">
        <v>1078</v>
      </c>
      <c r="C632" s="77">
        <v>44215</v>
      </c>
      <c r="D632" s="70" t="s">
        <v>266</v>
      </c>
      <c r="E632" s="68" t="s">
        <v>135</v>
      </c>
      <c r="F632" s="68" t="s">
        <v>414</v>
      </c>
      <c r="G632" s="68" t="s">
        <v>494</v>
      </c>
      <c r="H632" s="68" t="s">
        <v>465</v>
      </c>
      <c r="I632" s="68" t="s">
        <v>1115</v>
      </c>
      <c r="J632" s="68">
        <v>39.909999999999997</v>
      </c>
      <c r="K632" s="68">
        <v>41.905499999999996</v>
      </c>
      <c r="L632" s="68">
        <v>3</v>
      </c>
      <c r="M632" s="68" t="s">
        <v>417</v>
      </c>
      <c r="N632" s="68">
        <v>9.3000000000000007</v>
      </c>
      <c r="O632" s="68">
        <v>1.9954999999999998</v>
      </c>
    </row>
    <row r="633" spans="2:15" ht="15.75">
      <c r="B633" s="70" t="s">
        <v>1079</v>
      </c>
      <c r="C633" s="77">
        <v>44216</v>
      </c>
      <c r="D633" s="70" t="s">
        <v>266</v>
      </c>
      <c r="E633" s="68" t="s">
        <v>135</v>
      </c>
      <c r="F633" s="68" t="s">
        <v>414</v>
      </c>
      <c r="G633" s="68" t="s">
        <v>415</v>
      </c>
      <c r="H633" s="68" t="s">
        <v>476</v>
      </c>
      <c r="I633" s="68" t="s">
        <v>1114</v>
      </c>
      <c r="J633" s="68">
        <v>62.85</v>
      </c>
      <c r="K633" s="68">
        <v>65.992500000000007</v>
      </c>
      <c r="L633" s="68">
        <v>4</v>
      </c>
      <c r="M633" s="68" t="s">
        <v>417</v>
      </c>
      <c r="N633" s="68">
        <v>8.6999999999999993</v>
      </c>
      <c r="O633" s="68">
        <v>3.1425000000000054</v>
      </c>
    </row>
    <row r="634" spans="2:15" ht="15.75">
      <c r="B634" s="70" t="s">
        <v>1080</v>
      </c>
      <c r="C634" s="77">
        <v>44217</v>
      </c>
      <c r="D634" s="70" t="s">
        <v>419</v>
      </c>
      <c r="E634" s="68" t="s">
        <v>131</v>
      </c>
      <c r="F634" s="68" t="s">
        <v>414</v>
      </c>
      <c r="G634" s="68" t="s">
        <v>415</v>
      </c>
      <c r="H634" s="68" t="s">
        <v>476</v>
      </c>
      <c r="I634" s="68" t="s">
        <v>1114</v>
      </c>
      <c r="J634" s="68">
        <v>21.04</v>
      </c>
      <c r="K634" s="68">
        <v>22.091999999999999</v>
      </c>
      <c r="L634" s="68">
        <v>4</v>
      </c>
      <c r="M634" s="68" t="s">
        <v>422</v>
      </c>
      <c r="N634" s="68">
        <v>7.6</v>
      </c>
      <c r="O634" s="68">
        <v>1.0519999999999996</v>
      </c>
    </row>
    <row r="635" spans="2:15" ht="15.75">
      <c r="B635" s="70" t="s">
        <v>1081</v>
      </c>
      <c r="C635" s="77">
        <v>44218</v>
      </c>
      <c r="D635" s="70" t="s">
        <v>419</v>
      </c>
      <c r="E635" s="68" t="s">
        <v>131</v>
      </c>
      <c r="F635" s="68" t="s">
        <v>414</v>
      </c>
      <c r="G635" s="68" t="s">
        <v>494</v>
      </c>
      <c r="H635" s="68" t="s">
        <v>476</v>
      </c>
      <c r="I635" s="68" t="s">
        <v>1114</v>
      </c>
      <c r="J635" s="68">
        <v>50.49</v>
      </c>
      <c r="K635" s="68">
        <v>53.014499999999998</v>
      </c>
      <c r="L635" s="68">
        <v>9</v>
      </c>
      <c r="M635" s="68" t="s">
        <v>422</v>
      </c>
      <c r="N635" s="68">
        <v>5.4</v>
      </c>
      <c r="O635" s="68">
        <v>2.5244999999999962</v>
      </c>
    </row>
    <row r="636" spans="2:15" ht="15.75">
      <c r="B636" s="70" t="s">
        <v>1082</v>
      </c>
      <c r="C636" s="77">
        <v>44219</v>
      </c>
      <c r="D636" s="70" t="s">
        <v>266</v>
      </c>
      <c r="E636" s="68" t="s">
        <v>135</v>
      </c>
      <c r="F636" s="68" t="s">
        <v>420</v>
      </c>
      <c r="G636" s="68" t="s">
        <v>494</v>
      </c>
      <c r="H636" s="68" t="s">
        <v>421</v>
      </c>
      <c r="I636" s="68" t="s">
        <v>1116</v>
      </c>
      <c r="J636" s="68">
        <v>46.02</v>
      </c>
      <c r="K636" s="68">
        <v>48.320999999999998</v>
      </c>
      <c r="L636" s="68">
        <v>6</v>
      </c>
      <c r="M636" s="68" t="s">
        <v>422</v>
      </c>
      <c r="N636" s="68">
        <v>7.1</v>
      </c>
      <c r="O636" s="68">
        <v>2.3009999999999948</v>
      </c>
    </row>
    <row r="637" spans="2:15" ht="15.75">
      <c r="B637" s="70" t="s">
        <v>1083</v>
      </c>
      <c r="C637" s="77">
        <v>44220</v>
      </c>
      <c r="D637" s="70" t="s">
        <v>175</v>
      </c>
      <c r="E637" s="68" t="s">
        <v>134</v>
      </c>
      <c r="F637" s="68" t="s">
        <v>414</v>
      </c>
      <c r="G637" s="68" t="s">
        <v>415</v>
      </c>
      <c r="H637" s="68" t="s">
        <v>476</v>
      </c>
      <c r="I637" s="68" t="s">
        <v>1114</v>
      </c>
      <c r="J637" s="68">
        <v>98.66</v>
      </c>
      <c r="K637" s="68">
        <v>103.593</v>
      </c>
      <c r="L637" s="68">
        <v>9</v>
      </c>
      <c r="M637" s="68" t="s">
        <v>422</v>
      </c>
      <c r="N637" s="68">
        <v>8.4</v>
      </c>
      <c r="O637" s="68">
        <v>4.9330000000000069</v>
      </c>
    </row>
    <row r="638" spans="2:15" ht="15.75">
      <c r="B638" s="70" t="s">
        <v>1084</v>
      </c>
      <c r="C638" s="77">
        <v>44221</v>
      </c>
      <c r="D638" s="70" t="s">
        <v>175</v>
      </c>
      <c r="E638" s="68" t="s">
        <v>134</v>
      </c>
      <c r="F638" s="68" t="s">
        <v>414</v>
      </c>
      <c r="G638" s="68" t="s">
        <v>494</v>
      </c>
      <c r="H638" s="68" t="s">
        <v>421</v>
      </c>
      <c r="I638" s="68" t="s">
        <v>1116</v>
      </c>
      <c r="J638" s="68">
        <v>20.89</v>
      </c>
      <c r="K638" s="68">
        <v>21.9345</v>
      </c>
      <c r="L638" s="68">
        <v>2</v>
      </c>
      <c r="M638" s="68" t="s">
        <v>422</v>
      </c>
      <c r="N638" s="68">
        <v>9.8000000000000007</v>
      </c>
      <c r="O638" s="68">
        <v>1.0444999999999993</v>
      </c>
    </row>
    <row r="639" spans="2:15" ht="15.75">
      <c r="B639" s="70" t="s">
        <v>1085</v>
      </c>
      <c r="C639" s="77">
        <v>44222</v>
      </c>
      <c r="D639" s="70" t="s">
        <v>419</v>
      </c>
      <c r="E639" s="68" t="s">
        <v>131</v>
      </c>
      <c r="F639" s="68" t="s">
        <v>414</v>
      </c>
      <c r="G639" s="68" t="s">
        <v>494</v>
      </c>
      <c r="H639" s="68" t="s">
        <v>421</v>
      </c>
      <c r="I639" s="68" t="s">
        <v>1116</v>
      </c>
      <c r="J639" s="68">
        <v>96.82</v>
      </c>
      <c r="K639" s="68">
        <v>101.661</v>
      </c>
      <c r="L639" s="68">
        <v>3</v>
      </c>
      <c r="M639" s="68" t="s">
        <v>422</v>
      </c>
      <c r="N639" s="68">
        <v>6.7</v>
      </c>
      <c r="O639" s="68">
        <v>4.8410000000000082</v>
      </c>
    </row>
    <row r="640" spans="2:15" ht="15.75">
      <c r="B640" s="70" t="s">
        <v>1086</v>
      </c>
      <c r="C640" s="77">
        <v>44223</v>
      </c>
      <c r="D640" s="70" t="s">
        <v>266</v>
      </c>
      <c r="E640" s="68" t="s">
        <v>135</v>
      </c>
      <c r="F640" s="68" t="s">
        <v>420</v>
      </c>
      <c r="G640" s="68" t="s">
        <v>494</v>
      </c>
      <c r="H640" s="68" t="s">
        <v>476</v>
      </c>
      <c r="I640" s="68" t="s">
        <v>1114</v>
      </c>
      <c r="J640" s="68">
        <v>33.33</v>
      </c>
      <c r="K640" s="68">
        <v>34.996499999999997</v>
      </c>
      <c r="L640" s="68">
        <v>2</v>
      </c>
      <c r="M640" s="68" t="s">
        <v>433</v>
      </c>
      <c r="N640" s="68">
        <v>6.4</v>
      </c>
      <c r="O640" s="68">
        <v>1.6664999999999992</v>
      </c>
    </row>
    <row r="641" spans="2:15" ht="15.75">
      <c r="B641" s="70" t="s">
        <v>1087</v>
      </c>
      <c r="C641" s="77">
        <v>44224</v>
      </c>
      <c r="D641" s="70" t="s">
        <v>266</v>
      </c>
      <c r="E641" s="68" t="s">
        <v>135</v>
      </c>
      <c r="F641" s="68" t="s">
        <v>420</v>
      </c>
      <c r="G641" s="68" t="s">
        <v>415</v>
      </c>
      <c r="H641" s="68" t="s">
        <v>430</v>
      </c>
      <c r="I641" s="68" t="s">
        <v>1116</v>
      </c>
      <c r="J641" s="68">
        <v>38.270000000000003</v>
      </c>
      <c r="K641" s="68">
        <v>40.183500000000002</v>
      </c>
      <c r="L641" s="68">
        <v>2</v>
      </c>
      <c r="M641" s="68" t="s">
        <v>433</v>
      </c>
      <c r="N641" s="68">
        <v>5.8</v>
      </c>
      <c r="O641" s="68">
        <v>1.9134999999999991</v>
      </c>
    </row>
    <row r="642" spans="2:15" ht="15.75">
      <c r="B642" s="70" t="s">
        <v>1088</v>
      </c>
      <c r="C642" s="77">
        <v>44225</v>
      </c>
      <c r="D642" s="70" t="s">
        <v>175</v>
      </c>
      <c r="E642" s="68" t="s">
        <v>134</v>
      </c>
      <c r="F642" s="68" t="s">
        <v>420</v>
      </c>
      <c r="G642" s="68" t="s">
        <v>415</v>
      </c>
      <c r="H642" s="68" t="s">
        <v>446</v>
      </c>
      <c r="I642" s="68" t="s">
        <v>1115</v>
      </c>
      <c r="J642" s="68">
        <v>15.8</v>
      </c>
      <c r="K642" s="68">
        <v>16.59</v>
      </c>
      <c r="L642" s="68">
        <v>3</v>
      </c>
      <c r="M642" s="68" t="s">
        <v>422</v>
      </c>
      <c r="N642" s="68">
        <v>9.5</v>
      </c>
      <c r="O642" s="68">
        <v>0.78999999999999915</v>
      </c>
    </row>
    <row r="643" spans="2:15" ht="15.75">
      <c r="B643" s="70" t="s">
        <v>1089</v>
      </c>
      <c r="C643" s="77">
        <v>44226</v>
      </c>
      <c r="D643" s="70" t="s">
        <v>266</v>
      </c>
      <c r="E643" s="68" t="s">
        <v>135</v>
      </c>
      <c r="F643" s="68" t="s">
        <v>414</v>
      </c>
      <c r="G643" s="68" t="s">
        <v>415</v>
      </c>
      <c r="H643" s="68" t="s">
        <v>421</v>
      </c>
      <c r="I643" s="68" t="s">
        <v>1116</v>
      </c>
      <c r="J643" s="68">
        <v>34.49</v>
      </c>
      <c r="K643" s="68">
        <v>36.214500000000001</v>
      </c>
      <c r="L643" s="68">
        <v>5</v>
      </c>
      <c r="M643" s="68" t="s">
        <v>433</v>
      </c>
      <c r="N643" s="68">
        <v>9</v>
      </c>
      <c r="O643" s="68">
        <v>1.724499999999999</v>
      </c>
    </row>
    <row r="644" spans="2:15" ht="15.75">
      <c r="B644" s="70" t="s">
        <v>1090</v>
      </c>
      <c r="C644" s="77">
        <v>44227</v>
      </c>
      <c r="D644" s="70" t="s">
        <v>266</v>
      </c>
      <c r="E644" s="68" t="s">
        <v>135</v>
      </c>
      <c r="F644" s="68" t="s">
        <v>414</v>
      </c>
      <c r="G644" s="68" t="s">
        <v>415</v>
      </c>
      <c r="H644" s="68" t="s">
        <v>476</v>
      </c>
      <c r="I644" s="68" t="s">
        <v>1114</v>
      </c>
      <c r="J644" s="68">
        <v>84.63</v>
      </c>
      <c r="K644" s="68">
        <v>88.861500000000007</v>
      </c>
      <c r="L644" s="68">
        <v>10</v>
      </c>
      <c r="M644" s="68" t="s">
        <v>433</v>
      </c>
      <c r="N644" s="68">
        <v>9</v>
      </c>
      <c r="O644" s="68">
        <v>4.2315000000000111</v>
      </c>
    </row>
    <row r="645" spans="2:15" ht="15.75">
      <c r="B645" s="70" t="s">
        <v>1091</v>
      </c>
      <c r="C645" s="77">
        <v>44228</v>
      </c>
      <c r="D645" s="70" t="s">
        <v>266</v>
      </c>
      <c r="E645" s="68" t="s">
        <v>135</v>
      </c>
      <c r="F645" s="68" t="s">
        <v>420</v>
      </c>
      <c r="G645" s="68" t="s">
        <v>494</v>
      </c>
      <c r="H645" s="68" t="s">
        <v>421</v>
      </c>
      <c r="I645" s="68" t="s">
        <v>1116</v>
      </c>
      <c r="J645" s="68">
        <v>87.08</v>
      </c>
      <c r="K645" s="68">
        <v>91.433999999999997</v>
      </c>
      <c r="L645" s="68">
        <v>7</v>
      </c>
      <c r="M645" s="68" t="s">
        <v>422</v>
      </c>
      <c r="N645" s="68">
        <v>5.5</v>
      </c>
      <c r="O645" s="68">
        <v>4.3539999999999992</v>
      </c>
    </row>
    <row r="646" spans="2:15" ht="15.75">
      <c r="B646" s="70" t="s">
        <v>1092</v>
      </c>
      <c r="C646" s="77">
        <v>44229</v>
      </c>
      <c r="D646" s="70" t="s">
        <v>175</v>
      </c>
      <c r="E646" s="68" t="s">
        <v>134</v>
      </c>
      <c r="F646" s="68" t="s">
        <v>420</v>
      </c>
      <c r="G646" s="68" t="s">
        <v>415</v>
      </c>
      <c r="H646" s="68" t="s">
        <v>467</v>
      </c>
      <c r="I646" s="68" t="s">
        <v>1114</v>
      </c>
      <c r="J646" s="68">
        <v>74.66</v>
      </c>
      <c r="K646" s="68">
        <v>78.393000000000001</v>
      </c>
      <c r="L646" s="68">
        <v>4</v>
      </c>
      <c r="M646" s="68" t="s">
        <v>422</v>
      </c>
      <c r="N646" s="68">
        <v>8.5</v>
      </c>
      <c r="O646" s="68">
        <v>3.7330000000000041</v>
      </c>
    </row>
    <row r="647" spans="2:15" ht="15.75">
      <c r="B647" s="70" t="s">
        <v>1093</v>
      </c>
      <c r="C647" s="77">
        <v>44230</v>
      </c>
      <c r="D647" s="70" t="s">
        <v>266</v>
      </c>
      <c r="E647" s="68" t="s">
        <v>135</v>
      </c>
      <c r="F647" s="68" t="s">
        <v>414</v>
      </c>
      <c r="G647" s="68" t="s">
        <v>494</v>
      </c>
      <c r="H647" s="68" t="s">
        <v>920</v>
      </c>
      <c r="I647" s="68" t="s">
        <v>1114</v>
      </c>
      <c r="J647" s="68">
        <v>26.6</v>
      </c>
      <c r="K647" s="68">
        <v>27.930000000000003</v>
      </c>
      <c r="L647" s="68">
        <v>6</v>
      </c>
      <c r="M647" s="68" t="s">
        <v>417</v>
      </c>
      <c r="N647" s="68">
        <v>4.9000000000000004</v>
      </c>
      <c r="O647" s="68">
        <v>1.3300000000000018</v>
      </c>
    </row>
    <row r="648" spans="2:15" ht="15.75">
      <c r="B648" s="70" t="s">
        <v>1094</v>
      </c>
      <c r="C648" s="77">
        <v>44231</v>
      </c>
      <c r="D648" s="70" t="s">
        <v>266</v>
      </c>
      <c r="E648" s="68" t="s">
        <v>135</v>
      </c>
      <c r="F648" s="68" t="s">
        <v>420</v>
      </c>
      <c r="G648" s="68" t="s">
        <v>415</v>
      </c>
      <c r="H648" s="68" t="s">
        <v>421</v>
      </c>
      <c r="I648" s="68" t="s">
        <v>1116</v>
      </c>
      <c r="J648" s="68">
        <v>25.45</v>
      </c>
      <c r="K648" s="68">
        <v>26.7225</v>
      </c>
      <c r="L648" s="68">
        <v>1</v>
      </c>
      <c r="M648" s="68" t="s">
        <v>433</v>
      </c>
      <c r="N648" s="68">
        <v>5.0999999999999996</v>
      </c>
      <c r="O648" s="68">
        <v>1.2725000000000009</v>
      </c>
    </row>
    <row r="649" spans="2:15" ht="15.75">
      <c r="B649" s="70" t="s">
        <v>1095</v>
      </c>
      <c r="C649" s="77">
        <v>44232</v>
      </c>
      <c r="D649" s="70" t="s">
        <v>266</v>
      </c>
      <c r="E649" s="68" t="s">
        <v>135</v>
      </c>
      <c r="F649" s="68" t="s">
        <v>420</v>
      </c>
      <c r="G649" s="68" t="s">
        <v>415</v>
      </c>
      <c r="H649" s="68" t="s">
        <v>467</v>
      </c>
      <c r="I649" s="68" t="s">
        <v>1114</v>
      </c>
      <c r="J649" s="68">
        <v>67.77</v>
      </c>
      <c r="K649" s="68">
        <v>71.158500000000004</v>
      </c>
      <c r="L649" s="68">
        <v>1</v>
      </c>
      <c r="M649" s="68" t="s">
        <v>433</v>
      </c>
      <c r="N649" s="68">
        <v>6.5</v>
      </c>
      <c r="O649" s="68">
        <v>3.3885000000000076</v>
      </c>
    </row>
    <row r="650" spans="2:15" ht="15.75">
      <c r="B650" s="70" t="s">
        <v>1096</v>
      </c>
      <c r="C650" s="77">
        <v>44233</v>
      </c>
      <c r="D650" s="70" t="s">
        <v>419</v>
      </c>
      <c r="E650" s="68" t="s">
        <v>131</v>
      </c>
      <c r="F650" s="68" t="s">
        <v>414</v>
      </c>
      <c r="G650" s="68" t="s">
        <v>494</v>
      </c>
      <c r="H650" s="68" t="s">
        <v>920</v>
      </c>
      <c r="I650" s="68" t="s">
        <v>1114</v>
      </c>
      <c r="J650" s="68">
        <v>59.59</v>
      </c>
      <c r="K650" s="68">
        <v>62.569499999999998</v>
      </c>
      <c r="L650" s="68">
        <v>4</v>
      </c>
      <c r="M650" s="68" t="s">
        <v>422</v>
      </c>
      <c r="N650" s="68">
        <v>9.8000000000000007</v>
      </c>
      <c r="O650" s="68">
        <v>2.9794999999999945</v>
      </c>
    </row>
    <row r="651" spans="2:15" ht="15.75">
      <c r="B651" s="70" t="s">
        <v>1097</v>
      </c>
      <c r="C651" s="77">
        <v>44234</v>
      </c>
      <c r="D651" s="70" t="s">
        <v>175</v>
      </c>
      <c r="E651" s="68" t="s">
        <v>134</v>
      </c>
      <c r="F651" s="68" t="s">
        <v>420</v>
      </c>
      <c r="G651" s="68" t="s">
        <v>494</v>
      </c>
      <c r="H651" s="68" t="s">
        <v>424</v>
      </c>
      <c r="I651" s="68" t="s">
        <v>1115</v>
      </c>
      <c r="J651" s="68">
        <v>58.15</v>
      </c>
      <c r="K651" s="68">
        <v>61.057499999999997</v>
      </c>
      <c r="L651" s="68">
        <v>4</v>
      </c>
      <c r="M651" s="68" t="s">
        <v>422</v>
      </c>
      <c r="N651" s="68">
        <v>8.4</v>
      </c>
      <c r="O651" s="68">
        <v>2.9074999999999989</v>
      </c>
    </row>
    <row r="652" spans="2:15" ht="15.75">
      <c r="B652" s="70" t="s">
        <v>1098</v>
      </c>
      <c r="C652" s="77">
        <v>44235</v>
      </c>
      <c r="D652" s="70" t="s">
        <v>175</v>
      </c>
      <c r="E652" s="68" t="s">
        <v>134</v>
      </c>
      <c r="F652" s="68" t="s">
        <v>414</v>
      </c>
      <c r="G652" s="68" t="s">
        <v>415</v>
      </c>
      <c r="H652" s="68" t="s">
        <v>471</v>
      </c>
      <c r="I652" s="68" t="s">
        <v>1113</v>
      </c>
      <c r="J652" s="68">
        <v>97.48</v>
      </c>
      <c r="K652" s="68">
        <v>102.354</v>
      </c>
      <c r="L652" s="68">
        <v>9</v>
      </c>
      <c r="M652" s="68" t="s">
        <v>417</v>
      </c>
      <c r="N652" s="68">
        <v>7.4</v>
      </c>
      <c r="O652" s="68">
        <v>4.8739999999999952</v>
      </c>
    </row>
    <row r="653" spans="2:15" ht="15.75">
      <c r="B653" s="70" t="s">
        <v>1099</v>
      </c>
      <c r="C653" s="77">
        <v>44236</v>
      </c>
      <c r="D653" s="70" t="s">
        <v>419</v>
      </c>
      <c r="E653" s="68" t="s">
        <v>131</v>
      </c>
      <c r="F653" s="68" t="s">
        <v>420</v>
      </c>
      <c r="G653" s="68" t="s">
        <v>494</v>
      </c>
      <c r="H653" s="68" t="s">
        <v>465</v>
      </c>
      <c r="I653" s="68" t="s">
        <v>1115</v>
      </c>
      <c r="J653" s="68">
        <v>99.96</v>
      </c>
      <c r="K653" s="68">
        <v>104.958</v>
      </c>
      <c r="L653" s="68">
        <v>7</v>
      </c>
      <c r="M653" s="68" t="s">
        <v>422</v>
      </c>
      <c r="N653" s="68">
        <v>6.1</v>
      </c>
      <c r="O653" s="68">
        <v>4.9980000000000047</v>
      </c>
    </row>
    <row r="654" spans="2:15" ht="15.75">
      <c r="B654" s="70" t="s">
        <v>1100</v>
      </c>
      <c r="C654" s="77">
        <v>44237</v>
      </c>
      <c r="D654" s="70" t="s">
        <v>419</v>
      </c>
      <c r="E654" s="68" t="s">
        <v>131</v>
      </c>
      <c r="F654" s="68" t="s">
        <v>420</v>
      </c>
      <c r="G654" s="68" t="s">
        <v>494</v>
      </c>
      <c r="H654" s="68" t="s">
        <v>430</v>
      </c>
      <c r="I654" s="68" t="s">
        <v>1116</v>
      </c>
      <c r="J654" s="68">
        <v>96.37</v>
      </c>
      <c r="K654" s="68">
        <v>101.18849999999999</v>
      </c>
      <c r="L654" s="68">
        <v>7</v>
      </c>
      <c r="M654" s="68" t="s">
        <v>422</v>
      </c>
      <c r="N654" s="68">
        <v>6</v>
      </c>
      <c r="O654" s="68">
        <v>4.818499999999986</v>
      </c>
    </row>
    <row r="655" spans="2:15" ht="15.75">
      <c r="B655" s="70" t="s">
        <v>1101</v>
      </c>
      <c r="C655" s="77">
        <v>44238</v>
      </c>
      <c r="D655" s="70" t="s">
        <v>266</v>
      </c>
      <c r="E655" s="68" t="s">
        <v>135</v>
      </c>
      <c r="F655" s="68" t="s">
        <v>420</v>
      </c>
      <c r="G655" s="68" t="s">
        <v>415</v>
      </c>
      <c r="H655" s="68" t="s">
        <v>465</v>
      </c>
      <c r="I655" s="68" t="s">
        <v>1115</v>
      </c>
      <c r="J655" s="68">
        <v>14.76</v>
      </c>
      <c r="K655" s="68">
        <v>15.497999999999999</v>
      </c>
      <c r="L655" s="68">
        <v>2</v>
      </c>
      <c r="M655" s="68" t="s">
        <v>417</v>
      </c>
      <c r="N655" s="68">
        <v>4.3</v>
      </c>
      <c r="O655" s="68">
        <v>0.73799999999999955</v>
      </c>
    </row>
    <row r="656" spans="2:15" ht="15.75">
      <c r="B656" s="70" t="s">
        <v>1102</v>
      </c>
      <c r="C656" s="77">
        <v>44239</v>
      </c>
      <c r="D656" s="70" t="s">
        <v>266</v>
      </c>
      <c r="E656" s="68" t="s">
        <v>135</v>
      </c>
      <c r="F656" s="68" t="s">
        <v>414</v>
      </c>
      <c r="G656" s="68" t="s">
        <v>494</v>
      </c>
      <c r="H656" s="68" t="s">
        <v>424</v>
      </c>
      <c r="I656" s="68" t="s">
        <v>1115</v>
      </c>
      <c r="J656" s="68">
        <v>62</v>
      </c>
      <c r="K656" s="68">
        <v>65.099999999999994</v>
      </c>
      <c r="L656" s="68">
        <v>8</v>
      </c>
      <c r="M656" s="68" t="s">
        <v>433</v>
      </c>
      <c r="N656" s="68">
        <v>6.2</v>
      </c>
      <c r="O656" s="68">
        <v>3.0999999999999943</v>
      </c>
    </row>
    <row r="657" spans="2:15" ht="15.75">
      <c r="B657" s="70" t="s">
        <v>1103</v>
      </c>
      <c r="C657" s="77">
        <v>44240</v>
      </c>
      <c r="D657" s="70" t="s">
        <v>419</v>
      </c>
      <c r="E657" s="68" t="s">
        <v>131</v>
      </c>
      <c r="F657" s="68" t="s">
        <v>414</v>
      </c>
      <c r="G657" s="68" t="s">
        <v>494</v>
      </c>
      <c r="H657" s="68" t="s">
        <v>499</v>
      </c>
      <c r="I657" s="68" t="s">
        <v>1116</v>
      </c>
      <c r="J657" s="68">
        <v>82.34</v>
      </c>
      <c r="K657" s="68">
        <v>86.457000000000008</v>
      </c>
      <c r="L657" s="68">
        <v>10</v>
      </c>
      <c r="M657" s="68" t="s">
        <v>417</v>
      </c>
      <c r="N657" s="68">
        <v>4.3</v>
      </c>
      <c r="O657" s="68">
        <v>4.1170000000000044</v>
      </c>
    </row>
    <row r="658" spans="2:15" ht="15.75">
      <c r="B658" s="70" t="s">
        <v>1104</v>
      </c>
      <c r="C658" s="77">
        <v>44241</v>
      </c>
      <c r="D658" s="70" t="s">
        <v>266</v>
      </c>
      <c r="E658" s="68" t="s">
        <v>135</v>
      </c>
      <c r="F658" s="68" t="s">
        <v>414</v>
      </c>
      <c r="G658" s="68" t="s">
        <v>494</v>
      </c>
      <c r="H658" s="68" t="s">
        <v>446</v>
      </c>
      <c r="I658" s="68" t="s">
        <v>1115</v>
      </c>
      <c r="J658" s="68">
        <v>75.37</v>
      </c>
      <c r="K658" s="68">
        <v>79.138499999999993</v>
      </c>
      <c r="L658" s="68">
        <v>8</v>
      </c>
      <c r="M658" s="68" t="s">
        <v>433</v>
      </c>
      <c r="N658" s="68">
        <v>8.4</v>
      </c>
      <c r="O658" s="68">
        <v>3.7684999999999889</v>
      </c>
    </row>
    <row r="659" spans="2:15" ht="15.75">
      <c r="B659" s="70" t="s">
        <v>1105</v>
      </c>
      <c r="C659" s="77">
        <v>44242</v>
      </c>
      <c r="D659" s="70" t="s">
        <v>175</v>
      </c>
      <c r="E659" s="68" t="s">
        <v>134</v>
      </c>
      <c r="F659" s="68" t="s">
        <v>420</v>
      </c>
      <c r="G659" s="68" t="s">
        <v>415</v>
      </c>
      <c r="H659" s="68" t="s">
        <v>920</v>
      </c>
      <c r="I659" s="68" t="s">
        <v>1114</v>
      </c>
      <c r="J659" s="68">
        <v>56.56</v>
      </c>
      <c r="K659" s="68">
        <v>59.387999999999998</v>
      </c>
      <c r="L659" s="68">
        <v>5</v>
      </c>
      <c r="M659" s="68" t="s">
        <v>433</v>
      </c>
      <c r="N659" s="68">
        <v>4.5</v>
      </c>
      <c r="O659" s="68">
        <v>2.8279999999999959</v>
      </c>
    </row>
    <row r="660" spans="2:15" ht="15.75">
      <c r="B660" s="70" t="s">
        <v>1106</v>
      </c>
      <c r="C660" s="77">
        <v>44243</v>
      </c>
      <c r="D660" s="70" t="s">
        <v>266</v>
      </c>
      <c r="E660" s="68" t="s">
        <v>135</v>
      </c>
      <c r="F660" s="68" t="s">
        <v>420</v>
      </c>
      <c r="G660" s="68" t="s">
        <v>415</v>
      </c>
      <c r="H660" s="68" t="s">
        <v>471</v>
      </c>
      <c r="I660" s="68" t="s">
        <v>1113</v>
      </c>
      <c r="J660" s="68">
        <v>76.599999999999994</v>
      </c>
      <c r="K660" s="68">
        <v>80.429999999999993</v>
      </c>
      <c r="L660" s="68">
        <v>10</v>
      </c>
      <c r="M660" s="68" t="s">
        <v>417</v>
      </c>
      <c r="N660" s="68">
        <v>6</v>
      </c>
      <c r="O660" s="68">
        <v>3.8299999999999983</v>
      </c>
    </row>
    <row r="661" spans="2:15" ht="15.75">
      <c r="B661" s="70" t="s">
        <v>1107</v>
      </c>
      <c r="C661" s="77">
        <v>44244</v>
      </c>
      <c r="D661" s="70" t="s">
        <v>175</v>
      </c>
      <c r="E661" s="68" t="s">
        <v>134</v>
      </c>
      <c r="F661" s="68" t="s">
        <v>420</v>
      </c>
      <c r="G661" s="68" t="s">
        <v>494</v>
      </c>
      <c r="H661" s="68" t="s">
        <v>421</v>
      </c>
      <c r="I661" s="68" t="s">
        <v>1116</v>
      </c>
      <c r="J661" s="68">
        <v>58.03</v>
      </c>
      <c r="K661" s="68">
        <v>60.9315</v>
      </c>
      <c r="L661" s="68">
        <v>2</v>
      </c>
      <c r="M661" s="68" t="s">
        <v>417</v>
      </c>
      <c r="N661" s="68">
        <v>8.8000000000000007</v>
      </c>
      <c r="O661" s="68">
        <v>2.9014999999999986</v>
      </c>
    </row>
    <row r="662" spans="2:15" ht="15.75">
      <c r="B662" s="70" t="s">
        <v>1108</v>
      </c>
      <c r="C662" s="77">
        <v>44245</v>
      </c>
      <c r="D662" s="70" t="s">
        <v>419</v>
      </c>
      <c r="E662" s="68" t="s">
        <v>131</v>
      </c>
      <c r="F662" s="68" t="s">
        <v>414</v>
      </c>
      <c r="G662" s="68" t="s">
        <v>415</v>
      </c>
      <c r="H662" s="68" t="s">
        <v>421</v>
      </c>
      <c r="I662" s="68" t="s">
        <v>1116</v>
      </c>
      <c r="J662" s="68">
        <v>60.95</v>
      </c>
      <c r="K662" s="68">
        <v>63.997500000000002</v>
      </c>
      <c r="L662" s="68">
        <v>1</v>
      </c>
      <c r="M662" s="68" t="s">
        <v>417</v>
      </c>
      <c r="N662" s="68">
        <v>5.9</v>
      </c>
      <c r="O662" s="68">
        <v>3.0474999999999994</v>
      </c>
    </row>
    <row r="663" spans="2:15" ht="15.75">
      <c r="B663" s="70" t="s">
        <v>1109</v>
      </c>
      <c r="C663" s="77">
        <v>44246</v>
      </c>
      <c r="D663" s="70" t="s">
        <v>419</v>
      </c>
      <c r="E663" s="68" t="s">
        <v>131</v>
      </c>
      <c r="F663" s="68" t="s">
        <v>420</v>
      </c>
      <c r="G663" s="68" t="s">
        <v>494</v>
      </c>
      <c r="H663" s="68" t="s">
        <v>465</v>
      </c>
      <c r="I663" s="68" t="s">
        <v>1115</v>
      </c>
      <c r="J663" s="68">
        <v>40.35</v>
      </c>
      <c r="K663" s="68">
        <v>42.3675</v>
      </c>
      <c r="L663" s="68">
        <v>1</v>
      </c>
      <c r="M663" s="68" t="s">
        <v>417</v>
      </c>
      <c r="N663" s="68">
        <v>6.2</v>
      </c>
      <c r="O663" s="68">
        <v>2.0174999999999983</v>
      </c>
    </row>
    <row r="664" spans="2:15" ht="15.75">
      <c r="B664" s="62" t="s">
        <v>1110</v>
      </c>
      <c r="C664" s="77">
        <v>44247</v>
      </c>
      <c r="D664" s="62" t="s">
        <v>175</v>
      </c>
      <c r="E664" s="13" t="s">
        <v>134</v>
      </c>
      <c r="F664" s="13" t="s">
        <v>414</v>
      </c>
      <c r="G664" s="13" t="s">
        <v>494</v>
      </c>
      <c r="H664" s="13" t="s">
        <v>467</v>
      </c>
      <c r="I664" s="13" t="s">
        <v>1114</v>
      </c>
      <c r="J664" s="13">
        <v>31.84</v>
      </c>
      <c r="K664" s="13">
        <v>33.432000000000002</v>
      </c>
      <c r="L664" s="13">
        <v>1</v>
      </c>
      <c r="M664" s="13" t="s">
        <v>422</v>
      </c>
      <c r="N664" s="13">
        <v>7.7</v>
      </c>
      <c r="O664" s="13">
        <v>1.5920000000000023</v>
      </c>
    </row>
  </sheetData>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8CDB2-374C-4FB3-9A3D-2664BD89B6DF}">
  <dimension ref="B1:C5"/>
  <sheetViews>
    <sheetView workbookViewId="0">
      <selection activeCell="B7" sqref="B7"/>
    </sheetView>
  </sheetViews>
  <sheetFormatPr defaultRowHeight="15"/>
  <cols>
    <col min="1" max="1" width="1.7109375" customWidth="1"/>
    <col min="2" max="2" width="13.140625" bestFit="1" customWidth="1"/>
    <col min="3" max="3" width="16" bestFit="1" customWidth="1"/>
    <col min="12" max="12" width="1.7109375" customWidth="1"/>
  </cols>
  <sheetData>
    <row r="1" spans="2:3" ht="7.5" customHeight="1"/>
    <row r="2" spans="2:3">
      <c r="B2" s="49" t="s">
        <v>1117</v>
      </c>
    </row>
    <row r="3" spans="2:3">
      <c r="B3" s="58" t="s">
        <v>390</v>
      </c>
      <c r="C3" t="s">
        <v>1118</v>
      </c>
    </row>
    <row r="4" spans="2:3">
      <c r="B4" s="28" t="s">
        <v>134</v>
      </c>
      <c r="C4">
        <v>2</v>
      </c>
    </row>
    <row r="5" spans="2:3">
      <c r="B5" s="28" t="s">
        <v>391</v>
      </c>
      <c r="C5">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C99F-C811-49AE-A10D-E9AC95F87F52}">
  <dimension ref="B1:C7"/>
  <sheetViews>
    <sheetView workbookViewId="0">
      <selection activeCell="M17" sqref="M17"/>
    </sheetView>
  </sheetViews>
  <sheetFormatPr defaultRowHeight="15"/>
  <cols>
    <col min="1" max="1" width="1.7109375" customWidth="1"/>
    <col min="2" max="2" width="19" bestFit="1" customWidth="1"/>
    <col min="3" max="3" width="13.28515625" bestFit="1" customWidth="1"/>
  </cols>
  <sheetData>
    <row r="1" spans="2:3" ht="9.9499999999999993" customHeight="1"/>
    <row r="2" spans="2:3">
      <c r="B2" s="49" t="s">
        <v>1119</v>
      </c>
    </row>
    <row r="3" spans="2:3">
      <c r="B3" s="58" t="s">
        <v>390</v>
      </c>
      <c r="C3" t="s">
        <v>1120</v>
      </c>
    </row>
    <row r="4" spans="2:3">
      <c r="B4" s="28" t="s">
        <v>1114</v>
      </c>
      <c r="C4">
        <v>4.2</v>
      </c>
    </row>
    <row r="5" spans="2:3">
      <c r="B5" s="28" t="s">
        <v>1115</v>
      </c>
      <c r="C5">
        <v>8</v>
      </c>
    </row>
    <row r="6" spans="2:3">
      <c r="B6" s="28" t="s">
        <v>1113</v>
      </c>
      <c r="C6">
        <v>7.9</v>
      </c>
    </row>
    <row r="7" spans="2:3">
      <c r="B7" s="28" t="s">
        <v>391</v>
      </c>
      <c r="C7">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5F21-8173-4619-A710-A79170C2EB5F}">
  <dimension ref="B1:C16"/>
  <sheetViews>
    <sheetView zoomScale="106" zoomScaleNormal="106" workbookViewId="0">
      <selection activeCell="R1" sqref="R1"/>
    </sheetView>
  </sheetViews>
  <sheetFormatPr defaultRowHeight="15"/>
  <cols>
    <col min="1" max="1" width="1.7109375" customWidth="1"/>
    <col min="2" max="2" width="13.7109375" bestFit="1" customWidth="1"/>
    <col min="3" max="3" width="13.28515625" bestFit="1" customWidth="1"/>
  </cols>
  <sheetData>
    <row r="1" spans="2:3" ht="9.9499999999999993" customHeight="1"/>
    <row r="2" spans="2:3">
      <c r="B2" s="49" t="s">
        <v>1121</v>
      </c>
    </row>
    <row r="3" spans="2:3">
      <c r="B3" s="58" t="s">
        <v>390</v>
      </c>
      <c r="C3" t="s">
        <v>1122</v>
      </c>
    </row>
    <row r="4" spans="2:3">
      <c r="B4" s="28" t="s">
        <v>428</v>
      </c>
      <c r="C4">
        <v>1.8529999999999944</v>
      </c>
    </row>
    <row r="5" spans="2:3">
      <c r="B5" s="28" t="s">
        <v>457</v>
      </c>
      <c r="C5">
        <v>2.254999999999999</v>
      </c>
    </row>
    <row r="6" spans="2:3">
      <c r="B6" s="28" t="s">
        <v>465</v>
      </c>
      <c r="C6">
        <v>7.4890000000000043</v>
      </c>
    </row>
    <row r="7" spans="2:3">
      <c r="B7" s="28" t="s">
        <v>476</v>
      </c>
      <c r="C7">
        <v>4.7129999999999939</v>
      </c>
    </row>
    <row r="8" spans="2:3">
      <c r="B8" s="28" t="s">
        <v>459</v>
      </c>
      <c r="C8">
        <v>6.5435000000000016</v>
      </c>
    </row>
    <row r="9" spans="2:3">
      <c r="B9" s="28" t="s">
        <v>444</v>
      </c>
      <c r="C9">
        <v>2.1424999999999983</v>
      </c>
    </row>
    <row r="10" spans="2:3">
      <c r="B10" s="28" t="s">
        <v>463</v>
      </c>
      <c r="C10">
        <v>8.1929999999999836</v>
      </c>
    </row>
    <row r="11" spans="2:3">
      <c r="B11" s="28" t="s">
        <v>455</v>
      </c>
      <c r="C11">
        <v>2.9194999999999993</v>
      </c>
    </row>
    <row r="12" spans="2:3">
      <c r="B12" s="28" t="s">
        <v>461</v>
      </c>
      <c r="C12">
        <v>0.73499999999999943</v>
      </c>
    </row>
    <row r="13" spans="2:3">
      <c r="B13" s="28" t="s">
        <v>416</v>
      </c>
      <c r="C13">
        <v>4.5250000000000057</v>
      </c>
    </row>
    <row r="14" spans="2:3">
      <c r="B14" s="28" t="s">
        <v>421</v>
      </c>
      <c r="C14">
        <v>4.0985000000000014</v>
      </c>
    </row>
    <row r="15" spans="2:3">
      <c r="B15" s="28" t="s">
        <v>920</v>
      </c>
      <c r="C15">
        <v>2.9794999999999945</v>
      </c>
    </row>
    <row r="16" spans="2:3">
      <c r="B16" s="28" t="s">
        <v>391</v>
      </c>
      <c r="C16">
        <v>48.446499999999979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2D69-4996-452F-9FE4-171DE87E1AB5}">
  <dimension ref="B1:M666"/>
  <sheetViews>
    <sheetView tabSelected="1" topLeftCell="E1" zoomScale="106" zoomScaleNormal="106" workbookViewId="0">
      <selection activeCell="O10" sqref="O10"/>
    </sheetView>
  </sheetViews>
  <sheetFormatPr defaultRowHeight="15"/>
  <cols>
    <col min="1" max="1" width="1.7109375" customWidth="1"/>
    <col min="2" max="2" width="14.140625" bestFit="1" customWidth="1"/>
    <col min="3" max="3" width="13.28515625" bestFit="1" customWidth="1"/>
    <col min="4" max="4" width="22.7109375" bestFit="1" customWidth="1"/>
    <col min="5" max="5" width="14.85546875" bestFit="1" customWidth="1"/>
    <col min="7" max="7" width="22.42578125" bestFit="1" customWidth="1"/>
    <col min="9" max="9" width="14.7109375" bestFit="1" customWidth="1"/>
    <col min="10" max="10" width="19.42578125" bestFit="1" customWidth="1"/>
    <col min="11" max="11" width="8.42578125" bestFit="1" customWidth="1"/>
    <col min="13" max="13" width="18" bestFit="1" customWidth="1"/>
  </cols>
  <sheetData>
    <row r="1" spans="2:13" ht="9.9499999999999993" customHeight="1"/>
    <row r="2" spans="2:13" ht="27" customHeight="1">
      <c r="B2" s="94" t="s">
        <v>1123</v>
      </c>
      <c r="C2" s="94"/>
      <c r="D2" s="94"/>
      <c r="E2" s="94"/>
    </row>
    <row r="3" spans="2:13" ht="16.5" thickBot="1">
      <c r="B3" s="60" t="s">
        <v>1129</v>
      </c>
      <c r="C3" s="60" t="s">
        <v>1128</v>
      </c>
      <c r="D3" s="60" t="s">
        <v>1127</v>
      </c>
      <c r="E3" s="60" t="s">
        <v>1130</v>
      </c>
      <c r="G3" s="60" t="s">
        <v>1131</v>
      </c>
      <c r="I3" s="65" t="s">
        <v>1138</v>
      </c>
      <c r="J3" s="65" t="s">
        <v>1139</v>
      </c>
      <c r="K3" s="65" t="s">
        <v>1140</v>
      </c>
      <c r="M3" s="65" t="s">
        <v>1141</v>
      </c>
    </row>
    <row r="4" spans="2:13" ht="16.5" thickBot="1">
      <c r="B4" s="79" t="s">
        <v>5</v>
      </c>
      <c r="C4" s="79" t="s">
        <v>1124</v>
      </c>
      <c r="D4" s="79" t="s">
        <v>1125</v>
      </c>
      <c r="E4" s="79" t="s">
        <v>1126</v>
      </c>
      <c r="G4" s="80" t="s">
        <v>1132</v>
      </c>
      <c r="I4" s="66">
        <v>123</v>
      </c>
      <c r="J4" s="66">
        <v>123</v>
      </c>
      <c r="K4" s="66">
        <v>123</v>
      </c>
      <c r="M4" s="66">
        <v>12</v>
      </c>
    </row>
    <row r="5" spans="2:13" ht="15.75">
      <c r="B5" s="61">
        <v>7</v>
      </c>
      <c r="C5" s="61">
        <v>7</v>
      </c>
      <c r="D5" s="61">
        <v>7</v>
      </c>
      <c r="E5" s="61">
        <v>7</v>
      </c>
      <c r="G5" s="68" t="s">
        <v>1133</v>
      </c>
      <c r="I5" s="68">
        <v>542</v>
      </c>
      <c r="J5" s="68">
        <v>542</v>
      </c>
      <c r="K5" s="68">
        <v>542</v>
      </c>
      <c r="M5" s="68"/>
    </row>
    <row r="6" spans="2:13" ht="15.75">
      <c r="B6" s="68">
        <v>5</v>
      </c>
      <c r="C6" s="68">
        <v>5</v>
      </c>
      <c r="D6" s="68">
        <v>5</v>
      </c>
      <c r="E6" s="68">
        <v>5</v>
      </c>
      <c r="G6" s="68" t="s">
        <v>1134</v>
      </c>
      <c r="I6" s="68">
        <v>865</v>
      </c>
      <c r="J6" s="68">
        <v>865</v>
      </c>
      <c r="K6" s="68">
        <v>865</v>
      </c>
      <c r="M6" s="68">
        <v>34</v>
      </c>
    </row>
    <row r="7" spans="2:13" ht="15.75">
      <c r="B7" s="68">
        <v>8</v>
      </c>
      <c r="C7" s="68">
        <v>8</v>
      </c>
      <c r="D7" s="68">
        <v>8</v>
      </c>
      <c r="E7" s="68">
        <v>8</v>
      </c>
      <c r="G7" s="68" t="s">
        <v>1135</v>
      </c>
      <c r="I7" s="68">
        <v>884</v>
      </c>
      <c r="J7" s="68">
        <v>884</v>
      </c>
      <c r="K7" s="68">
        <v>884</v>
      </c>
      <c r="M7" s="68"/>
    </row>
    <row r="8" spans="2:13" ht="15.75">
      <c r="B8" s="68">
        <v>7</v>
      </c>
      <c r="C8" s="68">
        <v>7</v>
      </c>
      <c r="D8" s="68">
        <v>7</v>
      </c>
      <c r="E8" s="68">
        <v>7</v>
      </c>
      <c r="G8" s="68" t="s">
        <v>1136</v>
      </c>
      <c r="I8" s="68">
        <v>764</v>
      </c>
      <c r="J8" s="68">
        <v>764</v>
      </c>
      <c r="K8" s="68">
        <v>764</v>
      </c>
      <c r="M8" s="68"/>
    </row>
    <row r="9" spans="2:13" ht="15.75">
      <c r="B9" s="68">
        <v>7</v>
      </c>
      <c r="C9" s="68">
        <v>7</v>
      </c>
      <c r="D9" s="68">
        <v>7</v>
      </c>
      <c r="E9" s="68">
        <v>7</v>
      </c>
      <c r="G9" s="68" t="s">
        <v>1137</v>
      </c>
      <c r="I9" s="68">
        <v>670</v>
      </c>
      <c r="J9" s="68">
        <v>670</v>
      </c>
      <c r="K9" s="68">
        <v>670</v>
      </c>
      <c r="M9" s="68"/>
    </row>
    <row r="10" spans="2:13" ht="15.75">
      <c r="B10" s="68">
        <v>6</v>
      </c>
      <c r="C10" s="68">
        <v>6</v>
      </c>
      <c r="D10" s="68">
        <v>6</v>
      </c>
      <c r="E10" s="68">
        <v>6</v>
      </c>
      <c r="I10" s="68">
        <v>600</v>
      </c>
      <c r="J10" s="68">
        <v>600</v>
      </c>
      <c r="K10" s="68">
        <v>600</v>
      </c>
      <c r="M10" s="68">
        <v>56</v>
      </c>
    </row>
    <row r="11" spans="2:13" ht="15.75">
      <c r="B11" s="68">
        <v>2</v>
      </c>
      <c r="C11" s="68">
        <v>2</v>
      </c>
      <c r="D11" s="68">
        <v>2</v>
      </c>
      <c r="E11" s="68">
        <v>2</v>
      </c>
      <c r="I11" s="68">
        <v>823</v>
      </c>
      <c r="J11" s="68">
        <v>823</v>
      </c>
      <c r="K11" s="68">
        <v>823</v>
      </c>
      <c r="M11" s="68"/>
    </row>
    <row r="12" spans="2:13" ht="15.75">
      <c r="B12" s="68">
        <v>3</v>
      </c>
      <c r="C12" s="68">
        <v>3</v>
      </c>
      <c r="D12" s="68">
        <v>3</v>
      </c>
      <c r="E12" s="68">
        <v>3</v>
      </c>
      <c r="I12" s="68">
        <v>205</v>
      </c>
      <c r="J12" s="68">
        <v>205</v>
      </c>
      <c r="K12" s="68">
        <v>205</v>
      </c>
      <c r="M12" s="68">
        <v>77</v>
      </c>
    </row>
    <row r="13" spans="2:13" ht="15.75">
      <c r="B13" s="68">
        <v>4</v>
      </c>
      <c r="C13" s="68">
        <v>4</v>
      </c>
      <c r="D13" s="68">
        <v>4</v>
      </c>
      <c r="E13" s="68">
        <v>4</v>
      </c>
      <c r="I13" s="68">
        <v>103</v>
      </c>
      <c r="J13" s="68">
        <v>103</v>
      </c>
      <c r="K13" s="68">
        <v>103</v>
      </c>
    </row>
    <row r="14" spans="2:13" ht="15.75">
      <c r="B14" s="68">
        <v>5</v>
      </c>
      <c r="C14" s="68">
        <v>5</v>
      </c>
      <c r="D14" s="68">
        <v>5</v>
      </c>
      <c r="E14" s="68">
        <v>5</v>
      </c>
      <c r="I14" s="68">
        <v>759</v>
      </c>
      <c r="J14" s="68">
        <v>759</v>
      </c>
      <c r="K14" s="68">
        <v>759</v>
      </c>
    </row>
    <row r="15" spans="2:13" ht="15.75">
      <c r="B15" s="68">
        <v>10</v>
      </c>
      <c r="C15" s="68">
        <v>10</v>
      </c>
      <c r="D15" s="68">
        <v>10</v>
      </c>
      <c r="E15" s="68">
        <v>10</v>
      </c>
      <c r="I15" s="68">
        <v>239</v>
      </c>
      <c r="J15" s="68">
        <v>239</v>
      </c>
      <c r="K15" s="68">
        <v>239</v>
      </c>
    </row>
    <row r="16" spans="2:13" ht="15.75">
      <c r="B16" s="68">
        <v>10</v>
      </c>
      <c r="C16" s="68">
        <v>10</v>
      </c>
      <c r="D16" s="68">
        <v>10</v>
      </c>
      <c r="E16" s="68">
        <v>10</v>
      </c>
      <c r="I16" s="68">
        <v>141</v>
      </c>
      <c r="J16" s="68">
        <v>141</v>
      </c>
      <c r="K16" s="68">
        <v>141</v>
      </c>
    </row>
    <row r="17" spans="2:5" ht="15.75">
      <c r="B17" s="68">
        <v>6</v>
      </c>
      <c r="C17" s="68">
        <v>6</v>
      </c>
      <c r="D17" s="68">
        <v>6</v>
      </c>
      <c r="E17" s="68">
        <v>6</v>
      </c>
    </row>
    <row r="18" spans="2:5" ht="15.75">
      <c r="B18" s="68">
        <v>7</v>
      </c>
      <c r="C18" s="68">
        <v>7</v>
      </c>
      <c r="D18" s="68">
        <v>7</v>
      </c>
      <c r="E18" s="68">
        <v>7</v>
      </c>
    </row>
    <row r="19" spans="2:5" ht="15.75">
      <c r="B19" s="68">
        <v>6</v>
      </c>
      <c r="C19" s="68">
        <v>6</v>
      </c>
      <c r="D19" s="68">
        <v>6</v>
      </c>
      <c r="E19" s="68">
        <v>6</v>
      </c>
    </row>
    <row r="20" spans="2:5" ht="15.75">
      <c r="B20" s="68">
        <v>3</v>
      </c>
      <c r="C20" s="68">
        <v>3</v>
      </c>
      <c r="D20" s="68">
        <v>3</v>
      </c>
      <c r="E20" s="68">
        <v>3</v>
      </c>
    </row>
    <row r="21" spans="2:5" ht="15.75">
      <c r="B21" s="68">
        <v>5</v>
      </c>
      <c r="C21" s="68">
        <v>5</v>
      </c>
      <c r="D21" s="68">
        <v>5</v>
      </c>
      <c r="E21" s="68">
        <v>5</v>
      </c>
    </row>
    <row r="22" spans="2:5" ht="15.75">
      <c r="B22" s="68">
        <v>3</v>
      </c>
      <c r="C22" s="68">
        <v>3</v>
      </c>
      <c r="D22" s="68">
        <v>3</v>
      </c>
      <c r="E22" s="68">
        <v>3</v>
      </c>
    </row>
    <row r="23" spans="2:5" ht="15.75">
      <c r="B23" s="68">
        <v>5</v>
      </c>
      <c r="C23" s="68">
        <v>5</v>
      </c>
      <c r="D23" s="68">
        <v>5</v>
      </c>
      <c r="E23" s="68">
        <v>5</v>
      </c>
    </row>
    <row r="24" spans="2:5" ht="15.75">
      <c r="B24" s="68">
        <v>3</v>
      </c>
      <c r="C24" s="68">
        <v>3</v>
      </c>
      <c r="D24" s="68">
        <v>3</v>
      </c>
      <c r="E24" s="68">
        <v>3</v>
      </c>
    </row>
    <row r="25" spans="2:5" ht="15.75">
      <c r="B25" s="68">
        <v>5</v>
      </c>
      <c r="C25" s="68">
        <v>5</v>
      </c>
      <c r="D25" s="68">
        <v>5</v>
      </c>
      <c r="E25" s="68">
        <v>5</v>
      </c>
    </row>
    <row r="26" spans="2:5" ht="15.75">
      <c r="B26" s="68">
        <v>9</v>
      </c>
      <c r="C26" s="68">
        <v>9</v>
      </c>
      <c r="D26" s="68">
        <v>9</v>
      </c>
      <c r="E26" s="68">
        <v>9</v>
      </c>
    </row>
    <row r="27" spans="2:5" ht="15.75">
      <c r="B27" s="68">
        <v>9</v>
      </c>
      <c r="C27" s="68">
        <v>9</v>
      </c>
      <c r="D27" s="68">
        <v>9</v>
      </c>
      <c r="E27" s="68">
        <v>9</v>
      </c>
    </row>
    <row r="28" spans="2:5" ht="15.75">
      <c r="B28" s="68">
        <v>8</v>
      </c>
      <c r="C28" s="68">
        <v>8</v>
      </c>
      <c r="D28" s="68">
        <v>8</v>
      </c>
      <c r="E28" s="68">
        <v>8</v>
      </c>
    </row>
    <row r="29" spans="2:5" ht="15.75">
      <c r="B29" s="68">
        <v>2</v>
      </c>
      <c r="C29" s="68">
        <v>2</v>
      </c>
      <c r="D29" s="68">
        <v>2</v>
      </c>
      <c r="E29" s="68">
        <v>2</v>
      </c>
    </row>
    <row r="30" spans="2:5" ht="15.75">
      <c r="B30" s="68">
        <v>4</v>
      </c>
      <c r="C30" s="68">
        <v>4</v>
      </c>
      <c r="D30" s="68">
        <v>4</v>
      </c>
      <c r="E30" s="68">
        <v>4</v>
      </c>
    </row>
    <row r="31" spans="2:5" ht="15.75">
      <c r="B31" s="68">
        <v>1</v>
      </c>
      <c r="C31" s="68">
        <v>1</v>
      </c>
      <c r="D31" s="68">
        <v>1</v>
      </c>
      <c r="E31" s="68">
        <v>1</v>
      </c>
    </row>
    <row r="32" spans="2:5" ht="15.75">
      <c r="B32" s="68">
        <v>5</v>
      </c>
      <c r="C32" s="68">
        <v>5</v>
      </c>
      <c r="D32" s="68">
        <v>5</v>
      </c>
      <c r="E32" s="68">
        <v>5</v>
      </c>
    </row>
    <row r="33" spans="2:5" ht="15.75">
      <c r="B33" s="68">
        <v>9</v>
      </c>
      <c r="C33" s="68">
        <v>9</v>
      </c>
      <c r="D33" s="68">
        <v>9</v>
      </c>
      <c r="E33" s="68">
        <v>9</v>
      </c>
    </row>
    <row r="34" spans="2:5" ht="15.75">
      <c r="B34" s="68">
        <v>8</v>
      </c>
      <c r="C34" s="68">
        <v>8</v>
      </c>
      <c r="D34" s="68">
        <v>8</v>
      </c>
      <c r="E34" s="68">
        <v>8</v>
      </c>
    </row>
    <row r="35" spans="2:5" ht="15.75">
      <c r="B35" s="68">
        <v>6</v>
      </c>
      <c r="C35" s="68">
        <v>6</v>
      </c>
      <c r="D35" s="68">
        <v>6</v>
      </c>
      <c r="E35" s="68">
        <v>6</v>
      </c>
    </row>
    <row r="36" spans="2:5" ht="15.75">
      <c r="B36" s="68">
        <v>8</v>
      </c>
      <c r="C36" s="68">
        <v>8</v>
      </c>
      <c r="D36" s="68">
        <v>8</v>
      </c>
      <c r="E36" s="68">
        <v>8</v>
      </c>
    </row>
    <row r="37" spans="2:5" ht="15.75">
      <c r="B37" s="68">
        <v>2</v>
      </c>
      <c r="C37" s="68">
        <v>2</v>
      </c>
      <c r="D37" s="68">
        <v>2</v>
      </c>
      <c r="E37" s="68">
        <v>2</v>
      </c>
    </row>
    <row r="38" spans="2:5" ht="15.75">
      <c r="B38" s="68">
        <v>4</v>
      </c>
      <c r="C38" s="68">
        <v>4</v>
      </c>
      <c r="D38" s="68">
        <v>4</v>
      </c>
      <c r="E38" s="68">
        <v>4</v>
      </c>
    </row>
    <row r="39" spans="2:5" ht="15.75">
      <c r="B39" s="68">
        <v>9</v>
      </c>
      <c r="C39" s="68">
        <v>9</v>
      </c>
      <c r="D39" s="68">
        <v>9</v>
      </c>
      <c r="E39" s="68">
        <v>9</v>
      </c>
    </row>
    <row r="40" spans="2:5" ht="15.75">
      <c r="B40" s="68">
        <v>9</v>
      </c>
      <c r="C40" s="68">
        <v>9</v>
      </c>
      <c r="D40" s="68">
        <v>9</v>
      </c>
      <c r="E40" s="68">
        <v>9</v>
      </c>
    </row>
    <row r="41" spans="2:5" ht="15.75">
      <c r="B41" s="68">
        <v>6</v>
      </c>
      <c r="C41" s="68">
        <v>6</v>
      </c>
      <c r="D41" s="68">
        <v>6</v>
      </c>
      <c r="E41" s="68">
        <v>6</v>
      </c>
    </row>
    <row r="42" spans="2:5" ht="15.75">
      <c r="B42" s="68">
        <v>7</v>
      </c>
      <c r="C42" s="68">
        <v>7</v>
      </c>
      <c r="D42" s="68">
        <v>7</v>
      </c>
      <c r="E42" s="68">
        <v>7</v>
      </c>
    </row>
    <row r="43" spans="2:5" ht="15.75">
      <c r="B43" s="68">
        <v>5</v>
      </c>
      <c r="C43" s="68">
        <v>5</v>
      </c>
      <c r="D43" s="68">
        <v>5</v>
      </c>
      <c r="E43" s="68">
        <v>5</v>
      </c>
    </row>
    <row r="44" spans="2:5" ht="15.75">
      <c r="B44" s="68">
        <v>8</v>
      </c>
      <c r="C44" s="68">
        <v>8</v>
      </c>
      <c r="D44" s="68">
        <v>8</v>
      </c>
      <c r="E44" s="68">
        <v>8</v>
      </c>
    </row>
    <row r="45" spans="2:5" ht="15.75">
      <c r="B45" s="68">
        <v>8</v>
      </c>
      <c r="C45" s="68">
        <v>8</v>
      </c>
      <c r="D45" s="68">
        <v>8</v>
      </c>
      <c r="E45" s="68">
        <v>8</v>
      </c>
    </row>
    <row r="46" spans="2:5" ht="15.75">
      <c r="B46" s="68">
        <v>6</v>
      </c>
      <c r="C46" s="68">
        <v>6</v>
      </c>
      <c r="D46" s="68">
        <v>6</v>
      </c>
      <c r="E46" s="68">
        <v>6</v>
      </c>
    </row>
    <row r="47" spans="2:5" ht="15.75">
      <c r="B47" s="68">
        <v>3</v>
      </c>
      <c r="C47" s="68">
        <v>3</v>
      </c>
      <c r="D47" s="68">
        <v>3</v>
      </c>
      <c r="E47" s="68">
        <v>3</v>
      </c>
    </row>
    <row r="48" spans="2:5" ht="15.75">
      <c r="B48" s="68">
        <v>9</v>
      </c>
      <c r="C48" s="68">
        <v>9</v>
      </c>
      <c r="D48" s="68">
        <v>9</v>
      </c>
      <c r="E48" s="68">
        <v>9</v>
      </c>
    </row>
    <row r="49" spans="2:5" ht="15.75">
      <c r="B49" s="68">
        <v>10</v>
      </c>
      <c r="C49" s="68">
        <v>10</v>
      </c>
      <c r="D49" s="68">
        <v>10</v>
      </c>
      <c r="E49" s="68">
        <v>10</v>
      </c>
    </row>
    <row r="50" spans="2:5" ht="15.75">
      <c r="B50" s="68">
        <v>4</v>
      </c>
      <c r="C50" s="68">
        <v>4</v>
      </c>
      <c r="D50" s="68">
        <v>4</v>
      </c>
      <c r="E50" s="68">
        <v>4</v>
      </c>
    </row>
    <row r="51" spans="2:5" ht="15.75">
      <c r="B51" s="68">
        <v>10</v>
      </c>
      <c r="C51" s="68">
        <v>10</v>
      </c>
      <c r="D51" s="68">
        <v>10</v>
      </c>
      <c r="E51" s="68">
        <v>10</v>
      </c>
    </row>
    <row r="52" spans="2:5" ht="15.75">
      <c r="B52" s="68">
        <v>2</v>
      </c>
      <c r="C52" s="68">
        <v>2</v>
      </c>
      <c r="D52" s="68">
        <v>2</v>
      </c>
      <c r="E52" s="68">
        <v>2</v>
      </c>
    </row>
    <row r="53" spans="2:5" ht="15.75">
      <c r="B53" s="68">
        <v>10</v>
      </c>
      <c r="C53" s="68">
        <v>10</v>
      </c>
      <c r="D53" s="68">
        <v>10</v>
      </c>
      <c r="E53" s="68">
        <v>10</v>
      </c>
    </row>
    <row r="54" spans="2:5" ht="15.75">
      <c r="B54" s="68">
        <v>1</v>
      </c>
      <c r="C54" s="68">
        <v>1</v>
      </c>
      <c r="D54" s="68">
        <v>1</v>
      </c>
      <c r="E54" s="68">
        <v>1</v>
      </c>
    </row>
    <row r="55" spans="2:5" ht="15.75">
      <c r="B55" s="68">
        <v>10</v>
      </c>
      <c r="C55" s="68">
        <v>10</v>
      </c>
      <c r="D55" s="68">
        <v>10</v>
      </c>
      <c r="E55" s="68">
        <v>10</v>
      </c>
    </row>
    <row r="56" spans="2:5" ht="15.75">
      <c r="B56" s="68">
        <v>3</v>
      </c>
      <c r="C56" s="68">
        <v>3</v>
      </c>
      <c r="D56" s="68">
        <v>3</v>
      </c>
      <c r="E56" s="68">
        <v>3</v>
      </c>
    </row>
    <row r="57" spans="2:5" ht="15.75">
      <c r="B57" s="68">
        <v>6</v>
      </c>
      <c r="C57" s="68">
        <v>6</v>
      </c>
      <c r="D57" s="68">
        <v>6</v>
      </c>
      <c r="E57" s="68">
        <v>6</v>
      </c>
    </row>
    <row r="58" spans="2:5" ht="15.75">
      <c r="B58" s="68">
        <v>10</v>
      </c>
      <c r="C58" s="68">
        <v>10</v>
      </c>
      <c r="D58" s="68">
        <v>10</v>
      </c>
      <c r="E58" s="68">
        <v>10</v>
      </c>
    </row>
    <row r="59" spans="2:5" ht="15.75">
      <c r="B59" s="68">
        <v>10</v>
      </c>
      <c r="C59" s="68">
        <v>10</v>
      </c>
      <c r="D59" s="68">
        <v>10</v>
      </c>
      <c r="E59" s="68">
        <v>10</v>
      </c>
    </row>
    <row r="60" spans="2:5" ht="15.75">
      <c r="B60" s="68">
        <v>5</v>
      </c>
      <c r="C60" s="68">
        <v>5</v>
      </c>
      <c r="D60" s="68">
        <v>5</v>
      </c>
      <c r="E60" s="68">
        <v>5</v>
      </c>
    </row>
    <row r="61" spans="2:5" ht="15.75">
      <c r="B61" s="68">
        <v>6</v>
      </c>
      <c r="C61" s="68">
        <v>6</v>
      </c>
      <c r="D61" s="68">
        <v>6</v>
      </c>
      <c r="E61" s="68">
        <v>6</v>
      </c>
    </row>
    <row r="62" spans="2:5" ht="15.75">
      <c r="B62" s="68">
        <v>3</v>
      </c>
      <c r="C62" s="68">
        <v>3</v>
      </c>
      <c r="D62" s="68">
        <v>3</v>
      </c>
      <c r="E62" s="68">
        <v>3</v>
      </c>
    </row>
    <row r="63" spans="2:5" ht="15.75">
      <c r="B63" s="68">
        <v>8</v>
      </c>
      <c r="C63" s="68">
        <v>8</v>
      </c>
      <c r="D63" s="68">
        <v>8</v>
      </c>
      <c r="E63" s="68">
        <v>8</v>
      </c>
    </row>
    <row r="64" spans="2:5" ht="15.75">
      <c r="B64" s="68">
        <v>4</v>
      </c>
      <c r="C64" s="68">
        <v>4</v>
      </c>
      <c r="D64" s="68">
        <v>4</v>
      </c>
      <c r="E64" s="68">
        <v>4</v>
      </c>
    </row>
    <row r="65" spans="2:5" ht="15.75">
      <c r="B65" s="68">
        <v>5</v>
      </c>
      <c r="C65" s="68">
        <v>5</v>
      </c>
      <c r="D65" s="68">
        <v>5</v>
      </c>
      <c r="E65" s="68">
        <v>5</v>
      </c>
    </row>
    <row r="66" spans="2:5" ht="15.75">
      <c r="B66" s="68">
        <v>7</v>
      </c>
      <c r="C66" s="68">
        <v>7</v>
      </c>
      <c r="D66" s="68">
        <v>7</v>
      </c>
      <c r="E66" s="68">
        <v>7</v>
      </c>
    </row>
    <row r="67" spans="2:5" ht="15.75">
      <c r="B67" s="68">
        <v>7</v>
      </c>
      <c r="C67" s="68">
        <v>7</v>
      </c>
      <c r="D67" s="68">
        <v>7</v>
      </c>
      <c r="E67" s="68">
        <v>7</v>
      </c>
    </row>
    <row r="68" spans="2:5" ht="15.75">
      <c r="B68" s="68">
        <v>1</v>
      </c>
      <c r="C68" s="68">
        <v>1</v>
      </c>
      <c r="D68" s="68">
        <v>1</v>
      </c>
      <c r="E68" s="68">
        <v>1</v>
      </c>
    </row>
    <row r="69" spans="2:5" ht="15.75">
      <c r="B69" s="68">
        <v>6</v>
      </c>
      <c r="C69" s="68">
        <v>6</v>
      </c>
      <c r="D69" s="68">
        <v>6</v>
      </c>
      <c r="E69" s="68">
        <v>6</v>
      </c>
    </row>
    <row r="70" spans="2:5" ht="15.75">
      <c r="B70" s="68">
        <v>10</v>
      </c>
      <c r="C70" s="68">
        <v>10</v>
      </c>
      <c r="D70" s="68">
        <v>10</v>
      </c>
      <c r="E70" s="68">
        <v>10</v>
      </c>
    </row>
    <row r="71" spans="2:5" ht="15.75">
      <c r="B71" s="68">
        <v>7</v>
      </c>
      <c r="C71" s="68">
        <v>7</v>
      </c>
      <c r="D71" s="68">
        <v>7</v>
      </c>
      <c r="E71" s="68">
        <v>7</v>
      </c>
    </row>
    <row r="72" spans="2:5" ht="15.75">
      <c r="B72" s="68">
        <v>9</v>
      </c>
      <c r="C72" s="68">
        <v>9</v>
      </c>
      <c r="D72" s="68">
        <v>9</v>
      </c>
      <c r="E72" s="68">
        <v>9</v>
      </c>
    </row>
    <row r="73" spans="2:5" ht="15.75">
      <c r="B73" s="68">
        <v>1</v>
      </c>
      <c r="C73" s="68">
        <v>1</v>
      </c>
      <c r="D73" s="68">
        <v>1</v>
      </c>
      <c r="E73" s="68">
        <v>1</v>
      </c>
    </row>
    <row r="74" spans="2:5" ht="15.75">
      <c r="B74" s="68">
        <v>1</v>
      </c>
      <c r="C74" s="68">
        <v>1</v>
      </c>
      <c r="D74" s="68">
        <v>1</v>
      </c>
      <c r="E74" s="68">
        <v>1</v>
      </c>
    </row>
    <row r="75" spans="2:5" ht="15.75">
      <c r="B75" s="68">
        <v>10</v>
      </c>
      <c r="C75" s="68">
        <v>10</v>
      </c>
      <c r="D75" s="68">
        <v>10</v>
      </c>
      <c r="E75" s="68">
        <v>10</v>
      </c>
    </row>
    <row r="76" spans="2:5" ht="15.75">
      <c r="B76" s="68">
        <v>6</v>
      </c>
      <c r="C76" s="68">
        <v>6</v>
      </c>
      <c r="D76" s="68">
        <v>6</v>
      </c>
      <c r="E76" s="68">
        <v>6</v>
      </c>
    </row>
    <row r="77" spans="2:5" ht="15.75">
      <c r="B77" s="68">
        <v>3</v>
      </c>
      <c r="C77" s="68">
        <v>3</v>
      </c>
      <c r="D77" s="68">
        <v>3</v>
      </c>
      <c r="E77" s="68">
        <v>3</v>
      </c>
    </row>
    <row r="78" spans="2:5" ht="15.75">
      <c r="B78" s="68">
        <v>9</v>
      </c>
      <c r="C78" s="68">
        <v>9</v>
      </c>
      <c r="D78" s="68">
        <v>9</v>
      </c>
      <c r="E78" s="68">
        <v>9</v>
      </c>
    </row>
    <row r="79" spans="2:5" ht="15.75">
      <c r="B79" s="68">
        <v>6</v>
      </c>
      <c r="C79" s="68">
        <v>6</v>
      </c>
      <c r="D79" s="68">
        <v>6</v>
      </c>
      <c r="E79" s="68">
        <v>6</v>
      </c>
    </row>
    <row r="80" spans="2:5" ht="15.75">
      <c r="B80" s="68">
        <v>7</v>
      </c>
      <c r="C80" s="68">
        <v>7</v>
      </c>
      <c r="D80" s="68">
        <v>7</v>
      </c>
      <c r="E80" s="68">
        <v>7</v>
      </c>
    </row>
    <row r="81" spans="2:5" ht="15.75">
      <c r="B81" s="68">
        <v>10</v>
      </c>
      <c r="C81" s="68">
        <v>10</v>
      </c>
      <c r="D81" s="68">
        <v>10</v>
      </c>
      <c r="E81" s="68">
        <v>10</v>
      </c>
    </row>
    <row r="82" spans="2:5" ht="15.75">
      <c r="B82" s="68">
        <v>6</v>
      </c>
      <c r="C82" s="68">
        <v>6</v>
      </c>
      <c r="D82" s="68">
        <v>6</v>
      </c>
      <c r="E82" s="68">
        <v>6</v>
      </c>
    </row>
    <row r="83" spans="2:5" ht="15.75">
      <c r="B83" s="68">
        <v>9</v>
      </c>
      <c r="C83" s="68">
        <v>9</v>
      </c>
      <c r="D83" s="68">
        <v>9</v>
      </c>
      <c r="E83" s="68">
        <v>9</v>
      </c>
    </row>
    <row r="84" spans="2:5" ht="15.75">
      <c r="B84" s="68">
        <v>10</v>
      </c>
      <c r="C84" s="68">
        <v>10</v>
      </c>
      <c r="D84" s="68">
        <v>10</v>
      </c>
      <c r="E84" s="68">
        <v>10</v>
      </c>
    </row>
    <row r="85" spans="2:5" ht="15.75">
      <c r="B85" s="68">
        <v>2</v>
      </c>
      <c r="C85" s="68">
        <v>2</v>
      </c>
      <c r="D85" s="68">
        <v>2</v>
      </c>
      <c r="E85" s="68">
        <v>2</v>
      </c>
    </row>
    <row r="86" spans="2:5" ht="15.75">
      <c r="B86" s="68">
        <v>3</v>
      </c>
      <c r="C86" s="68">
        <v>3</v>
      </c>
      <c r="D86" s="68">
        <v>3</v>
      </c>
      <c r="E86" s="68">
        <v>3</v>
      </c>
    </row>
    <row r="87" spans="2:5" ht="15.75">
      <c r="B87" s="68">
        <v>10</v>
      </c>
      <c r="C87" s="68">
        <v>10</v>
      </c>
      <c r="D87" s="68">
        <v>10</v>
      </c>
      <c r="E87" s="68">
        <v>10</v>
      </c>
    </row>
    <row r="88" spans="2:5" ht="15.75">
      <c r="B88" s="68">
        <v>8</v>
      </c>
      <c r="C88" s="68">
        <v>8</v>
      </c>
      <c r="D88" s="68">
        <v>8</v>
      </c>
      <c r="E88" s="68">
        <v>8</v>
      </c>
    </row>
    <row r="89" spans="2:5" ht="15.75">
      <c r="B89" s="68">
        <v>7</v>
      </c>
      <c r="C89" s="68">
        <v>7</v>
      </c>
      <c r="D89" s="68">
        <v>7</v>
      </c>
      <c r="E89" s="68">
        <v>7</v>
      </c>
    </row>
    <row r="90" spans="2:5" ht="15.75">
      <c r="B90" s="68">
        <v>9</v>
      </c>
      <c r="C90" s="68">
        <v>9</v>
      </c>
      <c r="D90" s="68">
        <v>9</v>
      </c>
      <c r="E90" s="68">
        <v>9</v>
      </c>
    </row>
    <row r="91" spans="2:5" ht="15.75">
      <c r="B91" s="68">
        <v>5</v>
      </c>
      <c r="C91" s="68">
        <v>5</v>
      </c>
      <c r="D91" s="68">
        <v>5</v>
      </c>
      <c r="E91" s="68">
        <v>5</v>
      </c>
    </row>
    <row r="92" spans="2:5" ht="15.75">
      <c r="B92" s="68">
        <v>8</v>
      </c>
      <c r="C92" s="68">
        <v>8</v>
      </c>
      <c r="D92" s="68">
        <v>8</v>
      </c>
      <c r="E92" s="68">
        <v>8</v>
      </c>
    </row>
    <row r="93" spans="2:5" ht="15.75">
      <c r="B93" s="68">
        <v>9</v>
      </c>
      <c r="C93" s="68">
        <v>9</v>
      </c>
      <c r="D93" s="68">
        <v>9</v>
      </c>
      <c r="E93" s="68">
        <v>9</v>
      </c>
    </row>
    <row r="94" spans="2:5" ht="15.75">
      <c r="B94" s="68">
        <v>6</v>
      </c>
      <c r="C94" s="68">
        <v>6</v>
      </c>
      <c r="D94" s="68">
        <v>6</v>
      </c>
      <c r="E94" s="68">
        <v>6</v>
      </c>
    </row>
    <row r="95" spans="2:5" ht="15.75">
      <c r="B95" s="68">
        <v>4</v>
      </c>
      <c r="C95" s="68">
        <v>4</v>
      </c>
      <c r="D95" s="68">
        <v>4</v>
      </c>
      <c r="E95" s="68">
        <v>4</v>
      </c>
    </row>
    <row r="96" spans="2:5" ht="15.75">
      <c r="B96" s="68">
        <v>6</v>
      </c>
      <c r="C96" s="68">
        <v>6</v>
      </c>
      <c r="D96" s="68">
        <v>6</v>
      </c>
      <c r="E96" s="68">
        <v>6</v>
      </c>
    </row>
    <row r="97" spans="2:5" ht="15.75">
      <c r="B97" s="68">
        <v>6</v>
      </c>
      <c r="C97" s="68">
        <v>6</v>
      </c>
      <c r="D97" s="68">
        <v>6</v>
      </c>
      <c r="E97" s="68">
        <v>6</v>
      </c>
    </row>
    <row r="98" spans="2:5" ht="15.75">
      <c r="B98" s="68">
        <v>5</v>
      </c>
      <c r="C98" s="68">
        <v>5</v>
      </c>
      <c r="D98" s="68">
        <v>5</v>
      </c>
      <c r="E98" s="68">
        <v>5</v>
      </c>
    </row>
    <row r="99" spans="2:5" ht="15.75">
      <c r="B99" s="68">
        <v>10</v>
      </c>
      <c r="C99" s="68">
        <v>10</v>
      </c>
      <c r="D99" s="68">
        <v>10</v>
      </c>
      <c r="E99" s="68">
        <v>10</v>
      </c>
    </row>
    <row r="100" spans="2:5" ht="15.75">
      <c r="B100" s="68">
        <v>8</v>
      </c>
      <c r="C100" s="68">
        <v>8</v>
      </c>
      <c r="D100" s="68">
        <v>8</v>
      </c>
      <c r="E100" s="68">
        <v>8</v>
      </c>
    </row>
    <row r="101" spans="2:5" ht="15.75">
      <c r="B101" s="68">
        <v>10</v>
      </c>
      <c r="C101" s="68">
        <v>10</v>
      </c>
      <c r="D101" s="68">
        <v>10</v>
      </c>
      <c r="E101" s="68">
        <v>10</v>
      </c>
    </row>
    <row r="102" spans="2:5" ht="15.75">
      <c r="B102" s="68">
        <v>10</v>
      </c>
      <c r="C102" s="68">
        <v>10</v>
      </c>
      <c r="D102" s="68">
        <v>10</v>
      </c>
      <c r="E102" s="68">
        <v>10</v>
      </c>
    </row>
    <row r="103" spans="2:5" ht="15.75">
      <c r="B103" s="68">
        <v>10</v>
      </c>
      <c r="C103" s="68">
        <v>10</v>
      </c>
      <c r="D103" s="68">
        <v>10</v>
      </c>
      <c r="E103" s="68">
        <v>10</v>
      </c>
    </row>
    <row r="104" spans="2:5" ht="15.75">
      <c r="B104" s="68">
        <v>1</v>
      </c>
      <c r="C104" s="68">
        <v>1</v>
      </c>
      <c r="D104" s="68">
        <v>1</v>
      </c>
      <c r="E104" s="68">
        <v>1</v>
      </c>
    </row>
    <row r="105" spans="2:5" ht="15.75">
      <c r="B105" s="68">
        <v>6</v>
      </c>
      <c r="C105" s="68">
        <v>6</v>
      </c>
      <c r="D105" s="68">
        <v>6</v>
      </c>
      <c r="E105" s="68">
        <v>6</v>
      </c>
    </row>
    <row r="106" spans="2:5" ht="15.75">
      <c r="B106" s="68">
        <v>4</v>
      </c>
      <c r="C106" s="68">
        <v>4</v>
      </c>
      <c r="D106" s="68">
        <v>4</v>
      </c>
      <c r="E106" s="68">
        <v>4</v>
      </c>
    </row>
    <row r="107" spans="2:5" ht="15.75">
      <c r="B107" s="68">
        <v>8</v>
      </c>
      <c r="C107" s="68">
        <v>8</v>
      </c>
      <c r="D107" s="68">
        <v>8</v>
      </c>
      <c r="E107" s="68">
        <v>8</v>
      </c>
    </row>
    <row r="108" spans="2:5" ht="15.75">
      <c r="B108" s="68">
        <v>7</v>
      </c>
      <c r="C108" s="68">
        <v>7</v>
      </c>
      <c r="D108" s="68">
        <v>7</v>
      </c>
      <c r="E108" s="68">
        <v>7</v>
      </c>
    </row>
    <row r="109" spans="2:5" ht="15.75">
      <c r="B109" s="68">
        <v>6</v>
      </c>
      <c r="C109" s="68">
        <v>6</v>
      </c>
      <c r="D109" s="68">
        <v>6</v>
      </c>
      <c r="E109" s="68">
        <v>6</v>
      </c>
    </row>
    <row r="110" spans="2:5" ht="15.75">
      <c r="B110" s="68">
        <v>8</v>
      </c>
      <c r="C110" s="68">
        <v>8</v>
      </c>
      <c r="D110" s="68">
        <v>8</v>
      </c>
      <c r="E110" s="68">
        <v>8</v>
      </c>
    </row>
    <row r="111" spans="2:5" ht="15.75">
      <c r="B111" s="68">
        <v>5</v>
      </c>
      <c r="C111" s="68">
        <v>5</v>
      </c>
      <c r="D111" s="68">
        <v>5</v>
      </c>
      <c r="E111" s="68">
        <v>5</v>
      </c>
    </row>
    <row r="112" spans="2:5" ht="15.75">
      <c r="B112" s="68">
        <v>1</v>
      </c>
      <c r="C112" s="68">
        <v>1</v>
      </c>
      <c r="D112" s="68">
        <v>1</v>
      </c>
      <c r="E112" s="68">
        <v>1</v>
      </c>
    </row>
    <row r="113" spans="2:5" ht="15.75">
      <c r="B113" s="68">
        <v>9</v>
      </c>
      <c r="C113" s="68">
        <v>9</v>
      </c>
      <c r="D113" s="68">
        <v>9</v>
      </c>
      <c r="E113" s="68">
        <v>9</v>
      </c>
    </row>
    <row r="114" spans="2:5" ht="15.75">
      <c r="B114" s="68">
        <v>6</v>
      </c>
      <c r="C114" s="68">
        <v>6</v>
      </c>
      <c r="D114" s="68">
        <v>6</v>
      </c>
      <c r="E114" s="68">
        <v>6</v>
      </c>
    </row>
    <row r="115" spans="2:5" ht="15.75">
      <c r="B115" s="68">
        <v>8</v>
      </c>
      <c r="C115" s="68">
        <v>8</v>
      </c>
      <c r="D115" s="68">
        <v>8</v>
      </c>
      <c r="E115" s="68">
        <v>8</v>
      </c>
    </row>
    <row r="116" spans="2:5" ht="15.75">
      <c r="B116" s="68">
        <v>1</v>
      </c>
      <c r="C116" s="68">
        <v>1</v>
      </c>
      <c r="D116" s="68">
        <v>1</v>
      </c>
      <c r="E116" s="68">
        <v>1</v>
      </c>
    </row>
    <row r="117" spans="2:5" ht="15.75">
      <c r="B117" s="68">
        <v>7</v>
      </c>
      <c r="C117" s="68">
        <v>7</v>
      </c>
      <c r="D117" s="68">
        <v>7</v>
      </c>
      <c r="E117" s="68">
        <v>7</v>
      </c>
    </row>
    <row r="118" spans="2:5" ht="15.75">
      <c r="B118" s="68">
        <v>2</v>
      </c>
      <c r="C118" s="68">
        <v>2</v>
      </c>
      <c r="D118" s="68">
        <v>2</v>
      </c>
      <c r="E118" s="68">
        <v>2</v>
      </c>
    </row>
    <row r="119" spans="2:5" ht="15.75">
      <c r="B119" s="68">
        <v>10</v>
      </c>
      <c r="C119" s="68">
        <v>10</v>
      </c>
      <c r="D119" s="68">
        <v>10</v>
      </c>
      <c r="E119" s="68">
        <v>10</v>
      </c>
    </row>
    <row r="120" spans="2:5" ht="15.75">
      <c r="B120" s="68">
        <v>8</v>
      </c>
      <c r="C120" s="68">
        <v>8</v>
      </c>
      <c r="D120" s="68">
        <v>8</v>
      </c>
      <c r="E120" s="68">
        <v>8</v>
      </c>
    </row>
    <row r="121" spans="2:5" ht="15.75">
      <c r="B121" s="68">
        <v>6</v>
      </c>
      <c r="C121" s="68">
        <v>6</v>
      </c>
      <c r="D121" s="68">
        <v>6</v>
      </c>
      <c r="E121" s="68">
        <v>6</v>
      </c>
    </row>
    <row r="122" spans="2:5" ht="15.75">
      <c r="B122" s="68">
        <v>7</v>
      </c>
      <c r="C122" s="68">
        <v>7</v>
      </c>
      <c r="D122" s="68">
        <v>7</v>
      </c>
      <c r="E122" s="68">
        <v>7</v>
      </c>
    </row>
    <row r="123" spans="2:5" ht="15.75">
      <c r="B123" s="68">
        <v>5</v>
      </c>
      <c r="C123" s="68">
        <v>5</v>
      </c>
      <c r="D123" s="68">
        <v>5</v>
      </c>
      <c r="E123" s="68">
        <v>5</v>
      </c>
    </row>
    <row r="124" spans="2:5" ht="15.75">
      <c r="B124" s="68">
        <v>5</v>
      </c>
      <c r="C124" s="68">
        <v>5</v>
      </c>
      <c r="D124" s="68">
        <v>5</v>
      </c>
      <c r="E124" s="68">
        <v>5</v>
      </c>
    </row>
    <row r="125" spans="2:5" ht="15.75">
      <c r="B125" s="68">
        <v>8</v>
      </c>
      <c r="C125" s="68">
        <v>8</v>
      </c>
      <c r="D125" s="68">
        <v>8</v>
      </c>
      <c r="E125" s="68">
        <v>8</v>
      </c>
    </row>
    <row r="126" spans="2:5" ht="15.75">
      <c r="B126" s="68">
        <v>6</v>
      </c>
      <c r="C126" s="68">
        <v>6</v>
      </c>
      <c r="D126" s="68">
        <v>6</v>
      </c>
      <c r="E126" s="68">
        <v>6</v>
      </c>
    </row>
    <row r="127" spans="2:5" ht="15.75">
      <c r="B127" s="68">
        <v>8</v>
      </c>
      <c r="C127" s="68">
        <v>8</v>
      </c>
      <c r="D127" s="68">
        <v>8</v>
      </c>
      <c r="E127" s="68">
        <v>8</v>
      </c>
    </row>
    <row r="128" spans="2:5" ht="15.75">
      <c r="B128" s="68">
        <v>8</v>
      </c>
      <c r="C128" s="68">
        <v>8</v>
      </c>
      <c r="D128" s="68">
        <v>8</v>
      </c>
      <c r="E128" s="68">
        <v>8</v>
      </c>
    </row>
    <row r="129" spans="2:5" ht="15.75">
      <c r="B129" s="68">
        <v>6</v>
      </c>
      <c r="C129" s="68">
        <v>6</v>
      </c>
      <c r="D129" s="68">
        <v>6</v>
      </c>
      <c r="E129" s="68">
        <v>6</v>
      </c>
    </row>
    <row r="130" spans="2:5" ht="15.75">
      <c r="B130" s="68">
        <v>3</v>
      </c>
      <c r="C130" s="68">
        <v>3</v>
      </c>
      <c r="D130" s="68">
        <v>3</v>
      </c>
      <c r="E130" s="68">
        <v>3</v>
      </c>
    </row>
    <row r="131" spans="2:5" ht="15.75">
      <c r="B131" s="68">
        <v>8</v>
      </c>
      <c r="C131" s="68">
        <v>8</v>
      </c>
      <c r="D131" s="68">
        <v>8</v>
      </c>
      <c r="E131" s="68">
        <v>8</v>
      </c>
    </row>
    <row r="132" spans="2:5" ht="15.75">
      <c r="B132" s="68">
        <v>10</v>
      </c>
      <c r="C132" s="68">
        <v>10</v>
      </c>
      <c r="D132" s="68">
        <v>10</v>
      </c>
      <c r="E132" s="68">
        <v>10</v>
      </c>
    </row>
    <row r="133" spans="2:5" ht="15.75">
      <c r="B133" s="68">
        <v>8</v>
      </c>
      <c r="C133" s="68">
        <v>8</v>
      </c>
      <c r="D133" s="68">
        <v>8</v>
      </c>
      <c r="E133" s="68">
        <v>8</v>
      </c>
    </row>
    <row r="134" spans="2:5" ht="15.75">
      <c r="B134" s="68">
        <v>7</v>
      </c>
      <c r="C134" s="68">
        <v>7</v>
      </c>
      <c r="D134" s="68">
        <v>7</v>
      </c>
      <c r="E134" s="68">
        <v>7</v>
      </c>
    </row>
    <row r="135" spans="2:5" ht="15.75">
      <c r="B135" s="68">
        <v>3</v>
      </c>
      <c r="C135" s="68">
        <v>3</v>
      </c>
      <c r="D135" s="68">
        <v>3</v>
      </c>
      <c r="E135" s="68">
        <v>3</v>
      </c>
    </row>
    <row r="136" spans="2:5" ht="15.75">
      <c r="B136" s="68">
        <v>9</v>
      </c>
      <c r="C136" s="68">
        <v>9</v>
      </c>
      <c r="D136" s="68">
        <v>9</v>
      </c>
      <c r="E136" s="68">
        <v>9</v>
      </c>
    </row>
    <row r="137" spans="2:5" ht="15.75">
      <c r="B137" s="68">
        <v>5</v>
      </c>
      <c r="C137" s="68">
        <v>5</v>
      </c>
      <c r="D137" s="68">
        <v>5</v>
      </c>
      <c r="E137" s="68">
        <v>5</v>
      </c>
    </row>
    <row r="138" spans="2:5" ht="15.75">
      <c r="B138" s="68">
        <v>2</v>
      </c>
      <c r="C138" s="68">
        <v>2</v>
      </c>
      <c r="D138" s="68">
        <v>2</v>
      </c>
      <c r="E138" s="68">
        <v>2</v>
      </c>
    </row>
    <row r="139" spans="2:5" ht="15.75">
      <c r="B139" s="68">
        <v>4</v>
      </c>
      <c r="C139" s="68">
        <v>4</v>
      </c>
      <c r="D139" s="68">
        <v>4</v>
      </c>
      <c r="E139" s="68">
        <v>4</v>
      </c>
    </row>
    <row r="140" spans="2:5" ht="15.75">
      <c r="B140" s="68">
        <v>5</v>
      </c>
      <c r="C140" s="68">
        <v>5</v>
      </c>
      <c r="D140" s="68">
        <v>5</v>
      </c>
      <c r="E140" s="68">
        <v>5</v>
      </c>
    </row>
    <row r="141" spans="2:5" ht="15.75">
      <c r="B141" s="68">
        <v>6</v>
      </c>
      <c r="C141" s="68">
        <v>6</v>
      </c>
      <c r="D141" s="68">
        <v>6</v>
      </c>
      <c r="E141" s="68">
        <v>6</v>
      </c>
    </row>
    <row r="142" spans="2:5" ht="15.75">
      <c r="B142" s="68">
        <v>4</v>
      </c>
      <c r="C142" s="68">
        <v>4</v>
      </c>
      <c r="D142" s="68">
        <v>4</v>
      </c>
      <c r="E142" s="68">
        <v>4</v>
      </c>
    </row>
    <row r="143" spans="2:5" ht="15.75">
      <c r="B143" s="68">
        <v>7</v>
      </c>
      <c r="C143" s="68">
        <v>7</v>
      </c>
      <c r="D143" s="68">
        <v>7</v>
      </c>
      <c r="E143" s="68">
        <v>7</v>
      </c>
    </row>
    <row r="144" spans="2:5" ht="15.75">
      <c r="B144" s="68">
        <v>10</v>
      </c>
      <c r="C144" s="68">
        <v>10</v>
      </c>
      <c r="D144" s="68">
        <v>10</v>
      </c>
      <c r="E144" s="68">
        <v>10</v>
      </c>
    </row>
    <row r="145" spans="2:5" ht="15.75">
      <c r="B145" s="68">
        <v>9</v>
      </c>
      <c r="C145" s="68">
        <v>9</v>
      </c>
      <c r="D145" s="68">
        <v>9</v>
      </c>
      <c r="E145" s="68">
        <v>9</v>
      </c>
    </row>
    <row r="146" spans="2:5" ht="15.75">
      <c r="B146" s="68">
        <v>9</v>
      </c>
      <c r="C146" s="68">
        <v>9</v>
      </c>
      <c r="D146" s="68">
        <v>9</v>
      </c>
      <c r="E146" s="68">
        <v>9</v>
      </c>
    </row>
    <row r="147" spans="2:5" ht="15.75">
      <c r="B147" s="68">
        <v>9</v>
      </c>
      <c r="C147" s="68">
        <v>9</v>
      </c>
      <c r="D147" s="68">
        <v>9</v>
      </c>
      <c r="E147" s="68">
        <v>9</v>
      </c>
    </row>
    <row r="148" spans="2:5" ht="15.75">
      <c r="B148" s="68">
        <v>9</v>
      </c>
      <c r="C148" s="68">
        <v>9</v>
      </c>
      <c r="D148" s="68">
        <v>9</v>
      </c>
      <c r="E148" s="68">
        <v>9</v>
      </c>
    </row>
    <row r="149" spans="2:5" ht="15.75">
      <c r="B149" s="68">
        <v>9</v>
      </c>
      <c r="C149" s="68">
        <v>9</v>
      </c>
      <c r="D149" s="68">
        <v>9</v>
      </c>
      <c r="E149" s="68">
        <v>9</v>
      </c>
    </row>
    <row r="150" spans="2:5" ht="15.75">
      <c r="B150" s="68">
        <v>3</v>
      </c>
      <c r="C150" s="68">
        <v>3</v>
      </c>
      <c r="D150" s="68">
        <v>3</v>
      </c>
      <c r="E150" s="68">
        <v>3</v>
      </c>
    </row>
    <row r="151" spans="2:5" ht="15.75">
      <c r="B151" s="68">
        <v>7</v>
      </c>
      <c r="C151" s="68">
        <v>7</v>
      </c>
      <c r="D151" s="68">
        <v>7</v>
      </c>
      <c r="E151" s="68">
        <v>7</v>
      </c>
    </row>
    <row r="152" spans="2:5" ht="15.75">
      <c r="B152" s="68">
        <v>5</v>
      </c>
      <c r="C152" s="68">
        <v>5</v>
      </c>
      <c r="D152" s="68">
        <v>5</v>
      </c>
      <c r="E152" s="68">
        <v>5</v>
      </c>
    </row>
    <row r="153" spans="2:5" ht="15.75">
      <c r="B153" s="68">
        <v>3</v>
      </c>
      <c r="C153" s="68">
        <v>3</v>
      </c>
      <c r="D153" s="68">
        <v>3</v>
      </c>
      <c r="E153" s="68">
        <v>3</v>
      </c>
    </row>
    <row r="154" spans="2:5" ht="15.75">
      <c r="B154" s="68">
        <v>3</v>
      </c>
      <c r="C154" s="68">
        <v>3</v>
      </c>
      <c r="D154" s="68">
        <v>3</v>
      </c>
      <c r="E154" s="68">
        <v>3</v>
      </c>
    </row>
    <row r="155" spans="2:5" ht="15.75">
      <c r="B155" s="68">
        <v>6</v>
      </c>
      <c r="C155" s="68">
        <v>6</v>
      </c>
      <c r="D155" s="68">
        <v>6</v>
      </c>
      <c r="E155" s="68">
        <v>6</v>
      </c>
    </row>
    <row r="156" spans="2:5" ht="15.75">
      <c r="B156" s="68">
        <v>7</v>
      </c>
      <c r="C156" s="68">
        <v>7</v>
      </c>
      <c r="D156" s="68">
        <v>7</v>
      </c>
      <c r="E156" s="68">
        <v>7</v>
      </c>
    </row>
    <row r="157" spans="2:5" ht="15.75">
      <c r="B157" s="68">
        <v>5</v>
      </c>
      <c r="C157" s="68">
        <v>5</v>
      </c>
      <c r="D157" s="68">
        <v>5</v>
      </c>
      <c r="E157" s="68">
        <v>5</v>
      </c>
    </row>
    <row r="158" spans="2:5" ht="15.75">
      <c r="B158" s="68">
        <v>2</v>
      </c>
      <c r="C158" s="68">
        <v>2</v>
      </c>
      <c r="D158" s="68">
        <v>2</v>
      </c>
      <c r="E158" s="68">
        <v>2</v>
      </c>
    </row>
    <row r="159" spans="2:5" ht="15.75">
      <c r="B159" s="68">
        <v>2</v>
      </c>
      <c r="C159" s="68">
        <v>2</v>
      </c>
      <c r="D159" s="68">
        <v>2</v>
      </c>
      <c r="E159" s="68">
        <v>2</v>
      </c>
    </row>
    <row r="160" spans="2:5" ht="15.75">
      <c r="B160" s="68">
        <v>9</v>
      </c>
      <c r="C160" s="68">
        <v>9</v>
      </c>
      <c r="D160" s="68">
        <v>9</v>
      </c>
      <c r="E160" s="68">
        <v>9</v>
      </c>
    </row>
    <row r="161" spans="2:5" ht="15.75">
      <c r="B161" s="68">
        <v>4</v>
      </c>
      <c r="C161" s="68">
        <v>4</v>
      </c>
      <c r="D161" s="68">
        <v>4</v>
      </c>
      <c r="E161" s="68">
        <v>4</v>
      </c>
    </row>
    <row r="162" spans="2:5" ht="15.75">
      <c r="B162" s="68">
        <v>6</v>
      </c>
      <c r="C162" s="68">
        <v>6</v>
      </c>
      <c r="D162" s="68">
        <v>6</v>
      </c>
      <c r="E162" s="68">
        <v>6</v>
      </c>
    </row>
    <row r="163" spans="2:5" ht="15.75">
      <c r="B163" s="68">
        <v>3</v>
      </c>
      <c r="C163" s="68">
        <v>3</v>
      </c>
      <c r="D163" s="68">
        <v>3</v>
      </c>
      <c r="E163" s="68">
        <v>3</v>
      </c>
    </row>
    <row r="164" spans="2:5" ht="15.75">
      <c r="B164" s="68">
        <v>9</v>
      </c>
      <c r="C164" s="68">
        <v>9</v>
      </c>
      <c r="D164" s="68">
        <v>9</v>
      </c>
      <c r="E164" s="68">
        <v>9</v>
      </c>
    </row>
    <row r="165" spans="2:5" ht="15.75">
      <c r="B165" s="68">
        <v>10</v>
      </c>
      <c r="C165" s="68">
        <v>10</v>
      </c>
      <c r="D165" s="68">
        <v>10</v>
      </c>
      <c r="E165" s="68">
        <v>10</v>
      </c>
    </row>
    <row r="166" spans="2:5" ht="15.75">
      <c r="B166" s="68">
        <v>2</v>
      </c>
      <c r="C166" s="68">
        <v>2</v>
      </c>
      <c r="D166" s="68">
        <v>2</v>
      </c>
      <c r="E166" s="68">
        <v>2</v>
      </c>
    </row>
    <row r="167" spans="2:5" ht="15.75">
      <c r="B167" s="68">
        <v>5</v>
      </c>
      <c r="C167" s="68">
        <v>5</v>
      </c>
      <c r="D167" s="68">
        <v>5</v>
      </c>
      <c r="E167" s="68">
        <v>5</v>
      </c>
    </row>
    <row r="168" spans="2:5" ht="15.75">
      <c r="B168" s="68">
        <v>5</v>
      </c>
      <c r="C168" s="68">
        <v>5</v>
      </c>
      <c r="D168" s="68">
        <v>5</v>
      </c>
      <c r="E168" s="68">
        <v>5</v>
      </c>
    </row>
    <row r="169" spans="2:5" ht="15.75">
      <c r="B169" s="68">
        <v>9</v>
      </c>
      <c r="C169" s="68">
        <v>9</v>
      </c>
      <c r="D169" s="68">
        <v>9</v>
      </c>
      <c r="E169" s="68">
        <v>9</v>
      </c>
    </row>
    <row r="170" spans="2:5" ht="15.75">
      <c r="B170" s="68">
        <v>2</v>
      </c>
      <c r="C170" s="68">
        <v>2</v>
      </c>
      <c r="D170" s="68">
        <v>2</v>
      </c>
      <c r="E170" s="68">
        <v>2</v>
      </c>
    </row>
    <row r="171" spans="2:5" ht="15.75">
      <c r="B171" s="68">
        <v>3</v>
      </c>
      <c r="C171" s="68">
        <v>3</v>
      </c>
      <c r="D171" s="68">
        <v>3</v>
      </c>
      <c r="E171" s="68">
        <v>3</v>
      </c>
    </row>
    <row r="172" spans="2:5" ht="15.75">
      <c r="B172" s="68">
        <v>4</v>
      </c>
      <c r="C172" s="68">
        <v>4</v>
      </c>
      <c r="D172" s="68">
        <v>4</v>
      </c>
      <c r="E172" s="68">
        <v>4</v>
      </c>
    </row>
    <row r="173" spans="2:5" ht="15.75">
      <c r="B173" s="68">
        <v>7</v>
      </c>
      <c r="C173" s="68">
        <v>7</v>
      </c>
      <c r="D173" s="68">
        <v>7</v>
      </c>
      <c r="E173" s="68">
        <v>7</v>
      </c>
    </row>
    <row r="174" spans="2:5" ht="15.75">
      <c r="B174" s="68">
        <v>9</v>
      </c>
      <c r="C174" s="68">
        <v>9</v>
      </c>
      <c r="D174" s="68">
        <v>9</v>
      </c>
      <c r="E174" s="68">
        <v>9</v>
      </c>
    </row>
    <row r="175" spans="2:5" ht="15.75">
      <c r="B175" s="68">
        <v>2</v>
      </c>
      <c r="C175" s="68">
        <v>2</v>
      </c>
      <c r="D175" s="68">
        <v>2</v>
      </c>
      <c r="E175" s="68">
        <v>2</v>
      </c>
    </row>
    <row r="176" spans="2:5" ht="15.75">
      <c r="B176" s="68">
        <v>1</v>
      </c>
      <c r="C176" s="68">
        <v>1</v>
      </c>
      <c r="D176" s="68">
        <v>1</v>
      </c>
      <c r="E176" s="68">
        <v>1</v>
      </c>
    </row>
    <row r="177" spans="2:5" ht="15.75">
      <c r="B177" s="68">
        <v>4</v>
      </c>
      <c r="C177" s="68">
        <v>4</v>
      </c>
      <c r="D177" s="68">
        <v>4</v>
      </c>
      <c r="E177" s="68">
        <v>4</v>
      </c>
    </row>
    <row r="178" spans="2:5" ht="15.75">
      <c r="B178" s="68">
        <v>4</v>
      </c>
      <c r="C178" s="68">
        <v>4</v>
      </c>
      <c r="D178" s="68">
        <v>4</v>
      </c>
      <c r="E178" s="68">
        <v>4</v>
      </c>
    </row>
    <row r="179" spans="2:5" ht="15.75">
      <c r="B179" s="68">
        <v>9</v>
      </c>
      <c r="C179" s="68">
        <v>9</v>
      </c>
      <c r="D179" s="68">
        <v>9</v>
      </c>
      <c r="E179" s="68">
        <v>9</v>
      </c>
    </row>
    <row r="180" spans="2:5" ht="15.75">
      <c r="B180" s="68">
        <v>10</v>
      </c>
      <c r="C180" s="68">
        <v>10</v>
      </c>
      <c r="D180" s="68">
        <v>10</v>
      </c>
      <c r="E180" s="68">
        <v>10</v>
      </c>
    </row>
    <row r="181" spans="2:5" ht="15.75">
      <c r="B181" s="68">
        <v>1</v>
      </c>
      <c r="C181" s="68">
        <v>1</v>
      </c>
      <c r="D181" s="68">
        <v>1</v>
      </c>
      <c r="E181" s="68">
        <v>1</v>
      </c>
    </row>
    <row r="182" spans="2:5" ht="15.75">
      <c r="B182" s="68">
        <v>7</v>
      </c>
      <c r="C182" s="68">
        <v>7</v>
      </c>
      <c r="D182" s="68">
        <v>7</v>
      </c>
      <c r="E182" s="68">
        <v>7</v>
      </c>
    </row>
    <row r="183" spans="2:5" ht="15.75">
      <c r="B183" s="68">
        <v>10</v>
      </c>
      <c r="C183" s="68">
        <v>10</v>
      </c>
      <c r="D183" s="68">
        <v>10</v>
      </c>
      <c r="E183" s="68">
        <v>10</v>
      </c>
    </row>
    <row r="184" spans="2:5" ht="15.75">
      <c r="B184" s="68">
        <v>5</v>
      </c>
      <c r="C184" s="68">
        <v>5</v>
      </c>
      <c r="D184" s="68">
        <v>5</v>
      </c>
      <c r="E184" s="68">
        <v>5</v>
      </c>
    </row>
    <row r="185" spans="2:5" ht="15.75">
      <c r="B185" s="68">
        <v>2</v>
      </c>
      <c r="C185" s="68">
        <v>2</v>
      </c>
      <c r="D185" s="68">
        <v>2</v>
      </c>
      <c r="E185" s="68">
        <v>2</v>
      </c>
    </row>
    <row r="186" spans="2:5" ht="15.75">
      <c r="B186" s="68">
        <v>6</v>
      </c>
      <c r="C186" s="68">
        <v>6</v>
      </c>
      <c r="D186" s="68">
        <v>6</v>
      </c>
      <c r="E186" s="68">
        <v>6</v>
      </c>
    </row>
    <row r="187" spans="2:5" ht="15.75">
      <c r="B187" s="68">
        <v>10</v>
      </c>
      <c r="C187" s="68">
        <v>10</v>
      </c>
      <c r="D187" s="68">
        <v>10</v>
      </c>
      <c r="E187" s="68">
        <v>10</v>
      </c>
    </row>
    <row r="188" spans="2:5" ht="15.75">
      <c r="B188" s="68">
        <v>1</v>
      </c>
      <c r="C188" s="68">
        <v>1</v>
      </c>
      <c r="D188" s="68">
        <v>1</v>
      </c>
      <c r="E188" s="68">
        <v>1</v>
      </c>
    </row>
    <row r="189" spans="2:5" ht="15.75">
      <c r="B189" s="68">
        <v>6</v>
      </c>
      <c r="C189" s="68">
        <v>6</v>
      </c>
      <c r="D189" s="68">
        <v>6</v>
      </c>
      <c r="E189" s="68">
        <v>6</v>
      </c>
    </row>
    <row r="190" spans="2:5" ht="15.75">
      <c r="B190" s="68">
        <v>4</v>
      </c>
      <c r="C190" s="68">
        <v>4</v>
      </c>
      <c r="D190" s="68">
        <v>4</v>
      </c>
      <c r="E190" s="68">
        <v>4</v>
      </c>
    </row>
    <row r="191" spans="2:5" ht="15.75">
      <c r="B191" s="68">
        <v>5</v>
      </c>
      <c r="C191" s="68">
        <v>5</v>
      </c>
      <c r="D191" s="68">
        <v>5</v>
      </c>
      <c r="E191" s="68">
        <v>5</v>
      </c>
    </row>
    <row r="192" spans="2:5" ht="15.75">
      <c r="B192" s="68">
        <v>9</v>
      </c>
      <c r="C192" s="68">
        <v>9</v>
      </c>
      <c r="D192" s="68">
        <v>9</v>
      </c>
      <c r="E192" s="68">
        <v>9</v>
      </c>
    </row>
    <row r="193" spans="2:5" ht="15.75">
      <c r="B193" s="68">
        <v>7</v>
      </c>
      <c r="C193" s="68">
        <v>7</v>
      </c>
      <c r="D193" s="68">
        <v>7</v>
      </c>
      <c r="E193" s="68">
        <v>7</v>
      </c>
    </row>
    <row r="194" spans="2:5" ht="15.75">
      <c r="B194" s="68">
        <v>10</v>
      </c>
      <c r="C194" s="68">
        <v>10</v>
      </c>
      <c r="D194" s="68">
        <v>10</v>
      </c>
      <c r="E194" s="68">
        <v>10</v>
      </c>
    </row>
    <row r="195" spans="2:5" ht="15.75">
      <c r="B195" s="68">
        <v>7</v>
      </c>
      <c r="C195" s="68">
        <v>7</v>
      </c>
      <c r="D195" s="68">
        <v>7</v>
      </c>
      <c r="E195" s="68">
        <v>7</v>
      </c>
    </row>
    <row r="196" spans="2:5" ht="15.75">
      <c r="B196" s="68">
        <v>1</v>
      </c>
      <c r="C196" s="68">
        <v>1</v>
      </c>
      <c r="D196" s="68">
        <v>1</v>
      </c>
      <c r="E196" s="68">
        <v>1</v>
      </c>
    </row>
    <row r="197" spans="2:5" ht="15.75">
      <c r="B197" s="68">
        <v>2</v>
      </c>
      <c r="C197" s="68">
        <v>2</v>
      </c>
      <c r="D197" s="68">
        <v>2</v>
      </c>
      <c r="E197" s="68">
        <v>2</v>
      </c>
    </row>
    <row r="198" spans="2:5" ht="15.75">
      <c r="B198" s="68">
        <v>10</v>
      </c>
      <c r="C198" s="68">
        <v>10</v>
      </c>
      <c r="D198" s="68">
        <v>10</v>
      </c>
      <c r="E198" s="68">
        <v>10</v>
      </c>
    </row>
    <row r="199" spans="2:5" ht="15.75">
      <c r="B199" s="68">
        <v>5</v>
      </c>
      <c r="C199" s="68">
        <v>5</v>
      </c>
      <c r="D199" s="68">
        <v>5</v>
      </c>
      <c r="E199" s="68">
        <v>5</v>
      </c>
    </row>
    <row r="200" spans="2:5" ht="15.75">
      <c r="B200" s="68">
        <v>4</v>
      </c>
      <c r="C200" s="68">
        <v>4</v>
      </c>
      <c r="D200" s="68">
        <v>4</v>
      </c>
      <c r="E200" s="68">
        <v>4</v>
      </c>
    </row>
    <row r="201" spans="2:5" ht="15.75">
      <c r="B201" s="68">
        <v>1</v>
      </c>
      <c r="C201" s="68">
        <v>1</v>
      </c>
      <c r="D201" s="68">
        <v>1</v>
      </c>
      <c r="E201" s="68">
        <v>1</v>
      </c>
    </row>
    <row r="202" spans="2:5" ht="15.75">
      <c r="B202" s="68">
        <v>1</v>
      </c>
      <c r="C202" s="68">
        <v>1</v>
      </c>
      <c r="D202" s="68">
        <v>1</v>
      </c>
      <c r="E202" s="68">
        <v>1</v>
      </c>
    </row>
    <row r="203" spans="2:5" ht="15.75">
      <c r="B203" s="68">
        <v>4</v>
      </c>
      <c r="C203" s="68">
        <v>4</v>
      </c>
      <c r="D203" s="68">
        <v>4</v>
      </c>
      <c r="E203" s="68">
        <v>4</v>
      </c>
    </row>
    <row r="204" spans="2:5" ht="15.75">
      <c r="B204" s="68">
        <v>8</v>
      </c>
      <c r="C204" s="68">
        <v>8</v>
      </c>
      <c r="D204" s="68">
        <v>8</v>
      </c>
      <c r="E204" s="68">
        <v>8</v>
      </c>
    </row>
    <row r="205" spans="2:5" ht="15.75">
      <c r="B205" s="68">
        <v>7</v>
      </c>
      <c r="C205" s="68">
        <v>7</v>
      </c>
      <c r="D205" s="68">
        <v>7</v>
      </c>
      <c r="E205" s="68">
        <v>7</v>
      </c>
    </row>
    <row r="206" spans="2:5" ht="15.75">
      <c r="B206" s="68">
        <v>7</v>
      </c>
      <c r="C206" s="68">
        <v>7</v>
      </c>
      <c r="D206" s="68">
        <v>7</v>
      </c>
      <c r="E206" s="68">
        <v>7</v>
      </c>
    </row>
    <row r="207" spans="2:5" ht="15.75">
      <c r="B207" s="68">
        <v>3</v>
      </c>
      <c r="C207" s="68">
        <v>3</v>
      </c>
      <c r="D207" s="68">
        <v>3</v>
      </c>
      <c r="E207" s="68">
        <v>3</v>
      </c>
    </row>
    <row r="208" spans="2:5" ht="15.75">
      <c r="B208" s="68">
        <v>6</v>
      </c>
      <c r="C208" s="68">
        <v>6</v>
      </c>
      <c r="D208" s="68">
        <v>6</v>
      </c>
      <c r="E208" s="68">
        <v>6</v>
      </c>
    </row>
    <row r="209" spans="2:5" ht="15.75">
      <c r="B209" s="68">
        <v>5</v>
      </c>
      <c r="C209" s="68">
        <v>5</v>
      </c>
      <c r="D209" s="68">
        <v>5</v>
      </c>
      <c r="E209" s="68">
        <v>5</v>
      </c>
    </row>
    <row r="210" spans="2:5" ht="15.75">
      <c r="B210" s="68">
        <v>9</v>
      </c>
      <c r="C210" s="68">
        <v>9</v>
      </c>
      <c r="D210" s="68">
        <v>9</v>
      </c>
      <c r="E210" s="68">
        <v>9</v>
      </c>
    </row>
    <row r="211" spans="2:5" ht="15.75">
      <c r="B211" s="68">
        <v>10</v>
      </c>
      <c r="C211" s="68">
        <v>10</v>
      </c>
      <c r="D211" s="68">
        <v>10</v>
      </c>
      <c r="E211" s="68">
        <v>10</v>
      </c>
    </row>
    <row r="212" spans="2:5" ht="15.75">
      <c r="B212" s="68">
        <v>2</v>
      </c>
      <c r="C212" s="68">
        <v>2</v>
      </c>
      <c r="D212" s="68">
        <v>2</v>
      </c>
      <c r="E212" s="68">
        <v>2</v>
      </c>
    </row>
    <row r="213" spans="2:5" ht="15.75">
      <c r="B213" s="68">
        <v>3</v>
      </c>
      <c r="C213" s="68">
        <v>3</v>
      </c>
      <c r="D213" s="68">
        <v>3</v>
      </c>
      <c r="E213" s="68">
        <v>3</v>
      </c>
    </row>
    <row r="214" spans="2:5" ht="15.75">
      <c r="B214" s="68">
        <v>5</v>
      </c>
      <c r="C214" s="68">
        <v>5</v>
      </c>
      <c r="D214" s="68">
        <v>5</v>
      </c>
      <c r="E214" s="68">
        <v>5</v>
      </c>
    </row>
    <row r="215" spans="2:5" ht="15.75">
      <c r="B215" s="68">
        <v>7</v>
      </c>
      <c r="C215" s="68">
        <v>7</v>
      </c>
      <c r="D215" s="68">
        <v>7</v>
      </c>
      <c r="E215" s="68">
        <v>7</v>
      </c>
    </row>
    <row r="216" spans="2:5" ht="15.75">
      <c r="B216" s="68">
        <v>4</v>
      </c>
      <c r="C216" s="68">
        <v>4</v>
      </c>
      <c r="D216" s="68">
        <v>4</v>
      </c>
      <c r="E216" s="68">
        <v>4</v>
      </c>
    </row>
    <row r="217" spans="2:5" ht="15.75">
      <c r="B217" s="68">
        <v>9</v>
      </c>
      <c r="C217" s="68">
        <v>9</v>
      </c>
      <c r="D217" s="68">
        <v>9</v>
      </c>
      <c r="E217" s="68">
        <v>9</v>
      </c>
    </row>
    <row r="218" spans="2:5" ht="15.75">
      <c r="B218" s="68">
        <v>1</v>
      </c>
      <c r="C218" s="68">
        <v>1</v>
      </c>
      <c r="D218" s="68">
        <v>1</v>
      </c>
      <c r="E218" s="68">
        <v>1</v>
      </c>
    </row>
    <row r="219" spans="2:5" ht="15.75">
      <c r="B219" s="68">
        <v>6</v>
      </c>
      <c r="C219" s="68">
        <v>6</v>
      </c>
      <c r="D219" s="68">
        <v>6</v>
      </c>
      <c r="E219" s="68">
        <v>6</v>
      </c>
    </row>
    <row r="220" spans="2:5" ht="15.75">
      <c r="B220" s="68">
        <v>4</v>
      </c>
      <c r="C220" s="68">
        <v>4</v>
      </c>
      <c r="D220" s="68">
        <v>4</v>
      </c>
      <c r="E220" s="68">
        <v>4</v>
      </c>
    </row>
    <row r="221" spans="2:5" ht="15.75">
      <c r="B221" s="68">
        <v>5</v>
      </c>
      <c r="C221" s="68">
        <v>5</v>
      </c>
      <c r="D221" s="68">
        <v>5</v>
      </c>
      <c r="E221" s="68">
        <v>5</v>
      </c>
    </row>
    <row r="222" spans="2:5" ht="15.75">
      <c r="B222" s="68">
        <v>4</v>
      </c>
      <c r="C222" s="68">
        <v>4</v>
      </c>
      <c r="D222" s="68">
        <v>4</v>
      </c>
      <c r="E222" s="68">
        <v>4</v>
      </c>
    </row>
    <row r="223" spans="2:5" ht="15.75">
      <c r="B223" s="68">
        <v>4</v>
      </c>
      <c r="C223" s="68">
        <v>4</v>
      </c>
      <c r="D223" s="68">
        <v>4</v>
      </c>
      <c r="E223" s="68">
        <v>4</v>
      </c>
    </row>
    <row r="224" spans="2:5" ht="15.75">
      <c r="B224" s="68">
        <v>4</v>
      </c>
      <c r="C224" s="68">
        <v>4</v>
      </c>
      <c r="D224" s="68">
        <v>4</v>
      </c>
      <c r="E224" s="68">
        <v>4</v>
      </c>
    </row>
    <row r="225" spans="2:5" ht="15.75">
      <c r="B225" s="68">
        <v>3</v>
      </c>
      <c r="C225" s="68">
        <v>3</v>
      </c>
      <c r="D225" s="68">
        <v>3</v>
      </c>
      <c r="E225" s="68">
        <v>3</v>
      </c>
    </row>
    <row r="226" spans="2:5" ht="15.75">
      <c r="B226" s="68">
        <v>2</v>
      </c>
      <c r="C226" s="68">
        <v>2</v>
      </c>
      <c r="D226" s="68">
        <v>2</v>
      </c>
      <c r="E226" s="68">
        <v>2</v>
      </c>
    </row>
    <row r="227" spans="2:5" ht="15.75">
      <c r="B227" s="68">
        <v>5</v>
      </c>
      <c r="C227" s="68">
        <v>5</v>
      </c>
      <c r="D227" s="68">
        <v>5</v>
      </c>
      <c r="E227" s="68">
        <v>5</v>
      </c>
    </row>
    <row r="228" spans="2:5" ht="15.75">
      <c r="B228" s="68">
        <v>5</v>
      </c>
      <c r="C228" s="68">
        <v>5</v>
      </c>
      <c r="D228" s="68">
        <v>5</v>
      </c>
      <c r="E228" s="68">
        <v>5</v>
      </c>
    </row>
    <row r="229" spans="2:5" ht="15.75">
      <c r="B229" s="68">
        <v>6</v>
      </c>
      <c r="C229" s="68">
        <v>6</v>
      </c>
      <c r="D229" s="68">
        <v>6</v>
      </c>
      <c r="E229" s="68">
        <v>6</v>
      </c>
    </row>
    <row r="230" spans="2:5" ht="15.75">
      <c r="B230" s="68">
        <v>3</v>
      </c>
      <c r="C230" s="68">
        <v>3</v>
      </c>
      <c r="D230" s="68">
        <v>3</v>
      </c>
      <c r="E230" s="68">
        <v>3</v>
      </c>
    </row>
    <row r="231" spans="2:5" ht="15.75">
      <c r="B231" s="68">
        <v>9</v>
      </c>
      <c r="C231" s="68">
        <v>9</v>
      </c>
      <c r="D231" s="68">
        <v>9</v>
      </c>
      <c r="E231" s="68">
        <v>9</v>
      </c>
    </row>
    <row r="232" spans="2:5" ht="15.75">
      <c r="B232" s="68">
        <v>3</v>
      </c>
      <c r="C232" s="68">
        <v>3</v>
      </c>
      <c r="D232" s="68">
        <v>3</v>
      </c>
      <c r="E232" s="68">
        <v>3</v>
      </c>
    </row>
    <row r="233" spans="2:5" ht="15.75">
      <c r="B233" s="68">
        <v>7</v>
      </c>
      <c r="C233" s="68">
        <v>7</v>
      </c>
      <c r="D233" s="68">
        <v>7</v>
      </c>
      <c r="E233" s="68">
        <v>7</v>
      </c>
    </row>
    <row r="234" spans="2:5" ht="15.75">
      <c r="B234" s="68">
        <v>7</v>
      </c>
      <c r="C234" s="68">
        <v>7</v>
      </c>
      <c r="D234" s="68">
        <v>7</v>
      </c>
      <c r="E234" s="68">
        <v>7</v>
      </c>
    </row>
    <row r="235" spans="2:5" ht="15.75">
      <c r="B235" s="68">
        <v>5</v>
      </c>
      <c r="C235" s="68">
        <v>5</v>
      </c>
      <c r="D235" s="68">
        <v>5</v>
      </c>
      <c r="E235" s="68">
        <v>5</v>
      </c>
    </row>
    <row r="236" spans="2:5" ht="15.75">
      <c r="B236" s="68">
        <v>3</v>
      </c>
      <c r="C236" s="68">
        <v>3</v>
      </c>
      <c r="D236" s="68">
        <v>3</v>
      </c>
      <c r="E236" s="68">
        <v>3</v>
      </c>
    </row>
    <row r="237" spans="2:5" ht="15.75">
      <c r="B237" s="68">
        <v>1</v>
      </c>
      <c r="C237" s="68">
        <v>1</v>
      </c>
      <c r="D237" s="68">
        <v>1</v>
      </c>
      <c r="E237" s="68">
        <v>1</v>
      </c>
    </row>
    <row r="238" spans="2:5" ht="15.75">
      <c r="B238" s="68">
        <v>7</v>
      </c>
      <c r="C238" s="68">
        <v>7</v>
      </c>
      <c r="D238" s="68">
        <v>7</v>
      </c>
      <c r="E238" s="68">
        <v>7</v>
      </c>
    </row>
    <row r="239" spans="2:5" ht="15.75">
      <c r="B239" s="68">
        <v>10</v>
      </c>
      <c r="C239" s="68">
        <v>10</v>
      </c>
      <c r="D239" s="68">
        <v>10</v>
      </c>
      <c r="E239" s="68">
        <v>10</v>
      </c>
    </row>
    <row r="240" spans="2:5" ht="15.75">
      <c r="B240" s="68">
        <v>7</v>
      </c>
      <c r="C240" s="68">
        <v>7</v>
      </c>
      <c r="D240" s="68">
        <v>7</v>
      </c>
      <c r="E240" s="68">
        <v>7</v>
      </c>
    </row>
    <row r="241" spans="2:5" ht="15.75">
      <c r="B241" s="68">
        <v>1</v>
      </c>
      <c r="C241" s="68">
        <v>1</v>
      </c>
      <c r="D241" s="68">
        <v>1</v>
      </c>
      <c r="E241" s="68">
        <v>1</v>
      </c>
    </row>
    <row r="242" spans="2:5" ht="15.75">
      <c r="B242" s="68">
        <v>4</v>
      </c>
      <c r="C242" s="68">
        <v>4</v>
      </c>
      <c r="D242" s="68">
        <v>4</v>
      </c>
      <c r="E242" s="68">
        <v>4</v>
      </c>
    </row>
    <row r="243" spans="2:5" ht="15.75">
      <c r="B243" s="68">
        <v>10</v>
      </c>
      <c r="C243" s="68">
        <v>10</v>
      </c>
      <c r="D243" s="68">
        <v>10</v>
      </c>
      <c r="E243" s="68">
        <v>10</v>
      </c>
    </row>
    <row r="244" spans="2:5" ht="15.75">
      <c r="B244" s="68">
        <v>3</v>
      </c>
      <c r="C244" s="68">
        <v>3</v>
      </c>
      <c r="D244" s="68">
        <v>3</v>
      </c>
      <c r="E244" s="68">
        <v>3</v>
      </c>
    </row>
    <row r="245" spans="2:5" ht="15.75">
      <c r="B245" s="68">
        <v>1</v>
      </c>
      <c r="C245" s="68">
        <v>1</v>
      </c>
      <c r="D245" s="68">
        <v>1</v>
      </c>
      <c r="E245" s="68">
        <v>1</v>
      </c>
    </row>
    <row r="246" spans="2:5" ht="15.75">
      <c r="B246" s="68">
        <v>8</v>
      </c>
      <c r="C246" s="68">
        <v>8</v>
      </c>
      <c r="D246" s="68">
        <v>8</v>
      </c>
      <c r="E246" s="68">
        <v>8</v>
      </c>
    </row>
    <row r="247" spans="2:5" ht="15.75">
      <c r="B247" s="68">
        <v>8</v>
      </c>
      <c r="C247" s="68">
        <v>8</v>
      </c>
      <c r="D247" s="68">
        <v>8</v>
      </c>
      <c r="E247" s="68">
        <v>8</v>
      </c>
    </row>
    <row r="248" spans="2:5" ht="15.75">
      <c r="B248" s="68">
        <v>2</v>
      </c>
      <c r="C248" s="68">
        <v>2</v>
      </c>
      <c r="D248" s="68">
        <v>2</v>
      </c>
      <c r="E248" s="68">
        <v>2</v>
      </c>
    </row>
    <row r="249" spans="2:5" ht="15.75">
      <c r="B249" s="68">
        <v>4</v>
      </c>
      <c r="C249" s="68">
        <v>4</v>
      </c>
      <c r="D249" s="68">
        <v>4</v>
      </c>
      <c r="E249" s="68">
        <v>4</v>
      </c>
    </row>
    <row r="250" spans="2:5" ht="15.75">
      <c r="B250" s="68">
        <v>9</v>
      </c>
      <c r="C250" s="68">
        <v>9</v>
      </c>
      <c r="D250" s="68">
        <v>9</v>
      </c>
      <c r="E250" s="68">
        <v>9</v>
      </c>
    </row>
    <row r="251" spans="2:5" ht="15.75">
      <c r="B251" s="68">
        <v>10</v>
      </c>
      <c r="C251" s="68">
        <v>10</v>
      </c>
      <c r="D251" s="68">
        <v>10</v>
      </c>
      <c r="E251" s="68">
        <v>10</v>
      </c>
    </row>
    <row r="252" spans="2:5" ht="15.75">
      <c r="B252" s="68">
        <v>9</v>
      </c>
      <c r="C252" s="68">
        <v>9</v>
      </c>
      <c r="D252" s="68">
        <v>9</v>
      </c>
      <c r="E252" s="68">
        <v>9</v>
      </c>
    </row>
    <row r="253" spans="2:5" ht="15.75">
      <c r="B253" s="68">
        <v>7</v>
      </c>
      <c r="C253" s="68">
        <v>7</v>
      </c>
      <c r="D253" s="68">
        <v>7</v>
      </c>
      <c r="E253" s="68">
        <v>7</v>
      </c>
    </row>
    <row r="254" spans="2:5" ht="15.75">
      <c r="B254" s="68">
        <v>7</v>
      </c>
      <c r="C254" s="68">
        <v>7</v>
      </c>
      <c r="D254" s="68">
        <v>7</v>
      </c>
      <c r="E254" s="68">
        <v>7</v>
      </c>
    </row>
    <row r="255" spans="2:5" ht="15.75">
      <c r="B255" s="68">
        <v>4</v>
      </c>
      <c r="C255" s="68">
        <v>4</v>
      </c>
      <c r="D255" s="68">
        <v>4</v>
      </c>
      <c r="E255" s="68">
        <v>4</v>
      </c>
    </row>
    <row r="256" spans="2:5" ht="15.75">
      <c r="B256" s="68">
        <v>4</v>
      </c>
      <c r="C256" s="68">
        <v>4</v>
      </c>
      <c r="D256" s="68">
        <v>4</v>
      </c>
      <c r="E256" s="68">
        <v>4</v>
      </c>
    </row>
    <row r="257" spans="2:5" ht="15.75">
      <c r="B257" s="68">
        <v>2</v>
      </c>
      <c r="C257" s="68">
        <v>2</v>
      </c>
      <c r="D257" s="68">
        <v>2</v>
      </c>
      <c r="E257" s="68">
        <v>2</v>
      </c>
    </row>
    <row r="258" spans="2:5" ht="15.75">
      <c r="B258" s="68">
        <v>5</v>
      </c>
      <c r="C258" s="68">
        <v>5</v>
      </c>
      <c r="D258" s="68">
        <v>5</v>
      </c>
      <c r="E258" s="68">
        <v>5</v>
      </c>
    </row>
    <row r="259" spans="2:5" ht="15.75">
      <c r="B259" s="68">
        <v>4</v>
      </c>
      <c r="C259" s="68">
        <v>4</v>
      </c>
      <c r="D259" s="68">
        <v>4</v>
      </c>
      <c r="E259" s="68">
        <v>4</v>
      </c>
    </row>
    <row r="260" spans="2:5" ht="15.75">
      <c r="B260" s="68">
        <v>5</v>
      </c>
      <c r="C260" s="68">
        <v>5</v>
      </c>
      <c r="D260" s="68">
        <v>5</v>
      </c>
      <c r="E260" s="68">
        <v>5</v>
      </c>
    </row>
    <row r="261" spans="2:5" ht="15.75">
      <c r="B261" s="68">
        <v>1</v>
      </c>
      <c r="C261" s="68">
        <v>1</v>
      </c>
      <c r="D261" s="68">
        <v>1</v>
      </c>
      <c r="E261" s="68">
        <v>1</v>
      </c>
    </row>
    <row r="262" spans="2:5" ht="15.75">
      <c r="B262" s="68">
        <v>6</v>
      </c>
      <c r="C262" s="68">
        <v>6</v>
      </c>
      <c r="D262" s="68">
        <v>6</v>
      </c>
      <c r="E262" s="68">
        <v>6</v>
      </c>
    </row>
    <row r="263" spans="2:5" ht="15.75">
      <c r="B263" s="68">
        <v>10</v>
      </c>
      <c r="C263" s="68">
        <v>10</v>
      </c>
      <c r="D263" s="68">
        <v>10</v>
      </c>
      <c r="E263" s="68">
        <v>10</v>
      </c>
    </row>
    <row r="264" spans="2:5" ht="15.75">
      <c r="B264" s="68">
        <v>7</v>
      </c>
      <c r="C264" s="68">
        <v>7</v>
      </c>
      <c r="D264" s="68">
        <v>7</v>
      </c>
      <c r="E264" s="68">
        <v>7</v>
      </c>
    </row>
    <row r="265" spans="2:5" ht="15.75">
      <c r="B265" s="68">
        <v>1</v>
      </c>
      <c r="C265" s="68">
        <v>1</v>
      </c>
      <c r="D265" s="68">
        <v>1</v>
      </c>
      <c r="E265" s="68">
        <v>1</v>
      </c>
    </row>
    <row r="266" spans="2:5" ht="15.75">
      <c r="B266" s="68">
        <v>10</v>
      </c>
      <c r="C266" s="68">
        <v>10</v>
      </c>
      <c r="D266" s="68">
        <v>10</v>
      </c>
      <c r="E266" s="68">
        <v>10</v>
      </c>
    </row>
    <row r="267" spans="2:5" ht="15.75">
      <c r="B267" s="68">
        <v>1</v>
      </c>
      <c r="C267" s="68">
        <v>1</v>
      </c>
      <c r="D267" s="68">
        <v>1</v>
      </c>
      <c r="E267" s="68">
        <v>1</v>
      </c>
    </row>
    <row r="268" spans="2:5" ht="15.75">
      <c r="B268" s="68">
        <v>5</v>
      </c>
      <c r="C268" s="68">
        <v>5</v>
      </c>
      <c r="D268" s="68">
        <v>5</v>
      </c>
      <c r="E268" s="68">
        <v>5</v>
      </c>
    </row>
    <row r="269" spans="2:5" ht="15.75">
      <c r="B269" s="68">
        <v>5</v>
      </c>
      <c r="C269" s="68">
        <v>5</v>
      </c>
      <c r="D269" s="68">
        <v>5</v>
      </c>
      <c r="E269" s="68">
        <v>5</v>
      </c>
    </row>
    <row r="270" spans="2:5" ht="15.75">
      <c r="B270" s="68">
        <v>6</v>
      </c>
      <c r="C270" s="68">
        <v>6</v>
      </c>
      <c r="D270" s="68">
        <v>6</v>
      </c>
      <c r="E270" s="68">
        <v>6</v>
      </c>
    </row>
    <row r="271" spans="2:5" ht="15.75">
      <c r="B271" s="68">
        <v>9</v>
      </c>
      <c r="C271" s="68">
        <v>9</v>
      </c>
      <c r="D271" s="68">
        <v>9</v>
      </c>
      <c r="E271" s="68">
        <v>9</v>
      </c>
    </row>
    <row r="272" spans="2:5" ht="15.75">
      <c r="B272" s="68">
        <v>6</v>
      </c>
      <c r="C272" s="68">
        <v>6</v>
      </c>
      <c r="D272" s="68">
        <v>6</v>
      </c>
      <c r="E272" s="68">
        <v>6</v>
      </c>
    </row>
    <row r="273" spans="2:5" ht="15.75">
      <c r="B273" s="68">
        <v>4</v>
      </c>
      <c r="C273" s="68">
        <v>4</v>
      </c>
      <c r="D273" s="68">
        <v>4</v>
      </c>
      <c r="E273" s="68">
        <v>4</v>
      </c>
    </row>
    <row r="274" spans="2:5" ht="15.75">
      <c r="B274" s="68">
        <v>5</v>
      </c>
      <c r="C274" s="68">
        <v>5</v>
      </c>
      <c r="D274" s="68">
        <v>5</v>
      </c>
      <c r="E274" s="68">
        <v>5</v>
      </c>
    </row>
    <row r="275" spans="2:5" ht="15.75">
      <c r="B275" s="68">
        <v>10</v>
      </c>
      <c r="C275" s="68">
        <v>10</v>
      </c>
      <c r="D275" s="68">
        <v>10</v>
      </c>
      <c r="E275" s="68">
        <v>10</v>
      </c>
    </row>
    <row r="276" spans="2:5" ht="15.75">
      <c r="B276" s="68">
        <v>2</v>
      </c>
      <c r="C276" s="68">
        <v>2</v>
      </c>
      <c r="D276" s="68">
        <v>2</v>
      </c>
      <c r="E276" s="68">
        <v>2</v>
      </c>
    </row>
    <row r="277" spans="2:5" ht="15.75">
      <c r="B277" s="68">
        <v>5</v>
      </c>
      <c r="C277" s="68">
        <v>5</v>
      </c>
      <c r="D277" s="68">
        <v>5</v>
      </c>
      <c r="E277" s="68">
        <v>5</v>
      </c>
    </row>
    <row r="278" spans="2:5" ht="15.75">
      <c r="B278" s="68">
        <v>3</v>
      </c>
      <c r="C278" s="68">
        <v>3</v>
      </c>
      <c r="D278" s="68">
        <v>3</v>
      </c>
      <c r="E278" s="68">
        <v>3</v>
      </c>
    </row>
    <row r="279" spans="2:5" ht="15.75">
      <c r="B279" s="68">
        <v>1</v>
      </c>
      <c r="C279" s="68">
        <v>1</v>
      </c>
      <c r="D279" s="68">
        <v>1</v>
      </c>
      <c r="E279" s="68">
        <v>1</v>
      </c>
    </row>
    <row r="280" spans="2:5" ht="15.75">
      <c r="B280" s="68">
        <v>1</v>
      </c>
      <c r="C280" s="68">
        <v>1</v>
      </c>
      <c r="D280" s="68">
        <v>1</v>
      </c>
      <c r="E280" s="68">
        <v>1</v>
      </c>
    </row>
    <row r="281" spans="2:5" ht="15.75">
      <c r="B281" s="68">
        <v>2</v>
      </c>
      <c r="C281" s="68">
        <v>2</v>
      </c>
      <c r="D281" s="68">
        <v>2</v>
      </c>
      <c r="E281" s="68">
        <v>2</v>
      </c>
    </row>
    <row r="282" spans="2:5" ht="15.75">
      <c r="B282" s="68">
        <v>7</v>
      </c>
      <c r="C282" s="68">
        <v>7</v>
      </c>
      <c r="D282" s="68">
        <v>7</v>
      </c>
      <c r="E282" s="68">
        <v>7</v>
      </c>
    </row>
    <row r="283" spans="2:5" ht="15.75">
      <c r="B283" s="68">
        <v>3</v>
      </c>
      <c r="C283" s="68">
        <v>3</v>
      </c>
      <c r="D283" s="68">
        <v>3</v>
      </c>
      <c r="E283" s="68">
        <v>3</v>
      </c>
    </row>
    <row r="284" spans="2:5" ht="15.75">
      <c r="B284" s="68">
        <v>3</v>
      </c>
      <c r="C284" s="68">
        <v>3</v>
      </c>
      <c r="D284" s="68">
        <v>3</v>
      </c>
      <c r="E284" s="68">
        <v>3</v>
      </c>
    </row>
    <row r="285" spans="2:5" ht="15.75">
      <c r="B285" s="68">
        <v>7</v>
      </c>
      <c r="C285" s="68">
        <v>7</v>
      </c>
      <c r="D285" s="68">
        <v>7</v>
      </c>
      <c r="E285" s="68">
        <v>7</v>
      </c>
    </row>
    <row r="286" spans="2:5" ht="15.75">
      <c r="B286" s="68">
        <v>3</v>
      </c>
      <c r="C286" s="68">
        <v>3</v>
      </c>
      <c r="D286" s="68">
        <v>3</v>
      </c>
      <c r="E286" s="68">
        <v>3</v>
      </c>
    </row>
    <row r="287" spans="2:5" ht="15.75">
      <c r="B287" s="68">
        <v>5</v>
      </c>
      <c r="C287" s="68">
        <v>5</v>
      </c>
      <c r="D287" s="68">
        <v>5</v>
      </c>
      <c r="E287" s="68">
        <v>5</v>
      </c>
    </row>
    <row r="288" spans="2:5" ht="15.75">
      <c r="B288" s="68">
        <v>2</v>
      </c>
      <c r="C288" s="68">
        <v>2</v>
      </c>
      <c r="D288" s="68">
        <v>2</v>
      </c>
      <c r="E288" s="68">
        <v>2</v>
      </c>
    </row>
    <row r="289" spans="2:5" ht="15.75">
      <c r="B289" s="68">
        <v>6</v>
      </c>
      <c r="C289" s="68">
        <v>6</v>
      </c>
      <c r="D289" s="68">
        <v>6</v>
      </c>
      <c r="E289" s="68">
        <v>6</v>
      </c>
    </row>
    <row r="290" spans="2:5" ht="15.75">
      <c r="B290" s="68">
        <v>9</v>
      </c>
      <c r="C290" s="68">
        <v>9</v>
      </c>
      <c r="D290" s="68">
        <v>9</v>
      </c>
      <c r="E290" s="68">
        <v>9</v>
      </c>
    </row>
    <row r="291" spans="2:5" ht="15.75">
      <c r="B291" s="68">
        <v>4</v>
      </c>
      <c r="C291" s="68">
        <v>4</v>
      </c>
      <c r="D291" s="68">
        <v>4</v>
      </c>
      <c r="E291" s="68">
        <v>4</v>
      </c>
    </row>
    <row r="292" spans="2:5" ht="15.75">
      <c r="B292" s="68">
        <v>4</v>
      </c>
      <c r="C292" s="68">
        <v>4</v>
      </c>
      <c r="D292" s="68">
        <v>4</v>
      </c>
      <c r="E292" s="68">
        <v>4</v>
      </c>
    </row>
    <row r="293" spans="2:5" ht="15.75">
      <c r="B293" s="68">
        <v>8</v>
      </c>
      <c r="C293" s="68">
        <v>8</v>
      </c>
      <c r="D293" s="68">
        <v>8</v>
      </c>
      <c r="E293" s="68">
        <v>8</v>
      </c>
    </row>
    <row r="294" spans="2:5" ht="15.75">
      <c r="B294" s="68">
        <v>5</v>
      </c>
      <c r="C294" s="68">
        <v>5</v>
      </c>
      <c r="D294" s="68">
        <v>5</v>
      </c>
      <c r="E294" s="68">
        <v>5</v>
      </c>
    </row>
    <row r="295" spans="2:5" ht="15.75">
      <c r="B295" s="68">
        <v>8</v>
      </c>
      <c r="C295" s="68">
        <v>8</v>
      </c>
      <c r="D295" s="68">
        <v>8</v>
      </c>
      <c r="E295" s="68">
        <v>8</v>
      </c>
    </row>
    <row r="296" spans="2:5" ht="15.75">
      <c r="B296" s="68">
        <v>7</v>
      </c>
      <c r="C296" s="68">
        <v>7</v>
      </c>
      <c r="D296" s="68">
        <v>7</v>
      </c>
      <c r="E296" s="68">
        <v>7</v>
      </c>
    </row>
    <row r="297" spans="2:5" ht="15.75">
      <c r="B297" s="68">
        <v>1</v>
      </c>
      <c r="C297" s="68">
        <v>1</v>
      </c>
      <c r="D297" s="68">
        <v>1</v>
      </c>
      <c r="E297" s="68">
        <v>1</v>
      </c>
    </row>
    <row r="298" spans="2:5" ht="15.75">
      <c r="B298" s="68">
        <v>10</v>
      </c>
      <c r="C298" s="68">
        <v>10</v>
      </c>
      <c r="D298" s="68">
        <v>10</v>
      </c>
      <c r="E298" s="68">
        <v>10</v>
      </c>
    </row>
    <row r="299" spans="2:5" ht="15.75">
      <c r="B299" s="68">
        <v>1</v>
      </c>
      <c r="C299" s="68">
        <v>1</v>
      </c>
      <c r="D299" s="68">
        <v>1</v>
      </c>
      <c r="E299" s="68">
        <v>1</v>
      </c>
    </row>
    <row r="300" spans="2:5" ht="15.75">
      <c r="B300" s="68">
        <v>1</v>
      </c>
      <c r="C300" s="68">
        <v>1</v>
      </c>
      <c r="D300" s="68">
        <v>1</v>
      </c>
      <c r="E300" s="68">
        <v>1</v>
      </c>
    </row>
    <row r="301" spans="2:5" ht="15.75">
      <c r="B301" s="68">
        <v>6</v>
      </c>
      <c r="C301" s="68">
        <v>6</v>
      </c>
      <c r="D301" s="68">
        <v>6</v>
      </c>
      <c r="E301" s="68">
        <v>6</v>
      </c>
    </row>
    <row r="302" spans="2:5" ht="15.75">
      <c r="B302" s="68">
        <v>6</v>
      </c>
      <c r="C302" s="68">
        <v>6</v>
      </c>
      <c r="D302" s="68">
        <v>6</v>
      </c>
      <c r="E302" s="68">
        <v>6</v>
      </c>
    </row>
    <row r="303" spans="2:5" ht="15.75">
      <c r="B303" s="68">
        <v>5</v>
      </c>
      <c r="C303" s="68">
        <v>5</v>
      </c>
      <c r="D303" s="68">
        <v>5</v>
      </c>
      <c r="E303" s="68">
        <v>5</v>
      </c>
    </row>
    <row r="304" spans="2:5" ht="15.75">
      <c r="B304" s="68">
        <v>1</v>
      </c>
      <c r="C304" s="68">
        <v>1</v>
      </c>
      <c r="D304" s="68">
        <v>1</v>
      </c>
      <c r="E304" s="68">
        <v>1</v>
      </c>
    </row>
    <row r="305" spans="2:5" ht="15.75">
      <c r="B305" s="68">
        <v>4</v>
      </c>
      <c r="C305" s="68">
        <v>4</v>
      </c>
      <c r="D305" s="68">
        <v>4</v>
      </c>
      <c r="E305" s="68">
        <v>4</v>
      </c>
    </row>
    <row r="306" spans="2:5" ht="15.75">
      <c r="B306" s="68">
        <v>9</v>
      </c>
      <c r="C306" s="68">
        <v>9</v>
      </c>
      <c r="D306" s="68">
        <v>9</v>
      </c>
      <c r="E306" s="68">
        <v>9</v>
      </c>
    </row>
    <row r="307" spans="2:5" ht="15.75">
      <c r="B307" s="68">
        <v>10</v>
      </c>
      <c r="C307" s="68">
        <v>10</v>
      </c>
      <c r="D307" s="68">
        <v>10</v>
      </c>
      <c r="E307" s="68">
        <v>10</v>
      </c>
    </row>
    <row r="308" spans="2:5" ht="15.75">
      <c r="B308" s="68">
        <v>10</v>
      </c>
      <c r="C308" s="68">
        <v>10</v>
      </c>
      <c r="D308" s="68">
        <v>10</v>
      </c>
      <c r="E308" s="68">
        <v>10</v>
      </c>
    </row>
    <row r="309" spans="2:5" ht="15.75">
      <c r="B309" s="68">
        <v>1</v>
      </c>
      <c r="C309" s="68">
        <v>1</v>
      </c>
      <c r="D309" s="68">
        <v>1</v>
      </c>
      <c r="E309" s="68">
        <v>1</v>
      </c>
    </row>
    <row r="310" spans="2:5" ht="15.75">
      <c r="B310" s="68">
        <v>5</v>
      </c>
      <c r="C310" s="68">
        <v>5</v>
      </c>
      <c r="D310" s="68">
        <v>5</v>
      </c>
      <c r="E310" s="68">
        <v>5</v>
      </c>
    </row>
    <row r="311" spans="2:5" ht="15.75">
      <c r="B311" s="68">
        <v>10</v>
      </c>
      <c r="C311" s="68">
        <v>10</v>
      </c>
      <c r="D311" s="68">
        <v>10</v>
      </c>
      <c r="E311" s="68">
        <v>10</v>
      </c>
    </row>
    <row r="312" spans="2:5" ht="15.75">
      <c r="B312" s="68">
        <v>4</v>
      </c>
      <c r="C312" s="68">
        <v>4</v>
      </c>
      <c r="D312" s="68">
        <v>4</v>
      </c>
      <c r="E312" s="68">
        <v>4</v>
      </c>
    </row>
    <row r="313" spans="2:5" ht="15.75">
      <c r="B313" s="68">
        <v>1</v>
      </c>
      <c r="C313" s="68">
        <v>1</v>
      </c>
      <c r="D313" s="68">
        <v>1</v>
      </c>
      <c r="E313" s="68">
        <v>1</v>
      </c>
    </row>
    <row r="314" spans="2:5" ht="15.75">
      <c r="B314" s="68">
        <v>5</v>
      </c>
      <c r="C314" s="68">
        <v>5</v>
      </c>
      <c r="D314" s="68">
        <v>5</v>
      </c>
      <c r="E314" s="68">
        <v>5</v>
      </c>
    </row>
    <row r="315" spans="2:5" ht="15.75">
      <c r="B315" s="68">
        <v>10</v>
      </c>
      <c r="C315" s="68">
        <v>10</v>
      </c>
      <c r="D315" s="68">
        <v>10</v>
      </c>
      <c r="E315" s="68">
        <v>10</v>
      </c>
    </row>
    <row r="316" spans="2:5" ht="15.75">
      <c r="B316" s="68">
        <v>7</v>
      </c>
      <c r="C316" s="68">
        <v>7</v>
      </c>
      <c r="D316" s="68">
        <v>7</v>
      </c>
      <c r="E316" s="68">
        <v>7</v>
      </c>
    </row>
    <row r="317" spans="2:5" ht="15.75">
      <c r="B317" s="68">
        <v>6</v>
      </c>
      <c r="C317" s="68">
        <v>6</v>
      </c>
      <c r="D317" s="68">
        <v>6</v>
      </c>
      <c r="E317" s="68">
        <v>6</v>
      </c>
    </row>
    <row r="318" spans="2:5" ht="15.75">
      <c r="B318" s="68">
        <v>1</v>
      </c>
      <c r="C318" s="68">
        <v>1</v>
      </c>
      <c r="D318" s="68">
        <v>1</v>
      </c>
      <c r="E318" s="68">
        <v>1</v>
      </c>
    </row>
    <row r="319" spans="2:5" ht="15.75">
      <c r="B319" s="68">
        <v>1</v>
      </c>
      <c r="C319" s="68">
        <v>1</v>
      </c>
      <c r="D319" s="68">
        <v>1</v>
      </c>
      <c r="E319" s="68">
        <v>1</v>
      </c>
    </row>
    <row r="320" spans="2:5" ht="15.75">
      <c r="B320" s="68">
        <v>4</v>
      </c>
      <c r="C320" s="68">
        <v>4</v>
      </c>
      <c r="D320" s="68">
        <v>4</v>
      </c>
      <c r="E320" s="68">
        <v>4</v>
      </c>
    </row>
    <row r="321" spans="2:5" ht="15.75">
      <c r="B321" s="68">
        <v>8</v>
      </c>
      <c r="C321" s="68">
        <v>8</v>
      </c>
      <c r="D321" s="68">
        <v>8</v>
      </c>
      <c r="E321" s="68">
        <v>8</v>
      </c>
    </row>
    <row r="322" spans="2:5" ht="15.75">
      <c r="B322" s="68">
        <v>5</v>
      </c>
      <c r="C322" s="68">
        <v>5</v>
      </c>
      <c r="D322" s="68">
        <v>5</v>
      </c>
      <c r="E322" s="68">
        <v>5</v>
      </c>
    </row>
    <row r="323" spans="2:5" ht="15.75">
      <c r="B323" s="68">
        <v>3</v>
      </c>
      <c r="C323" s="68">
        <v>3</v>
      </c>
      <c r="D323" s="68">
        <v>3</v>
      </c>
      <c r="E323" s="68">
        <v>3</v>
      </c>
    </row>
    <row r="324" spans="2:5" ht="15.75">
      <c r="B324" s="68">
        <v>5</v>
      </c>
      <c r="C324" s="68">
        <v>5</v>
      </c>
      <c r="D324" s="68">
        <v>5</v>
      </c>
      <c r="E324" s="68">
        <v>5</v>
      </c>
    </row>
    <row r="325" spans="2:5" ht="15.75">
      <c r="B325" s="68">
        <v>4</v>
      </c>
      <c r="C325" s="68">
        <v>4</v>
      </c>
      <c r="D325" s="68">
        <v>4</v>
      </c>
      <c r="E325" s="68">
        <v>4</v>
      </c>
    </row>
    <row r="326" spans="2:5" ht="15.75">
      <c r="B326" s="68">
        <v>10</v>
      </c>
      <c r="C326" s="68">
        <v>10</v>
      </c>
      <c r="D326" s="68">
        <v>10</v>
      </c>
      <c r="E326" s="68">
        <v>10</v>
      </c>
    </row>
    <row r="327" spans="2:5" ht="15.75">
      <c r="B327" s="68">
        <v>1</v>
      </c>
      <c r="C327" s="68">
        <v>1</v>
      </c>
      <c r="D327" s="68">
        <v>1</v>
      </c>
      <c r="E327" s="68">
        <v>1</v>
      </c>
    </row>
    <row r="328" spans="2:5" ht="15.75">
      <c r="B328" s="68">
        <v>8</v>
      </c>
      <c r="C328" s="68">
        <v>8</v>
      </c>
      <c r="D328" s="68">
        <v>8</v>
      </c>
      <c r="E328" s="68">
        <v>8</v>
      </c>
    </row>
    <row r="329" spans="2:5" ht="15.75">
      <c r="B329" s="68">
        <v>10</v>
      </c>
      <c r="C329" s="68">
        <v>10</v>
      </c>
      <c r="D329" s="68">
        <v>10</v>
      </c>
      <c r="E329" s="68">
        <v>10</v>
      </c>
    </row>
    <row r="330" spans="2:5" ht="15.75">
      <c r="B330" s="68">
        <v>5</v>
      </c>
      <c r="C330" s="68">
        <v>5</v>
      </c>
      <c r="D330" s="68">
        <v>5</v>
      </c>
      <c r="E330" s="68">
        <v>5</v>
      </c>
    </row>
    <row r="331" spans="2:5" ht="15.75">
      <c r="B331" s="68">
        <v>10</v>
      </c>
      <c r="C331" s="68">
        <v>10</v>
      </c>
      <c r="D331" s="68">
        <v>10</v>
      </c>
      <c r="E331" s="68">
        <v>10</v>
      </c>
    </row>
    <row r="332" spans="2:5" ht="15.75">
      <c r="B332" s="68">
        <v>4</v>
      </c>
      <c r="C332" s="68">
        <v>4</v>
      </c>
      <c r="D332" s="68">
        <v>4</v>
      </c>
      <c r="E332" s="68">
        <v>4</v>
      </c>
    </row>
    <row r="333" spans="2:5" ht="15.75">
      <c r="B333" s="68">
        <v>8</v>
      </c>
      <c r="C333" s="68">
        <v>8</v>
      </c>
      <c r="D333" s="68">
        <v>8</v>
      </c>
      <c r="E333" s="68">
        <v>8</v>
      </c>
    </row>
    <row r="334" spans="2:5" ht="15.75">
      <c r="B334" s="68">
        <v>8</v>
      </c>
      <c r="C334" s="68">
        <v>8</v>
      </c>
      <c r="D334" s="68">
        <v>8</v>
      </c>
      <c r="E334" s="68">
        <v>8</v>
      </c>
    </row>
    <row r="335" spans="2:5" ht="15.75">
      <c r="B335" s="68">
        <v>2</v>
      </c>
      <c r="C335" s="68">
        <v>2</v>
      </c>
      <c r="D335" s="68">
        <v>2</v>
      </c>
      <c r="E335" s="68">
        <v>2</v>
      </c>
    </row>
    <row r="336" spans="2:5" ht="15.75">
      <c r="B336" s="68">
        <v>6</v>
      </c>
      <c r="C336" s="68">
        <v>6</v>
      </c>
      <c r="D336" s="68">
        <v>6</v>
      </c>
      <c r="E336" s="68">
        <v>6</v>
      </c>
    </row>
    <row r="337" spans="2:5" ht="15.75">
      <c r="B337" s="68">
        <v>1</v>
      </c>
      <c r="C337" s="68">
        <v>1</v>
      </c>
      <c r="D337" s="68">
        <v>1</v>
      </c>
      <c r="E337" s="68">
        <v>1</v>
      </c>
    </row>
    <row r="338" spans="2:5" ht="15.75">
      <c r="B338" s="68">
        <v>8</v>
      </c>
      <c r="C338" s="68">
        <v>8</v>
      </c>
      <c r="D338" s="68">
        <v>8</v>
      </c>
      <c r="E338" s="68">
        <v>8</v>
      </c>
    </row>
    <row r="339" spans="2:5" ht="15.75">
      <c r="B339" s="68">
        <v>1</v>
      </c>
      <c r="C339" s="68">
        <v>1</v>
      </c>
      <c r="D339" s="68">
        <v>1</v>
      </c>
      <c r="E339" s="68">
        <v>1</v>
      </c>
    </row>
    <row r="340" spans="2:5" ht="15.75">
      <c r="B340" s="68">
        <v>2</v>
      </c>
      <c r="C340" s="68">
        <v>2</v>
      </c>
      <c r="D340" s="68">
        <v>2</v>
      </c>
      <c r="E340" s="68">
        <v>2</v>
      </c>
    </row>
    <row r="341" spans="2:5" ht="15.75">
      <c r="B341" s="68">
        <v>1</v>
      </c>
      <c r="C341" s="68">
        <v>1</v>
      </c>
      <c r="D341" s="68">
        <v>1</v>
      </c>
      <c r="E341" s="68">
        <v>1</v>
      </c>
    </row>
    <row r="342" spans="2:5" ht="15.75">
      <c r="B342" s="68">
        <v>8</v>
      </c>
      <c r="C342" s="68">
        <v>8</v>
      </c>
      <c r="D342" s="68">
        <v>8</v>
      </c>
      <c r="E342" s="68">
        <v>8</v>
      </c>
    </row>
    <row r="343" spans="2:5" ht="15.75">
      <c r="B343" s="68">
        <v>3</v>
      </c>
      <c r="C343" s="68">
        <v>3</v>
      </c>
      <c r="D343" s="68">
        <v>3</v>
      </c>
      <c r="E343" s="68">
        <v>3</v>
      </c>
    </row>
    <row r="344" spans="2:5" ht="15.75">
      <c r="B344" s="68">
        <v>6</v>
      </c>
      <c r="C344" s="68">
        <v>6</v>
      </c>
      <c r="D344" s="68">
        <v>6</v>
      </c>
      <c r="E344" s="68">
        <v>6</v>
      </c>
    </row>
    <row r="345" spans="2:5" ht="15.75">
      <c r="B345" s="68">
        <v>5</v>
      </c>
      <c r="C345" s="68">
        <v>5</v>
      </c>
      <c r="D345" s="68">
        <v>5</v>
      </c>
      <c r="E345" s="68">
        <v>5</v>
      </c>
    </row>
    <row r="346" spans="2:5" ht="15.75">
      <c r="B346" s="68">
        <v>7</v>
      </c>
      <c r="C346" s="68">
        <v>7</v>
      </c>
      <c r="D346" s="68">
        <v>7</v>
      </c>
      <c r="E346" s="68">
        <v>7</v>
      </c>
    </row>
    <row r="347" spans="2:5" ht="15.75">
      <c r="B347" s="68">
        <v>7</v>
      </c>
      <c r="C347" s="68">
        <v>7</v>
      </c>
      <c r="D347" s="68">
        <v>7</v>
      </c>
      <c r="E347" s="68">
        <v>7</v>
      </c>
    </row>
    <row r="348" spans="2:5" ht="15.75">
      <c r="B348" s="68">
        <v>7</v>
      </c>
      <c r="C348" s="68">
        <v>7</v>
      </c>
      <c r="D348" s="68">
        <v>7</v>
      </c>
      <c r="E348" s="68">
        <v>7</v>
      </c>
    </row>
    <row r="349" spans="2:5" ht="15.75">
      <c r="B349" s="68">
        <v>5</v>
      </c>
      <c r="C349" s="68">
        <v>5</v>
      </c>
      <c r="D349" s="68">
        <v>5</v>
      </c>
      <c r="E349" s="68">
        <v>5</v>
      </c>
    </row>
    <row r="350" spans="2:5" ht="15.75">
      <c r="B350" s="68">
        <v>5</v>
      </c>
      <c r="C350" s="68">
        <v>5</v>
      </c>
      <c r="D350" s="68">
        <v>5</v>
      </c>
      <c r="E350" s="68">
        <v>5</v>
      </c>
    </row>
    <row r="351" spans="2:5" ht="15.75">
      <c r="B351" s="68">
        <v>3</v>
      </c>
      <c r="C351" s="68">
        <v>3</v>
      </c>
      <c r="D351" s="68">
        <v>3</v>
      </c>
      <c r="E351" s="68">
        <v>3</v>
      </c>
    </row>
    <row r="352" spans="2:5" ht="15.75">
      <c r="B352" s="68">
        <v>2</v>
      </c>
      <c r="C352" s="68">
        <v>2</v>
      </c>
      <c r="D352" s="68">
        <v>2</v>
      </c>
      <c r="E352" s="68">
        <v>2</v>
      </c>
    </row>
    <row r="353" spans="2:5" ht="15.75">
      <c r="B353" s="68">
        <v>6</v>
      </c>
      <c r="C353" s="68">
        <v>6</v>
      </c>
      <c r="D353" s="68">
        <v>6</v>
      </c>
      <c r="E353" s="68">
        <v>6</v>
      </c>
    </row>
    <row r="354" spans="2:5" ht="15.75">
      <c r="B354" s="68">
        <v>5</v>
      </c>
      <c r="C354" s="68">
        <v>5</v>
      </c>
      <c r="D354" s="68">
        <v>5</v>
      </c>
      <c r="E354" s="68">
        <v>5</v>
      </c>
    </row>
    <row r="355" spans="2:5" ht="15.75">
      <c r="B355" s="68">
        <v>10</v>
      </c>
      <c r="C355" s="68">
        <v>10</v>
      </c>
      <c r="D355" s="68">
        <v>10</v>
      </c>
      <c r="E355" s="68">
        <v>10</v>
      </c>
    </row>
    <row r="356" spans="2:5" ht="15.75">
      <c r="B356" s="68">
        <v>9</v>
      </c>
      <c r="C356" s="68">
        <v>9</v>
      </c>
      <c r="D356" s="68">
        <v>9</v>
      </c>
      <c r="E356" s="68">
        <v>9</v>
      </c>
    </row>
    <row r="357" spans="2:5" ht="15.75">
      <c r="B357" s="68">
        <v>6</v>
      </c>
      <c r="C357" s="68">
        <v>6</v>
      </c>
      <c r="D357" s="68">
        <v>6</v>
      </c>
      <c r="E357" s="68">
        <v>6</v>
      </c>
    </row>
    <row r="358" spans="2:5" ht="15.75">
      <c r="B358" s="68">
        <v>10</v>
      </c>
      <c r="C358" s="68">
        <v>10</v>
      </c>
      <c r="D358" s="68">
        <v>10</v>
      </c>
      <c r="E358" s="68">
        <v>10</v>
      </c>
    </row>
    <row r="359" spans="2:5" ht="15.75">
      <c r="B359" s="68">
        <v>9</v>
      </c>
      <c r="C359" s="68">
        <v>9</v>
      </c>
      <c r="D359" s="68">
        <v>9</v>
      </c>
      <c r="E359" s="68">
        <v>9</v>
      </c>
    </row>
    <row r="360" spans="2:5" ht="15.75">
      <c r="B360" s="68">
        <v>6</v>
      </c>
      <c r="C360" s="68">
        <v>6</v>
      </c>
      <c r="D360" s="68">
        <v>6</v>
      </c>
      <c r="E360" s="68">
        <v>6</v>
      </c>
    </row>
    <row r="361" spans="2:5" ht="15.75">
      <c r="B361" s="68">
        <v>1</v>
      </c>
      <c r="C361" s="68">
        <v>1</v>
      </c>
      <c r="D361" s="68">
        <v>1</v>
      </c>
      <c r="E361" s="68">
        <v>1</v>
      </c>
    </row>
    <row r="362" spans="2:5" ht="15.75">
      <c r="B362" s="68">
        <v>4</v>
      </c>
      <c r="C362" s="68">
        <v>4</v>
      </c>
      <c r="D362" s="68">
        <v>4</v>
      </c>
      <c r="E362" s="68">
        <v>4</v>
      </c>
    </row>
    <row r="363" spans="2:5" ht="15.75">
      <c r="B363" s="68">
        <v>6</v>
      </c>
      <c r="C363" s="68">
        <v>6</v>
      </c>
      <c r="D363" s="68">
        <v>6</v>
      </c>
      <c r="E363" s="68">
        <v>6</v>
      </c>
    </row>
    <row r="364" spans="2:5" ht="15.75">
      <c r="B364" s="68">
        <v>1</v>
      </c>
      <c r="C364" s="68">
        <v>1</v>
      </c>
      <c r="D364" s="68">
        <v>1</v>
      </c>
      <c r="E364" s="68">
        <v>1</v>
      </c>
    </row>
    <row r="365" spans="2:5" ht="15.75">
      <c r="B365" s="68">
        <v>9</v>
      </c>
      <c r="C365" s="68">
        <v>9</v>
      </c>
      <c r="D365" s="68">
        <v>9</v>
      </c>
      <c r="E365" s="68">
        <v>9</v>
      </c>
    </row>
    <row r="366" spans="2:5" ht="15.75">
      <c r="B366" s="68">
        <v>5</v>
      </c>
      <c r="C366" s="68">
        <v>5</v>
      </c>
      <c r="D366" s="68">
        <v>5</v>
      </c>
      <c r="E366" s="68">
        <v>5</v>
      </c>
    </row>
    <row r="367" spans="2:5" ht="15.75">
      <c r="B367" s="68">
        <v>6</v>
      </c>
      <c r="C367" s="68">
        <v>6</v>
      </c>
      <c r="D367" s="68">
        <v>6</v>
      </c>
      <c r="E367" s="68">
        <v>6</v>
      </c>
    </row>
    <row r="368" spans="2:5" ht="15.75">
      <c r="B368" s="68">
        <v>9</v>
      </c>
      <c r="C368" s="68">
        <v>9</v>
      </c>
      <c r="D368" s="68">
        <v>9</v>
      </c>
      <c r="E368" s="68">
        <v>9</v>
      </c>
    </row>
    <row r="369" spans="2:5" ht="15.75">
      <c r="B369" s="68">
        <v>6</v>
      </c>
      <c r="C369" s="68">
        <v>6</v>
      </c>
      <c r="D369" s="68">
        <v>6</v>
      </c>
      <c r="E369" s="68">
        <v>6</v>
      </c>
    </row>
    <row r="370" spans="2:5" ht="15.75">
      <c r="B370" s="68">
        <v>7</v>
      </c>
      <c r="C370" s="68">
        <v>7</v>
      </c>
      <c r="D370" s="68">
        <v>7</v>
      </c>
      <c r="E370" s="68">
        <v>7</v>
      </c>
    </row>
    <row r="371" spans="2:5" ht="15.75">
      <c r="B371" s="68">
        <v>10</v>
      </c>
      <c r="C371" s="68">
        <v>10</v>
      </c>
      <c r="D371" s="68">
        <v>10</v>
      </c>
      <c r="E371" s="68">
        <v>10</v>
      </c>
    </row>
    <row r="372" spans="2:5" ht="15.75">
      <c r="B372" s="68">
        <v>6</v>
      </c>
      <c r="C372" s="68">
        <v>6</v>
      </c>
      <c r="D372" s="68">
        <v>6</v>
      </c>
      <c r="E372" s="68">
        <v>6</v>
      </c>
    </row>
    <row r="373" spans="2:5" ht="15.75">
      <c r="B373" s="68">
        <v>9</v>
      </c>
      <c r="C373" s="68">
        <v>9</v>
      </c>
      <c r="D373" s="68">
        <v>9</v>
      </c>
      <c r="E373" s="68">
        <v>9</v>
      </c>
    </row>
    <row r="374" spans="2:5" ht="15.75">
      <c r="B374" s="68">
        <v>10</v>
      </c>
      <c r="C374" s="68">
        <v>10</v>
      </c>
      <c r="D374" s="68">
        <v>10</v>
      </c>
      <c r="E374" s="68">
        <v>10</v>
      </c>
    </row>
    <row r="375" spans="2:5" ht="15.75">
      <c r="B375" s="68">
        <v>8</v>
      </c>
      <c r="C375" s="68">
        <v>8</v>
      </c>
      <c r="D375" s="68">
        <v>8</v>
      </c>
      <c r="E375" s="68">
        <v>8</v>
      </c>
    </row>
    <row r="376" spans="2:5" ht="15.75">
      <c r="B376" s="68">
        <v>6</v>
      </c>
      <c r="C376" s="68">
        <v>6</v>
      </c>
      <c r="D376" s="68">
        <v>6</v>
      </c>
      <c r="E376" s="68">
        <v>6</v>
      </c>
    </row>
    <row r="377" spans="2:5" ht="15.75">
      <c r="B377" s="68">
        <v>10</v>
      </c>
      <c r="C377" s="68">
        <v>10</v>
      </c>
      <c r="D377" s="68">
        <v>10</v>
      </c>
      <c r="E377" s="68">
        <v>10</v>
      </c>
    </row>
    <row r="378" spans="2:5" ht="15.75">
      <c r="B378" s="68">
        <v>10</v>
      </c>
      <c r="C378" s="68">
        <v>10</v>
      </c>
      <c r="D378" s="68">
        <v>10</v>
      </c>
      <c r="E378" s="68">
        <v>10</v>
      </c>
    </row>
    <row r="379" spans="2:5" ht="15.75">
      <c r="B379" s="68">
        <v>7</v>
      </c>
      <c r="C379" s="68">
        <v>7</v>
      </c>
      <c r="D379" s="68">
        <v>7</v>
      </c>
      <c r="E379" s="68">
        <v>7</v>
      </c>
    </row>
    <row r="380" spans="2:5" ht="15.75">
      <c r="B380" s="68">
        <v>10</v>
      </c>
      <c r="C380" s="68">
        <v>10</v>
      </c>
      <c r="D380" s="68">
        <v>10</v>
      </c>
      <c r="E380" s="68">
        <v>10</v>
      </c>
    </row>
    <row r="381" spans="2:5" ht="15.75">
      <c r="B381" s="68">
        <v>7</v>
      </c>
      <c r="C381" s="68">
        <v>7</v>
      </c>
      <c r="D381" s="68">
        <v>7</v>
      </c>
      <c r="E381" s="68">
        <v>7</v>
      </c>
    </row>
    <row r="382" spans="2:5" ht="15.75">
      <c r="B382" s="68">
        <v>2</v>
      </c>
      <c r="C382" s="68">
        <v>2</v>
      </c>
      <c r="D382" s="68">
        <v>2</v>
      </c>
      <c r="E382" s="68">
        <v>2</v>
      </c>
    </row>
    <row r="383" spans="2:5" ht="15.75">
      <c r="B383" s="68">
        <v>5</v>
      </c>
      <c r="C383" s="68">
        <v>5</v>
      </c>
      <c r="D383" s="68">
        <v>5</v>
      </c>
      <c r="E383" s="68">
        <v>5</v>
      </c>
    </row>
    <row r="384" spans="2:5" ht="15.75">
      <c r="B384" s="68">
        <v>4</v>
      </c>
      <c r="C384" s="68">
        <v>4</v>
      </c>
      <c r="D384" s="68">
        <v>4</v>
      </c>
      <c r="E384" s="68">
        <v>4</v>
      </c>
    </row>
    <row r="385" spans="2:5" ht="15.75">
      <c r="B385" s="68">
        <v>4</v>
      </c>
      <c r="C385" s="68">
        <v>4</v>
      </c>
      <c r="D385" s="68">
        <v>4</v>
      </c>
      <c r="E385" s="68">
        <v>4</v>
      </c>
    </row>
    <row r="386" spans="2:5" ht="15.75">
      <c r="B386" s="68">
        <v>4</v>
      </c>
      <c r="C386" s="68">
        <v>4</v>
      </c>
      <c r="D386" s="68">
        <v>4</v>
      </c>
      <c r="E386" s="68">
        <v>4</v>
      </c>
    </row>
    <row r="387" spans="2:5" ht="15.75">
      <c r="B387" s="68">
        <v>2</v>
      </c>
      <c r="C387" s="68">
        <v>2</v>
      </c>
      <c r="D387" s="68">
        <v>2</v>
      </c>
      <c r="E387" s="68">
        <v>2</v>
      </c>
    </row>
    <row r="388" spans="2:5" ht="15.75">
      <c r="B388" s="68">
        <v>3</v>
      </c>
      <c r="C388" s="68">
        <v>3</v>
      </c>
      <c r="D388" s="68">
        <v>3</v>
      </c>
      <c r="E388" s="68">
        <v>3</v>
      </c>
    </row>
    <row r="389" spans="2:5" ht="15.75">
      <c r="B389" s="68">
        <v>4</v>
      </c>
      <c r="C389" s="68">
        <v>4</v>
      </c>
      <c r="D389" s="68">
        <v>4</v>
      </c>
      <c r="E389" s="68">
        <v>4</v>
      </c>
    </row>
    <row r="390" spans="2:5" ht="15.75">
      <c r="B390" s="68">
        <v>3</v>
      </c>
      <c r="C390" s="68">
        <v>3</v>
      </c>
      <c r="D390" s="68">
        <v>3</v>
      </c>
      <c r="E390" s="68">
        <v>3</v>
      </c>
    </row>
    <row r="391" spans="2:5" ht="15.75">
      <c r="B391" s="68">
        <v>4</v>
      </c>
      <c r="C391" s="68">
        <v>4</v>
      </c>
      <c r="D391" s="68">
        <v>4</v>
      </c>
      <c r="E391" s="68">
        <v>4</v>
      </c>
    </row>
    <row r="392" spans="2:5" ht="15.75">
      <c r="B392" s="68">
        <v>3</v>
      </c>
      <c r="C392" s="68">
        <v>3</v>
      </c>
      <c r="D392" s="68">
        <v>3</v>
      </c>
      <c r="E392" s="68">
        <v>3</v>
      </c>
    </row>
    <row r="393" spans="2:5" ht="15.75">
      <c r="B393" s="68">
        <v>5</v>
      </c>
      <c r="C393" s="68">
        <v>5</v>
      </c>
      <c r="D393" s="68">
        <v>5</v>
      </c>
      <c r="E393" s="68">
        <v>5</v>
      </c>
    </row>
    <row r="394" spans="2:5" ht="15.75">
      <c r="B394" s="68">
        <v>5</v>
      </c>
      <c r="C394" s="68">
        <v>5</v>
      </c>
      <c r="D394" s="68">
        <v>5</v>
      </c>
      <c r="E394" s="68">
        <v>5</v>
      </c>
    </row>
    <row r="395" spans="2:5" ht="15.75">
      <c r="B395" s="68">
        <v>6</v>
      </c>
      <c r="C395" s="68">
        <v>6</v>
      </c>
      <c r="D395" s="68">
        <v>6</v>
      </c>
      <c r="E395" s="68">
        <v>6</v>
      </c>
    </row>
    <row r="396" spans="2:5" ht="15.75">
      <c r="B396" s="68">
        <v>1</v>
      </c>
      <c r="C396" s="68">
        <v>1</v>
      </c>
      <c r="D396" s="68">
        <v>1</v>
      </c>
      <c r="E396" s="68">
        <v>1</v>
      </c>
    </row>
    <row r="397" spans="2:5" ht="15.75">
      <c r="B397" s="68">
        <v>3</v>
      </c>
      <c r="C397" s="68">
        <v>3</v>
      </c>
      <c r="D397" s="68">
        <v>3</v>
      </c>
      <c r="E397" s="68">
        <v>3</v>
      </c>
    </row>
    <row r="398" spans="2:5" ht="15.75">
      <c r="B398" s="68">
        <v>3</v>
      </c>
      <c r="C398" s="68">
        <v>3</v>
      </c>
      <c r="D398" s="68">
        <v>3</v>
      </c>
      <c r="E398" s="68">
        <v>3</v>
      </c>
    </row>
    <row r="399" spans="2:5" ht="15.75">
      <c r="B399" s="68">
        <v>3</v>
      </c>
      <c r="C399" s="68">
        <v>3</v>
      </c>
      <c r="D399" s="68">
        <v>3</v>
      </c>
      <c r="E399" s="68">
        <v>3</v>
      </c>
    </row>
    <row r="400" spans="2:5" ht="15.75">
      <c r="B400" s="68">
        <v>3</v>
      </c>
      <c r="C400" s="68">
        <v>3</v>
      </c>
      <c r="D400" s="68">
        <v>3</v>
      </c>
      <c r="E400" s="68">
        <v>3</v>
      </c>
    </row>
    <row r="401" spans="2:5" ht="15.75">
      <c r="B401" s="68">
        <v>9</v>
      </c>
      <c r="C401" s="68">
        <v>9</v>
      </c>
      <c r="D401" s="68">
        <v>9</v>
      </c>
      <c r="E401" s="68">
        <v>9</v>
      </c>
    </row>
    <row r="402" spans="2:5" ht="15.75">
      <c r="B402" s="68">
        <v>1</v>
      </c>
      <c r="C402" s="68">
        <v>1</v>
      </c>
      <c r="D402" s="68">
        <v>1</v>
      </c>
      <c r="E402" s="68">
        <v>1</v>
      </c>
    </row>
    <row r="403" spans="2:5" ht="15.75">
      <c r="B403" s="68">
        <v>10</v>
      </c>
      <c r="C403" s="68">
        <v>10</v>
      </c>
      <c r="D403" s="68">
        <v>10</v>
      </c>
      <c r="E403" s="68">
        <v>10</v>
      </c>
    </row>
    <row r="404" spans="2:5" ht="15.75">
      <c r="B404" s="68">
        <v>6</v>
      </c>
      <c r="C404" s="68">
        <v>6</v>
      </c>
      <c r="D404" s="68">
        <v>6</v>
      </c>
      <c r="E404" s="68">
        <v>6</v>
      </c>
    </row>
    <row r="405" spans="2:5" ht="15.75">
      <c r="B405" s="68">
        <v>4</v>
      </c>
      <c r="C405" s="68">
        <v>4</v>
      </c>
      <c r="D405" s="68">
        <v>4</v>
      </c>
      <c r="E405" s="68">
        <v>4</v>
      </c>
    </row>
    <row r="406" spans="2:5" ht="15.75">
      <c r="B406" s="68">
        <v>2</v>
      </c>
      <c r="C406" s="68">
        <v>2</v>
      </c>
      <c r="D406" s="68">
        <v>2</v>
      </c>
      <c r="E406" s="68">
        <v>2</v>
      </c>
    </row>
    <row r="407" spans="2:5" ht="15.75">
      <c r="B407" s="68">
        <v>1</v>
      </c>
      <c r="C407" s="68">
        <v>1</v>
      </c>
      <c r="D407" s="68">
        <v>1</v>
      </c>
      <c r="E407" s="68">
        <v>1</v>
      </c>
    </row>
    <row r="408" spans="2:5" ht="15.75">
      <c r="B408" s="68">
        <v>9</v>
      </c>
      <c r="C408" s="68">
        <v>9</v>
      </c>
      <c r="D408" s="68">
        <v>9</v>
      </c>
      <c r="E408" s="68">
        <v>9</v>
      </c>
    </row>
    <row r="409" spans="2:5" ht="15.75">
      <c r="B409" s="68">
        <v>1</v>
      </c>
      <c r="C409" s="68">
        <v>1</v>
      </c>
      <c r="D409" s="68">
        <v>1</v>
      </c>
      <c r="E409" s="68">
        <v>1</v>
      </c>
    </row>
    <row r="410" spans="2:5" ht="15.75">
      <c r="B410" s="68">
        <v>10</v>
      </c>
      <c r="C410" s="68">
        <v>10</v>
      </c>
      <c r="D410" s="68">
        <v>10</v>
      </c>
      <c r="E410" s="68">
        <v>10</v>
      </c>
    </row>
    <row r="411" spans="2:5" ht="15.75">
      <c r="B411" s="68">
        <v>9</v>
      </c>
      <c r="C411" s="68">
        <v>9</v>
      </c>
      <c r="D411" s="68">
        <v>9</v>
      </c>
      <c r="E411" s="68">
        <v>9</v>
      </c>
    </row>
    <row r="412" spans="2:5" ht="15.75">
      <c r="B412" s="68">
        <v>6</v>
      </c>
      <c r="C412" s="68">
        <v>6</v>
      </c>
      <c r="D412" s="68">
        <v>6</v>
      </c>
      <c r="E412" s="68">
        <v>6</v>
      </c>
    </row>
    <row r="413" spans="2:5" ht="15.75">
      <c r="B413" s="68">
        <v>5</v>
      </c>
      <c r="C413" s="68">
        <v>5</v>
      </c>
      <c r="D413" s="68">
        <v>5</v>
      </c>
      <c r="E413" s="68">
        <v>5</v>
      </c>
    </row>
    <row r="414" spans="2:5" ht="15.75">
      <c r="B414" s="68">
        <v>6</v>
      </c>
      <c r="C414" s="68">
        <v>6</v>
      </c>
      <c r="D414" s="68">
        <v>6</v>
      </c>
      <c r="E414" s="68">
        <v>6</v>
      </c>
    </row>
    <row r="415" spans="2:5" ht="15.75">
      <c r="B415" s="68">
        <v>3</v>
      </c>
      <c r="C415" s="68">
        <v>3</v>
      </c>
      <c r="D415" s="68">
        <v>3</v>
      </c>
      <c r="E415" s="68">
        <v>3</v>
      </c>
    </row>
    <row r="416" spans="2:5" ht="15.75">
      <c r="B416" s="68">
        <v>1</v>
      </c>
      <c r="C416" s="68">
        <v>1</v>
      </c>
      <c r="D416" s="68">
        <v>1</v>
      </c>
      <c r="E416" s="68">
        <v>1</v>
      </c>
    </row>
    <row r="417" spans="2:5" ht="15.75">
      <c r="B417" s="68">
        <v>2</v>
      </c>
      <c r="C417" s="68">
        <v>2</v>
      </c>
      <c r="D417" s="68">
        <v>2</v>
      </c>
      <c r="E417" s="68">
        <v>2</v>
      </c>
    </row>
    <row r="418" spans="2:5" ht="15.75">
      <c r="B418" s="68">
        <v>2</v>
      </c>
      <c r="C418" s="68">
        <v>2</v>
      </c>
      <c r="D418" s="68">
        <v>2</v>
      </c>
      <c r="E418" s="68">
        <v>2</v>
      </c>
    </row>
    <row r="419" spans="2:5" ht="15.75">
      <c r="B419" s="68">
        <v>10</v>
      </c>
      <c r="C419" s="68">
        <v>10</v>
      </c>
      <c r="D419" s="68">
        <v>10</v>
      </c>
      <c r="E419" s="68">
        <v>10</v>
      </c>
    </row>
    <row r="420" spans="2:5" ht="15.75">
      <c r="B420" s="68">
        <v>10</v>
      </c>
      <c r="C420" s="68">
        <v>10</v>
      </c>
      <c r="D420" s="68">
        <v>10</v>
      </c>
      <c r="E420" s="68">
        <v>10</v>
      </c>
    </row>
    <row r="421" spans="2:5" ht="15.75">
      <c r="B421" s="68">
        <v>3</v>
      </c>
      <c r="C421" s="68">
        <v>3</v>
      </c>
      <c r="D421" s="68">
        <v>3</v>
      </c>
      <c r="E421" s="68">
        <v>3</v>
      </c>
    </row>
    <row r="422" spans="2:5" ht="15.75">
      <c r="B422" s="68">
        <v>2</v>
      </c>
      <c r="C422" s="68">
        <v>2</v>
      </c>
      <c r="D422" s="68">
        <v>2</v>
      </c>
      <c r="E422" s="68">
        <v>2</v>
      </c>
    </row>
    <row r="423" spans="2:5" ht="15.75">
      <c r="B423" s="68">
        <v>3</v>
      </c>
      <c r="C423" s="68">
        <v>3</v>
      </c>
      <c r="D423" s="68">
        <v>3</v>
      </c>
      <c r="E423" s="68">
        <v>3</v>
      </c>
    </row>
    <row r="424" spans="2:5" ht="15.75">
      <c r="B424" s="68">
        <v>10</v>
      </c>
      <c r="C424" s="68">
        <v>10</v>
      </c>
      <c r="D424" s="68">
        <v>10</v>
      </c>
      <c r="E424" s="68">
        <v>10</v>
      </c>
    </row>
    <row r="425" spans="2:5" ht="15.75">
      <c r="B425" s="68">
        <v>7</v>
      </c>
      <c r="C425" s="68">
        <v>7</v>
      </c>
      <c r="D425" s="68">
        <v>7</v>
      </c>
      <c r="E425" s="68">
        <v>7</v>
      </c>
    </row>
    <row r="426" spans="2:5" ht="15.75">
      <c r="B426" s="68">
        <v>1</v>
      </c>
      <c r="C426" s="68">
        <v>1</v>
      </c>
      <c r="D426" s="68">
        <v>1</v>
      </c>
      <c r="E426" s="68">
        <v>1</v>
      </c>
    </row>
    <row r="427" spans="2:5" ht="15.75">
      <c r="B427" s="68">
        <v>5</v>
      </c>
      <c r="C427" s="68">
        <v>5</v>
      </c>
      <c r="D427" s="68">
        <v>5</v>
      </c>
      <c r="E427" s="68">
        <v>5</v>
      </c>
    </row>
    <row r="428" spans="2:5" ht="15.75">
      <c r="B428" s="68">
        <v>3</v>
      </c>
      <c r="C428" s="68">
        <v>3</v>
      </c>
      <c r="D428" s="68">
        <v>3</v>
      </c>
      <c r="E428" s="68">
        <v>3</v>
      </c>
    </row>
    <row r="429" spans="2:5" ht="15.75">
      <c r="B429" s="68">
        <v>8</v>
      </c>
      <c r="C429" s="68">
        <v>8</v>
      </c>
      <c r="D429" s="68">
        <v>8</v>
      </c>
      <c r="E429" s="68">
        <v>8</v>
      </c>
    </row>
    <row r="430" spans="2:5" ht="15.75">
      <c r="B430" s="68">
        <v>2</v>
      </c>
      <c r="C430" s="68">
        <v>2</v>
      </c>
      <c r="D430" s="68">
        <v>2</v>
      </c>
      <c r="E430" s="68">
        <v>2</v>
      </c>
    </row>
    <row r="431" spans="2:5" ht="15.75">
      <c r="B431" s="68">
        <v>8</v>
      </c>
      <c r="C431" s="68">
        <v>8</v>
      </c>
      <c r="D431" s="68">
        <v>8</v>
      </c>
      <c r="E431" s="68">
        <v>8</v>
      </c>
    </row>
    <row r="432" spans="2:5" ht="15.75">
      <c r="B432" s="68">
        <v>5</v>
      </c>
      <c r="C432" s="68">
        <v>5</v>
      </c>
      <c r="D432" s="68">
        <v>5</v>
      </c>
      <c r="E432" s="68">
        <v>5</v>
      </c>
    </row>
    <row r="433" spans="2:5" ht="15.75">
      <c r="B433" s="68">
        <v>6</v>
      </c>
      <c r="C433" s="68">
        <v>6</v>
      </c>
      <c r="D433" s="68">
        <v>6</v>
      </c>
      <c r="E433" s="68">
        <v>6</v>
      </c>
    </row>
    <row r="434" spans="2:5" ht="15.75">
      <c r="B434" s="68">
        <v>2</v>
      </c>
      <c r="C434" s="68">
        <v>2</v>
      </c>
      <c r="D434" s="68">
        <v>2</v>
      </c>
      <c r="E434" s="68">
        <v>2</v>
      </c>
    </row>
    <row r="435" spans="2:5" ht="15.75">
      <c r="B435" s="68">
        <v>10</v>
      </c>
      <c r="C435" s="68">
        <v>10</v>
      </c>
      <c r="D435" s="68">
        <v>10</v>
      </c>
      <c r="E435" s="68">
        <v>10</v>
      </c>
    </row>
    <row r="436" spans="2:5" ht="15.75">
      <c r="B436" s="68">
        <v>5</v>
      </c>
      <c r="C436" s="68">
        <v>5</v>
      </c>
      <c r="D436" s="68">
        <v>5</v>
      </c>
      <c r="E436" s="68">
        <v>5</v>
      </c>
    </row>
    <row r="437" spans="2:5" ht="15.75">
      <c r="B437" s="68">
        <v>6</v>
      </c>
      <c r="C437" s="68">
        <v>6</v>
      </c>
      <c r="D437" s="68">
        <v>6</v>
      </c>
      <c r="E437" s="68">
        <v>6</v>
      </c>
    </row>
    <row r="438" spans="2:5" ht="15.75">
      <c r="B438" s="68">
        <v>9</v>
      </c>
      <c r="C438" s="68">
        <v>9</v>
      </c>
      <c r="D438" s="68">
        <v>9</v>
      </c>
      <c r="E438" s="68">
        <v>9</v>
      </c>
    </row>
    <row r="439" spans="2:5" ht="15.75">
      <c r="B439" s="68">
        <v>3</v>
      </c>
      <c r="C439" s="68">
        <v>3</v>
      </c>
      <c r="D439" s="68">
        <v>3</v>
      </c>
      <c r="E439" s="68">
        <v>3</v>
      </c>
    </row>
    <row r="440" spans="2:5" ht="15.75">
      <c r="B440" s="68">
        <v>1</v>
      </c>
      <c r="C440" s="68">
        <v>1</v>
      </c>
      <c r="D440" s="68">
        <v>1</v>
      </c>
      <c r="E440" s="68">
        <v>1</v>
      </c>
    </row>
    <row r="441" spans="2:5" ht="15.75">
      <c r="B441" s="68">
        <v>5</v>
      </c>
      <c r="C441" s="68">
        <v>5</v>
      </c>
      <c r="D441" s="68">
        <v>5</v>
      </c>
      <c r="E441" s="68">
        <v>5</v>
      </c>
    </row>
    <row r="442" spans="2:5" ht="15.75">
      <c r="B442" s="68">
        <v>3</v>
      </c>
      <c r="C442" s="68">
        <v>3</v>
      </c>
      <c r="D442" s="68">
        <v>3</v>
      </c>
      <c r="E442" s="68">
        <v>3</v>
      </c>
    </row>
    <row r="443" spans="2:5" ht="15.75">
      <c r="B443" s="68">
        <v>7</v>
      </c>
      <c r="C443" s="68">
        <v>7</v>
      </c>
      <c r="D443" s="68">
        <v>7</v>
      </c>
      <c r="E443" s="68">
        <v>7</v>
      </c>
    </row>
    <row r="444" spans="2:5" ht="15.75">
      <c r="B444" s="68">
        <v>10</v>
      </c>
      <c r="C444" s="68">
        <v>10</v>
      </c>
      <c r="D444" s="68">
        <v>10</v>
      </c>
      <c r="E444" s="68">
        <v>10</v>
      </c>
    </row>
    <row r="445" spans="2:5" ht="15.75">
      <c r="B445" s="68">
        <v>2</v>
      </c>
      <c r="C445" s="68">
        <v>2</v>
      </c>
      <c r="D445" s="68">
        <v>2</v>
      </c>
      <c r="E445" s="68">
        <v>2</v>
      </c>
    </row>
    <row r="446" spans="2:5" ht="15.75">
      <c r="B446" s="68">
        <v>3</v>
      </c>
      <c r="C446" s="68">
        <v>3</v>
      </c>
      <c r="D446" s="68">
        <v>3</v>
      </c>
      <c r="E446" s="68">
        <v>3</v>
      </c>
    </row>
    <row r="447" spans="2:5" ht="15.75">
      <c r="B447" s="68">
        <v>4</v>
      </c>
      <c r="C447" s="68">
        <v>4</v>
      </c>
      <c r="D447" s="68">
        <v>4</v>
      </c>
      <c r="E447" s="68">
        <v>4</v>
      </c>
    </row>
    <row r="448" spans="2:5" ht="15.75">
      <c r="B448" s="68">
        <v>6</v>
      </c>
      <c r="C448" s="68">
        <v>6</v>
      </c>
      <c r="D448" s="68">
        <v>6</v>
      </c>
      <c r="E448" s="68">
        <v>6</v>
      </c>
    </row>
    <row r="449" spans="2:5" ht="15.75">
      <c r="B449" s="68">
        <v>2</v>
      </c>
      <c r="C449" s="68">
        <v>2</v>
      </c>
      <c r="D449" s="68">
        <v>2</v>
      </c>
      <c r="E449" s="68">
        <v>2</v>
      </c>
    </row>
    <row r="450" spans="2:5" ht="15.75">
      <c r="B450" s="68">
        <v>2</v>
      </c>
      <c r="C450" s="68">
        <v>2</v>
      </c>
      <c r="D450" s="68">
        <v>2</v>
      </c>
      <c r="E450" s="68">
        <v>2</v>
      </c>
    </row>
    <row r="451" spans="2:5" ht="15.75">
      <c r="B451" s="68">
        <v>3</v>
      </c>
      <c r="C451" s="68">
        <v>3</v>
      </c>
      <c r="D451" s="68">
        <v>3</v>
      </c>
      <c r="E451" s="68">
        <v>3</v>
      </c>
    </row>
    <row r="452" spans="2:5" ht="15.75">
      <c r="B452" s="68">
        <v>8</v>
      </c>
      <c r="C452" s="68">
        <v>8</v>
      </c>
      <c r="D452" s="68">
        <v>8</v>
      </c>
      <c r="E452" s="68">
        <v>8</v>
      </c>
    </row>
    <row r="453" spans="2:5" ht="15.75">
      <c r="B453" s="68">
        <v>10</v>
      </c>
      <c r="C453" s="68">
        <v>10</v>
      </c>
      <c r="D453" s="68">
        <v>10</v>
      </c>
      <c r="E453" s="68">
        <v>10</v>
      </c>
    </row>
    <row r="454" spans="2:5" ht="15.75">
      <c r="B454" s="68">
        <v>7</v>
      </c>
      <c r="C454" s="68">
        <v>7</v>
      </c>
      <c r="D454" s="68">
        <v>7</v>
      </c>
      <c r="E454" s="68">
        <v>7</v>
      </c>
    </row>
    <row r="455" spans="2:5" ht="15.75">
      <c r="B455" s="68">
        <v>4</v>
      </c>
      <c r="C455" s="68">
        <v>4</v>
      </c>
      <c r="D455" s="68">
        <v>4</v>
      </c>
      <c r="E455" s="68">
        <v>4</v>
      </c>
    </row>
    <row r="456" spans="2:5" ht="15.75">
      <c r="B456" s="68">
        <v>10</v>
      </c>
      <c r="C456" s="68">
        <v>10</v>
      </c>
      <c r="D456" s="68">
        <v>10</v>
      </c>
      <c r="E456" s="68">
        <v>10</v>
      </c>
    </row>
    <row r="457" spans="2:5" ht="15.75">
      <c r="B457" s="68">
        <v>6</v>
      </c>
      <c r="C457" s="68">
        <v>6</v>
      </c>
      <c r="D457" s="68">
        <v>6</v>
      </c>
      <c r="E457" s="68">
        <v>6</v>
      </c>
    </row>
    <row r="458" spans="2:5" ht="15.75">
      <c r="B458" s="68">
        <v>1</v>
      </c>
      <c r="C458" s="68">
        <v>1</v>
      </c>
      <c r="D458" s="68">
        <v>1</v>
      </c>
      <c r="E458" s="68">
        <v>1</v>
      </c>
    </row>
    <row r="459" spans="2:5" ht="15.75">
      <c r="B459" s="68">
        <v>1</v>
      </c>
      <c r="C459" s="68">
        <v>1</v>
      </c>
      <c r="D459" s="68">
        <v>1</v>
      </c>
      <c r="E459" s="68">
        <v>1</v>
      </c>
    </row>
    <row r="460" spans="2:5" ht="15.75">
      <c r="B460" s="68">
        <v>6</v>
      </c>
      <c r="C460" s="68">
        <v>6</v>
      </c>
      <c r="D460" s="68">
        <v>6</v>
      </c>
      <c r="E460" s="68">
        <v>6</v>
      </c>
    </row>
    <row r="461" spans="2:5" ht="15.75">
      <c r="B461" s="68">
        <v>2</v>
      </c>
      <c r="C461" s="68">
        <v>2</v>
      </c>
      <c r="D461" s="68">
        <v>2</v>
      </c>
      <c r="E461" s="68">
        <v>2</v>
      </c>
    </row>
    <row r="462" spans="2:5" ht="15.75">
      <c r="B462" s="68">
        <v>2</v>
      </c>
      <c r="C462" s="68">
        <v>2</v>
      </c>
      <c r="D462" s="68">
        <v>2</v>
      </c>
      <c r="E462" s="68">
        <v>2</v>
      </c>
    </row>
    <row r="463" spans="2:5" ht="15.75">
      <c r="B463" s="68">
        <v>3</v>
      </c>
      <c r="C463" s="68">
        <v>3</v>
      </c>
      <c r="D463" s="68">
        <v>3</v>
      </c>
      <c r="E463" s="68">
        <v>3</v>
      </c>
    </row>
    <row r="464" spans="2:5" ht="15.75">
      <c r="B464" s="68">
        <v>9</v>
      </c>
      <c r="C464" s="68">
        <v>9</v>
      </c>
      <c r="D464" s="68">
        <v>9</v>
      </c>
      <c r="E464" s="68">
        <v>9</v>
      </c>
    </row>
    <row r="465" spans="2:5" ht="15.75">
      <c r="B465" s="68">
        <v>7</v>
      </c>
      <c r="C465" s="68">
        <v>7</v>
      </c>
      <c r="D465" s="68">
        <v>7</v>
      </c>
      <c r="E465" s="68">
        <v>7</v>
      </c>
    </row>
    <row r="466" spans="2:5" ht="15.75">
      <c r="B466" s="68">
        <v>10</v>
      </c>
      <c r="C466" s="68">
        <v>10</v>
      </c>
      <c r="D466" s="68">
        <v>10</v>
      </c>
      <c r="E466" s="68">
        <v>10</v>
      </c>
    </row>
    <row r="467" spans="2:5" ht="15.75">
      <c r="B467" s="68">
        <v>9</v>
      </c>
      <c r="C467" s="68">
        <v>9</v>
      </c>
      <c r="D467" s="68">
        <v>9</v>
      </c>
      <c r="E467" s="68">
        <v>9</v>
      </c>
    </row>
    <row r="468" spans="2:5" ht="15.75">
      <c r="B468" s="68">
        <v>4</v>
      </c>
      <c r="C468" s="68">
        <v>4</v>
      </c>
      <c r="D468" s="68">
        <v>4</v>
      </c>
      <c r="E468" s="68">
        <v>4</v>
      </c>
    </row>
    <row r="469" spans="2:5" ht="15.75">
      <c r="B469" s="68">
        <v>9</v>
      </c>
      <c r="C469" s="68">
        <v>9</v>
      </c>
      <c r="D469" s="68">
        <v>9</v>
      </c>
      <c r="E469" s="68">
        <v>9</v>
      </c>
    </row>
    <row r="470" spans="2:5" ht="15.75">
      <c r="B470" s="68">
        <v>3</v>
      </c>
      <c r="C470" s="68">
        <v>3</v>
      </c>
      <c r="D470" s="68">
        <v>3</v>
      </c>
      <c r="E470" s="68">
        <v>3</v>
      </c>
    </row>
    <row r="471" spans="2:5" ht="15.75">
      <c r="B471" s="68">
        <v>9</v>
      </c>
      <c r="C471" s="68">
        <v>9</v>
      </c>
      <c r="D471" s="68">
        <v>9</v>
      </c>
      <c r="E471" s="68">
        <v>9</v>
      </c>
    </row>
    <row r="472" spans="2:5" ht="15.75">
      <c r="B472" s="68">
        <v>7</v>
      </c>
      <c r="C472" s="68">
        <v>7</v>
      </c>
      <c r="D472" s="68">
        <v>7</v>
      </c>
      <c r="E472" s="68">
        <v>7</v>
      </c>
    </row>
    <row r="473" spans="2:5" ht="15.75">
      <c r="B473" s="68">
        <v>4</v>
      </c>
      <c r="C473" s="68">
        <v>4</v>
      </c>
      <c r="D473" s="68">
        <v>4</v>
      </c>
      <c r="E473" s="68">
        <v>4</v>
      </c>
    </row>
    <row r="474" spans="2:5" ht="15.75">
      <c r="B474" s="68">
        <v>1</v>
      </c>
      <c r="C474" s="68">
        <v>1</v>
      </c>
      <c r="D474" s="68">
        <v>1</v>
      </c>
      <c r="E474" s="68">
        <v>1</v>
      </c>
    </row>
    <row r="475" spans="2:5" ht="15.75">
      <c r="B475" s="68">
        <v>3</v>
      </c>
      <c r="C475" s="68">
        <v>3</v>
      </c>
      <c r="D475" s="68">
        <v>3</v>
      </c>
      <c r="E475" s="68">
        <v>3</v>
      </c>
    </row>
    <row r="476" spans="2:5" ht="15.75">
      <c r="B476" s="68">
        <v>6</v>
      </c>
      <c r="C476" s="68">
        <v>6</v>
      </c>
      <c r="D476" s="68">
        <v>6</v>
      </c>
      <c r="E476" s="68">
        <v>6</v>
      </c>
    </row>
    <row r="477" spans="2:5" ht="15.75">
      <c r="B477" s="68">
        <v>9</v>
      </c>
      <c r="C477" s="68">
        <v>9</v>
      </c>
      <c r="D477" s="68">
        <v>9</v>
      </c>
      <c r="E477" s="68">
        <v>9</v>
      </c>
    </row>
    <row r="478" spans="2:5" ht="15.75">
      <c r="B478" s="68">
        <v>9</v>
      </c>
      <c r="C478" s="68">
        <v>9</v>
      </c>
      <c r="D478" s="68">
        <v>9</v>
      </c>
      <c r="E478" s="68">
        <v>9</v>
      </c>
    </row>
    <row r="479" spans="2:5" ht="15.75">
      <c r="B479" s="68">
        <v>5</v>
      </c>
      <c r="C479" s="68">
        <v>5</v>
      </c>
      <c r="D479" s="68">
        <v>5</v>
      </c>
      <c r="E479" s="68">
        <v>5</v>
      </c>
    </row>
    <row r="480" spans="2:5" ht="15.75">
      <c r="B480" s="68">
        <v>3</v>
      </c>
      <c r="C480" s="68">
        <v>3</v>
      </c>
      <c r="D480" s="68">
        <v>3</v>
      </c>
      <c r="E480" s="68">
        <v>3</v>
      </c>
    </row>
    <row r="481" spans="2:5" ht="15.75">
      <c r="B481" s="68">
        <v>9</v>
      </c>
      <c r="C481" s="68">
        <v>9</v>
      </c>
      <c r="D481" s="68">
        <v>9</v>
      </c>
      <c r="E481" s="68">
        <v>9</v>
      </c>
    </row>
    <row r="482" spans="2:5" ht="15.75">
      <c r="B482" s="68">
        <v>7</v>
      </c>
      <c r="C482" s="68">
        <v>7</v>
      </c>
      <c r="D482" s="68">
        <v>7</v>
      </c>
      <c r="E482" s="68">
        <v>7</v>
      </c>
    </row>
    <row r="483" spans="2:5" ht="15.75">
      <c r="B483" s="68">
        <v>4</v>
      </c>
      <c r="C483" s="68">
        <v>4</v>
      </c>
      <c r="D483" s="68">
        <v>4</v>
      </c>
      <c r="E483" s="68">
        <v>4</v>
      </c>
    </row>
    <row r="484" spans="2:5" ht="15.75">
      <c r="B484" s="68">
        <v>8</v>
      </c>
      <c r="C484" s="68">
        <v>8</v>
      </c>
      <c r="D484" s="68">
        <v>8</v>
      </c>
      <c r="E484" s="68">
        <v>8</v>
      </c>
    </row>
    <row r="485" spans="2:5" ht="15.75">
      <c r="B485" s="68">
        <v>10</v>
      </c>
      <c r="C485" s="68">
        <v>10</v>
      </c>
      <c r="D485" s="68">
        <v>10</v>
      </c>
      <c r="E485" s="68">
        <v>10</v>
      </c>
    </row>
    <row r="486" spans="2:5" ht="15.75">
      <c r="B486" s="68">
        <v>3</v>
      </c>
      <c r="C486" s="68">
        <v>3</v>
      </c>
      <c r="D486" s="68">
        <v>3</v>
      </c>
      <c r="E486" s="68">
        <v>3</v>
      </c>
    </row>
    <row r="487" spans="2:5" ht="15.75">
      <c r="B487" s="68">
        <v>7</v>
      </c>
      <c r="C487" s="68">
        <v>7</v>
      </c>
      <c r="D487" s="68">
        <v>7</v>
      </c>
      <c r="E487" s="68">
        <v>7</v>
      </c>
    </row>
    <row r="488" spans="2:5" ht="15.75">
      <c r="B488" s="68">
        <v>1</v>
      </c>
      <c r="C488" s="68">
        <v>1</v>
      </c>
      <c r="D488" s="68">
        <v>1</v>
      </c>
      <c r="E488" s="68">
        <v>1</v>
      </c>
    </row>
    <row r="489" spans="2:5" ht="15.75">
      <c r="B489" s="68">
        <v>10</v>
      </c>
      <c r="C489" s="68">
        <v>10</v>
      </c>
      <c r="D489" s="68">
        <v>10</v>
      </c>
      <c r="E489" s="68">
        <v>10</v>
      </c>
    </row>
    <row r="490" spans="2:5" ht="15.75">
      <c r="B490" s="68">
        <v>10</v>
      </c>
      <c r="C490" s="68">
        <v>10</v>
      </c>
      <c r="D490" s="68">
        <v>10</v>
      </c>
      <c r="E490" s="68">
        <v>10</v>
      </c>
    </row>
    <row r="491" spans="2:5" ht="15.75">
      <c r="B491" s="68">
        <v>8</v>
      </c>
      <c r="C491" s="68">
        <v>8</v>
      </c>
      <c r="D491" s="68">
        <v>8</v>
      </c>
      <c r="E491" s="68">
        <v>8</v>
      </c>
    </row>
    <row r="492" spans="2:5" ht="15.75">
      <c r="B492" s="68">
        <v>1</v>
      </c>
      <c r="C492" s="68">
        <v>1</v>
      </c>
      <c r="D492" s="68">
        <v>1</v>
      </c>
      <c r="E492" s="68">
        <v>1</v>
      </c>
    </row>
    <row r="493" spans="2:5" ht="15.75">
      <c r="B493" s="68">
        <v>2</v>
      </c>
      <c r="C493" s="68">
        <v>2</v>
      </c>
      <c r="D493" s="68">
        <v>2</v>
      </c>
      <c r="E493" s="68">
        <v>2</v>
      </c>
    </row>
    <row r="494" spans="2:5" ht="15.75">
      <c r="B494" s="68">
        <v>8</v>
      </c>
      <c r="C494" s="68">
        <v>8</v>
      </c>
      <c r="D494" s="68">
        <v>8</v>
      </c>
      <c r="E494" s="68">
        <v>8</v>
      </c>
    </row>
    <row r="495" spans="2:5" ht="15.75">
      <c r="B495" s="68">
        <v>1</v>
      </c>
      <c r="C495" s="68">
        <v>1</v>
      </c>
      <c r="D495" s="68">
        <v>1</v>
      </c>
      <c r="E495" s="68">
        <v>1</v>
      </c>
    </row>
    <row r="496" spans="2:5" ht="15.75">
      <c r="B496" s="68">
        <v>7</v>
      </c>
      <c r="C496" s="68">
        <v>7</v>
      </c>
      <c r="D496" s="68">
        <v>7</v>
      </c>
      <c r="E496" s="68">
        <v>7</v>
      </c>
    </row>
    <row r="497" spans="2:5" ht="15.75">
      <c r="B497" s="68">
        <v>5</v>
      </c>
      <c r="C497" s="68">
        <v>5</v>
      </c>
      <c r="D497" s="68">
        <v>5</v>
      </c>
      <c r="E497" s="68">
        <v>5</v>
      </c>
    </row>
    <row r="498" spans="2:5" ht="15.75">
      <c r="B498" s="68">
        <v>10</v>
      </c>
      <c r="C498" s="68">
        <v>10</v>
      </c>
      <c r="D498" s="68">
        <v>10</v>
      </c>
      <c r="E498" s="68">
        <v>10</v>
      </c>
    </row>
    <row r="499" spans="2:5" ht="15.75">
      <c r="B499" s="68">
        <v>8</v>
      </c>
      <c r="C499" s="68">
        <v>8</v>
      </c>
      <c r="D499" s="68">
        <v>8</v>
      </c>
      <c r="E499" s="68">
        <v>8</v>
      </c>
    </row>
    <row r="500" spans="2:5" ht="15.75">
      <c r="B500" s="68">
        <v>10</v>
      </c>
      <c r="C500" s="68">
        <v>10</v>
      </c>
      <c r="D500" s="68">
        <v>10</v>
      </c>
      <c r="E500" s="68">
        <v>10</v>
      </c>
    </row>
    <row r="501" spans="2:5" ht="15.75">
      <c r="B501" s="68">
        <v>4</v>
      </c>
      <c r="C501" s="68">
        <v>4</v>
      </c>
      <c r="D501" s="68">
        <v>4</v>
      </c>
      <c r="E501" s="68">
        <v>4</v>
      </c>
    </row>
    <row r="502" spans="2:5" ht="15.75">
      <c r="B502" s="68">
        <v>10</v>
      </c>
      <c r="C502" s="68">
        <v>10</v>
      </c>
      <c r="D502" s="68">
        <v>10</v>
      </c>
      <c r="E502" s="68">
        <v>10</v>
      </c>
    </row>
    <row r="503" spans="2:5" ht="15.75">
      <c r="B503" s="68">
        <v>10</v>
      </c>
      <c r="C503" s="68">
        <v>10</v>
      </c>
      <c r="D503" s="68">
        <v>10</v>
      </c>
      <c r="E503" s="68">
        <v>10</v>
      </c>
    </row>
    <row r="504" spans="2:5" ht="15.75">
      <c r="B504" s="68">
        <v>5</v>
      </c>
      <c r="C504" s="68">
        <v>5</v>
      </c>
      <c r="D504" s="68">
        <v>5</v>
      </c>
      <c r="E504" s="68">
        <v>5</v>
      </c>
    </row>
    <row r="505" spans="2:5" ht="15.75">
      <c r="B505" s="68">
        <v>4</v>
      </c>
      <c r="C505" s="68">
        <v>4</v>
      </c>
      <c r="D505" s="68">
        <v>4</v>
      </c>
      <c r="E505" s="68">
        <v>4</v>
      </c>
    </row>
    <row r="506" spans="2:5" ht="15.75">
      <c r="B506" s="68">
        <v>6</v>
      </c>
      <c r="C506" s="68">
        <v>6</v>
      </c>
      <c r="D506" s="68">
        <v>6</v>
      </c>
      <c r="E506" s="68">
        <v>6</v>
      </c>
    </row>
    <row r="507" spans="2:5" ht="15.75">
      <c r="B507" s="68">
        <v>4</v>
      </c>
      <c r="C507" s="68">
        <v>4</v>
      </c>
      <c r="D507" s="68">
        <v>4</v>
      </c>
      <c r="E507" s="68">
        <v>4</v>
      </c>
    </row>
    <row r="508" spans="2:5" ht="15.75">
      <c r="B508" s="68">
        <v>4</v>
      </c>
      <c r="C508" s="68">
        <v>4</v>
      </c>
      <c r="D508" s="68">
        <v>4</v>
      </c>
      <c r="E508" s="68">
        <v>4</v>
      </c>
    </row>
    <row r="509" spans="2:5" ht="15.75">
      <c r="B509" s="68">
        <v>7</v>
      </c>
      <c r="C509" s="68">
        <v>7</v>
      </c>
      <c r="D509" s="68">
        <v>7</v>
      </c>
      <c r="E509" s="68">
        <v>7</v>
      </c>
    </row>
    <row r="510" spans="2:5" ht="15.75">
      <c r="B510" s="68">
        <v>7</v>
      </c>
      <c r="C510" s="68">
        <v>7</v>
      </c>
      <c r="D510" s="68">
        <v>7</v>
      </c>
      <c r="E510" s="68">
        <v>7</v>
      </c>
    </row>
    <row r="511" spans="2:5" ht="15.75">
      <c r="B511" s="68">
        <v>1</v>
      </c>
      <c r="C511" s="68">
        <v>1</v>
      </c>
      <c r="D511" s="68">
        <v>1</v>
      </c>
      <c r="E511" s="68">
        <v>1</v>
      </c>
    </row>
    <row r="512" spans="2:5" ht="15.75">
      <c r="B512" s="68">
        <v>2</v>
      </c>
      <c r="C512" s="68">
        <v>2</v>
      </c>
      <c r="D512" s="68">
        <v>2</v>
      </c>
      <c r="E512" s="68">
        <v>2</v>
      </c>
    </row>
    <row r="513" spans="2:5" ht="15.75">
      <c r="B513" s="68">
        <v>5</v>
      </c>
      <c r="C513" s="68">
        <v>5</v>
      </c>
      <c r="D513" s="68">
        <v>5</v>
      </c>
      <c r="E513" s="68">
        <v>5</v>
      </c>
    </row>
    <row r="514" spans="2:5" ht="15.75">
      <c r="B514" s="68">
        <v>7</v>
      </c>
      <c r="C514" s="68">
        <v>7</v>
      </c>
      <c r="D514" s="68">
        <v>7</v>
      </c>
      <c r="E514" s="68">
        <v>7</v>
      </c>
    </row>
    <row r="515" spans="2:5" ht="15.75">
      <c r="B515" s="68">
        <v>1</v>
      </c>
      <c r="C515" s="68">
        <v>1</v>
      </c>
      <c r="D515" s="68">
        <v>1</v>
      </c>
      <c r="E515" s="68">
        <v>1</v>
      </c>
    </row>
    <row r="516" spans="2:5" ht="15.75">
      <c r="B516" s="68">
        <v>5</v>
      </c>
      <c r="C516" s="68">
        <v>5</v>
      </c>
      <c r="D516" s="68">
        <v>5</v>
      </c>
      <c r="E516" s="68">
        <v>5</v>
      </c>
    </row>
    <row r="517" spans="2:5" ht="15.75">
      <c r="B517" s="68">
        <v>9</v>
      </c>
      <c r="C517" s="68">
        <v>9</v>
      </c>
      <c r="D517" s="68">
        <v>9</v>
      </c>
      <c r="E517" s="68">
        <v>9</v>
      </c>
    </row>
    <row r="518" spans="2:5" ht="15.75">
      <c r="B518" s="68">
        <v>8</v>
      </c>
      <c r="C518" s="68">
        <v>8</v>
      </c>
      <c r="D518" s="68">
        <v>8</v>
      </c>
      <c r="E518" s="68">
        <v>8</v>
      </c>
    </row>
    <row r="519" spans="2:5" ht="15.75">
      <c r="B519" s="68">
        <v>4</v>
      </c>
      <c r="C519" s="68">
        <v>4</v>
      </c>
      <c r="D519" s="68">
        <v>4</v>
      </c>
      <c r="E519" s="68">
        <v>4</v>
      </c>
    </row>
    <row r="520" spans="2:5" ht="15.75">
      <c r="B520" s="68">
        <v>5</v>
      </c>
      <c r="C520" s="68">
        <v>5</v>
      </c>
      <c r="D520" s="68">
        <v>5</v>
      </c>
      <c r="E520" s="68">
        <v>5</v>
      </c>
    </row>
    <row r="521" spans="2:5" ht="15.75">
      <c r="B521" s="68">
        <v>7</v>
      </c>
      <c r="C521" s="68">
        <v>7</v>
      </c>
      <c r="D521" s="68">
        <v>7</v>
      </c>
      <c r="E521" s="68">
        <v>7</v>
      </c>
    </row>
    <row r="522" spans="2:5" ht="15.75">
      <c r="B522" s="68">
        <v>8</v>
      </c>
      <c r="C522" s="68">
        <v>8</v>
      </c>
      <c r="D522" s="68">
        <v>8</v>
      </c>
      <c r="E522" s="68">
        <v>8</v>
      </c>
    </row>
    <row r="523" spans="2:5" ht="15.75">
      <c r="B523" s="68">
        <v>5</v>
      </c>
      <c r="C523" s="68">
        <v>5</v>
      </c>
      <c r="D523" s="68">
        <v>5</v>
      </c>
      <c r="E523" s="68">
        <v>5</v>
      </c>
    </row>
    <row r="524" spans="2:5" ht="15.75">
      <c r="B524" s="68">
        <v>3</v>
      </c>
      <c r="C524" s="68">
        <v>3</v>
      </c>
      <c r="D524" s="68">
        <v>3</v>
      </c>
      <c r="E524" s="68">
        <v>3</v>
      </c>
    </row>
    <row r="525" spans="2:5" ht="15.75">
      <c r="B525" s="68">
        <v>7</v>
      </c>
      <c r="C525" s="68">
        <v>7</v>
      </c>
      <c r="D525" s="68">
        <v>7</v>
      </c>
      <c r="E525" s="68">
        <v>7</v>
      </c>
    </row>
    <row r="526" spans="2:5" ht="15.75">
      <c r="B526" s="68">
        <v>4</v>
      </c>
      <c r="C526" s="68">
        <v>4</v>
      </c>
      <c r="D526" s="68">
        <v>4</v>
      </c>
      <c r="E526" s="68">
        <v>4</v>
      </c>
    </row>
    <row r="527" spans="2:5" ht="15.75">
      <c r="B527" s="68">
        <v>7</v>
      </c>
      <c r="C527" s="68">
        <v>7</v>
      </c>
      <c r="D527" s="68">
        <v>7</v>
      </c>
      <c r="E527" s="68">
        <v>7</v>
      </c>
    </row>
    <row r="528" spans="2:5" ht="15.75">
      <c r="B528" s="68">
        <v>2</v>
      </c>
      <c r="C528" s="68">
        <v>2</v>
      </c>
      <c r="D528" s="68">
        <v>2</v>
      </c>
      <c r="E528" s="68">
        <v>2</v>
      </c>
    </row>
    <row r="529" spans="2:5" ht="15.75">
      <c r="B529" s="68">
        <v>10</v>
      </c>
      <c r="C529" s="68">
        <v>10</v>
      </c>
      <c r="D529" s="68">
        <v>10</v>
      </c>
      <c r="E529" s="68">
        <v>10</v>
      </c>
    </row>
    <row r="530" spans="2:5" ht="15.75">
      <c r="B530" s="68">
        <v>1</v>
      </c>
      <c r="C530" s="68">
        <v>1</v>
      </c>
      <c r="D530" s="68">
        <v>1</v>
      </c>
      <c r="E530" s="68">
        <v>1</v>
      </c>
    </row>
    <row r="531" spans="2:5" ht="15.75">
      <c r="B531" s="68">
        <v>6</v>
      </c>
      <c r="C531" s="68">
        <v>6</v>
      </c>
      <c r="D531" s="68">
        <v>6</v>
      </c>
      <c r="E531" s="68">
        <v>6</v>
      </c>
    </row>
    <row r="532" spans="2:5" ht="15.75">
      <c r="B532" s="68">
        <v>8</v>
      </c>
      <c r="C532" s="68">
        <v>8</v>
      </c>
      <c r="D532" s="68">
        <v>8</v>
      </c>
      <c r="E532" s="68">
        <v>8</v>
      </c>
    </row>
    <row r="533" spans="2:5" ht="15.75">
      <c r="B533" s="68">
        <v>9</v>
      </c>
      <c r="C533" s="68">
        <v>9</v>
      </c>
      <c r="D533" s="68">
        <v>9</v>
      </c>
      <c r="E533" s="68">
        <v>9</v>
      </c>
    </row>
    <row r="534" spans="2:5" ht="15.75">
      <c r="B534" s="68">
        <v>2</v>
      </c>
      <c r="C534" s="68">
        <v>2</v>
      </c>
      <c r="D534" s="68">
        <v>2</v>
      </c>
      <c r="E534" s="68">
        <v>2</v>
      </c>
    </row>
    <row r="535" spans="2:5" ht="15.75">
      <c r="B535" s="68">
        <v>4</v>
      </c>
      <c r="C535" s="68">
        <v>4</v>
      </c>
      <c r="D535" s="68">
        <v>4</v>
      </c>
      <c r="E535" s="68">
        <v>4</v>
      </c>
    </row>
    <row r="536" spans="2:5" ht="15.75">
      <c r="B536" s="68">
        <v>1</v>
      </c>
      <c r="C536" s="68">
        <v>1</v>
      </c>
      <c r="D536" s="68">
        <v>1</v>
      </c>
      <c r="E536" s="68">
        <v>1</v>
      </c>
    </row>
    <row r="537" spans="2:5" ht="15.75">
      <c r="B537" s="68">
        <v>8</v>
      </c>
      <c r="C537" s="68">
        <v>8</v>
      </c>
      <c r="D537" s="68">
        <v>8</v>
      </c>
      <c r="E537" s="68">
        <v>8</v>
      </c>
    </row>
    <row r="538" spans="2:5" ht="15.75">
      <c r="B538" s="68">
        <v>10</v>
      </c>
      <c r="C538" s="68">
        <v>10</v>
      </c>
      <c r="D538" s="68">
        <v>10</v>
      </c>
      <c r="E538" s="68">
        <v>10</v>
      </c>
    </row>
    <row r="539" spans="2:5" ht="15.75">
      <c r="B539" s="68">
        <v>5</v>
      </c>
      <c r="C539" s="68">
        <v>5</v>
      </c>
      <c r="D539" s="68">
        <v>5</v>
      </c>
      <c r="E539" s="68">
        <v>5</v>
      </c>
    </row>
    <row r="540" spans="2:5" ht="15.75">
      <c r="B540" s="68">
        <v>1</v>
      </c>
      <c r="C540" s="68">
        <v>1</v>
      </c>
      <c r="D540" s="68">
        <v>1</v>
      </c>
      <c r="E540" s="68">
        <v>1</v>
      </c>
    </row>
    <row r="541" spans="2:5" ht="15.75">
      <c r="B541" s="68">
        <v>8</v>
      </c>
      <c r="C541" s="68">
        <v>8</v>
      </c>
      <c r="D541" s="68">
        <v>8</v>
      </c>
      <c r="E541" s="68">
        <v>8</v>
      </c>
    </row>
    <row r="542" spans="2:5" ht="15.75">
      <c r="B542" s="68">
        <v>8</v>
      </c>
      <c r="C542" s="68">
        <v>8</v>
      </c>
      <c r="D542" s="68">
        <v>8</v>
      </c>
      <c r="E542" s="68">
        <v>8</v>
      </c>
    </row>
    <row r="543" spans="2:5" ht="15.75">
      <c r="B543" s="68">
        <v>8</v>
      </c>
      <c r="C543" s="68">
        <v>8</v>
      </c>
      <c r="D543" s="68">
        <v>8</v>
      </c>
      <c r="E543" s="68">
        <v>8</v>
      </c>
    </row>
    <row r="544" spans="2:5" ht="15.75">
      <c r="B544" s="68">
        <v>4</v>
      </c>
      <c r="C544" s="68">
        <v>4</v>
      </c>
      <c r="D544" s="68">
        <v>4</v>
      </c>
      <c r="E544" s="68">
        <v>4</v>
      </c>
    </row>
    <row r="545" spans="2:5" ht="15.75">
      <c r="B545" s="68">
        <v>5</v>
      </c>
      <c r="C545" s="68">
        <v>5</v>
      </c>
      <c r="D545" s="68">
        <v>5</v>
      </c>
      <c r="E545" s="68">
        <v>5</v>
      </c>
    </row>
    <row r="546" spans="2:5" ht="15.75">
      <c r="B546" s="68">
        <v>4</v>
      </c>
      <c r="C546" s="68">
        <v>4</v>
      </c>
      <c r="D546" s="68">
        <v>4</v>
      </c>
      <c r="E546" s="68">
        <v>4</v>
      </c>
    </row>
    <row r="547" spans="2:5" ht="15.75">
      <c r="B547" s="68">
        <v>1</v>
      </c>
      <c r="C547" s="68">
        <v>1</v>
      </c>
      <c r="D547" s="68">
        <v>1</v>
      </c>
      <c r="E547" s="68">
        <v>1</v>
      </c>
    </row>
    <row r="548" spans="2:5" ht="15.75">
      <c r="B548" s="68">
        <v>3</v>
      </c>
      <c r="C548" s="68">
        <v>3</v>
      </c>
      <c r="D548" s="68">
        <v>3</v>
      </c>
      <c r="E548" s="68">
        <v>3</v>
      </c>
    </row>
    <row r="549" spans="2:5" ht="15.75">
      <c r="B549" s="68">
        <v>7</v>
      </c>
      <c r="C549" s="68">
        <v>7</v>
      </c>
      <c r="D549" s="68">
        <v>7</v>
      </c>
      <c r="E549" s="68">
        <v>7</v>
      </c>
    </row>
    <row r="550" spans="2:5" ht="15.75">
      <c r="B550" s="68">
        <v>4</v>
      </c>
      <c r="C550" s="68">
        <v>4</v>
      </c>
      <c r="D550" s="68">
        <v>4</v>
      </c>
      <c r="E550" s="68">
        <v>4</v>
      </c>
    </row>
    <row r="551" spans="2:5" ht="15.75">
      <c r="B551" s="68">
        <v>9</v>
      </c>
      <c r="C551" s="68">
        <v>9</v>
      </c>
      <c r="D551" s="68">
        <v>9</v>
      </c>
      <c r="E551" s="68">
        <v>9</v>
      </c>
    </row>
    <row r="552" spans="2:5" ht="15.75">
      <c r="B552" s="68">
        <v>10</v>
      </c>
      <c r="C552" s="68">
        <v>10</v>
      </c>
      <c r="D552" s="68">
        <v>10</v>
      </c>
      <c r="E552" s="68">
        <v>10</v>
      </c>
    </row>
    <row r="553" spans="2:5" ht="15.75">
      <c r="B553" s="68">
        <v>10</v>
      </c>
      <c r="C553" s="68">
        <v>10</v>
      </c>
      <c r="D553" s="68">
        <v>10</v>
      </c>
      <c r="E553" s="68">
        <v>10</v>
      </c>
    </row>
    <row r="554" spans="2:5" ht="15.75">
      <c r="B554" s="68">
        <v>8</v>
      </c>
      <c r="C554" s="68">
        <v>8</v>
      </c>
      <c r="D554" s="68">
        <v>8</v>
      </c>
      <c r="E554" s="68">
        <v>8</v>
      </c>
    </row>
    <row r="555" spans="2:5" ht="15.75">
      <c r="B555" s="68">
        <v>4</v>
      </c>
      <c r="C555" s="68">
        <v>4</v>
      </c>
      <c r="D555" s="68">
        <v>4</v>
      </c>
      <c r="E555" s="68">
        <v>4</v>
      </c>
    </row>
    <row r="556" spans="2:5" ht="15.75">
      <c r="B556" s="68">
        <v>8</v>
      </c>
      <c r="C556" s="68">
        <v>8</v>
      </c>
      <c r="D556" s="68">
        <v>8</v>
      </c>
      <c r="E556" s="68">
        <v>8</v>
      </c>
    </row>
    <row r="557" spans="2:5" ht="15.75">
      <c r="B557" s="68">
        <v>1</v>
      </c>
      <c r="C557" s="68">
        <v>1</v>
      </c>
      <c r="D557" s="68">
        <v>1</v>
      </c>
      <c r="E557" s="68">
        <v>1</v>
      </c>
    </row>
    <row r="558" spans="2:5" ht="15.75">
      <c r="B558" s="68">
        <v>6</v>
      </c>
      <c r="C558" s="68">
        <v>6</v>
      </c>
      <c r="D558" s="68">
        <v>6</v>
      </c>
      <c r="E558" s="68">
        <v>6</v>
      </c>
    </row>
    <row r="559" spans="2:5" ht="15.75">
      <c r="B559" s="68">
        <v>10</v>
      </c>
      <c r="C559" s="68">
        <v>10</v>
      </c>
      <c r="D559" s="68">
        <v>10</v>
      </c>
      <c r="E559" s="68">
        <v>10</v>
      </c>
    </row>
    <row r="560" spans="2:5" ht="15.75">
      <c r="B560" s="68">
        <v>6</v>
      </c>
      <c r="C560" s="68">
        <v>6</v>
      </c>
      <c r="D560" s="68">
        <v>6</v>
      </c>
      <c r="E560" s="68">
        <v>6</v>
      </c>
    </row>
    <row r="561" spans="2:5" ht="15.75">
      <c r="B561" s="68">
        <v>1</v>
      </c>
      <c r="C561" s="68">
        <v>1</v>
      </c>
      <c r="D561" s="68">
        <v>1</v>
      </c>
      <c r="E561" s="68">
        <v>1</v>
      </c>
    </row>
    <row r="562" spans="2:5" ht="15.75">
      <c r="B562" s="68">
        <v>2</v>
      </c>
      <c r="C562" s="68">
        <v>2</v>
      </c>
      <c r="D562" s="68">
        <v>2</v>
      </c>
      <c r="E562" s="68">
        <v>2</v>
      </c>
    </row>
    <row r="563" spans="2:5" ht="15.75">
      <c r="B563" s="68">
        <v>2</v>
      </c>
      <c r="C563" s="68">
        <v>2</v>
      </c>
      <c r="D563" s="68">
        <v>2</v>
      </c>
      <c r="E563" s="68">
        <v>2</v>
      </c>
    </row>
    <row r="564" spans="2:5" ht="15.75">
      <c r="B564" s="68">
        <v>3</v>
      </c>
      <c r="C564" s="68">
        <v>3</v>
      </c>
      <c r="D564" s="68">
        <v>3</v>
      </c>
      <c r="E564" s="68">
        <v>3</v>
      </c>
    </row>
    <row r="565" spans="2:5" ht="15.75">
      <c r="B565" s="68">
        <v>1</v>
      </c>
      <c r="C565" s="68">
        <v>1</v>
      </c>
      <c r="D565" s="68">
        <v>1</v>
      </c>
      <c r="E565" s="68">
        <v>1</v>
      </c>
    </row>
    <row r="566" spans="2:5" ht="15.75">
      <c r="B566" s="68">
        <v>1</v>
      </c>
      <c r="C566" s="68">
        <v>1</v>
      </c>
      <c r="D566" s="68">
        <v>1</v>
      </c>
      <c r="E566" s="68">
        <v>1</v>
      </c>
    </row>
    <row r="567" spans="2:5" ht="15.75">
      <c r="B567" s="68">
        <v>9</v>
      </c>
      <c r="C567" s="68">
        <v>9</v>
      </c>
      <c r="D567" s="68">
        <v>9</v>
      </c>
      <c r="E567" s="68">
        <v>9</v>
      </c>
    </row>
    <row r="568" spans="2:5" ht="15.75">
      <c r="B568" s="68">
        <v>7</v>
      </c>
      <c r="C568" s="68">
        <v>7</v>
      </c>
      <c r="D568" s="68">
        <v>7</v>
      </c>
      <c r="E568" s="68">
        <v>7</v>
      </c>
    </row>
    <row r="569" spans="2:5" ht="15.75">
      <c r="B569" s="68">
        <v>10</v>
      </c>
      <c r="C569" s="68">
        <v>10</v>
      </c>
      <c r="D569" s="68">
        <v>10</v>
      </c>
      <c r="E569" s="68">
        <v>10</v>
      </c>
    </row>
    <row r="570" spans="2:5" ht="15.75">
      <c r="B570" s="68">
        <v>5</v>
      </c>
      <c r="C570" s="68">
        <v>5</v>
      </c>
      <c r="D570" s="68">
        <v>5</v>
      </c>
      <c r="E570" s="68">
        <v>5</v>
      </c>
    </row>
    <row r="571" spans="2:5" ht="15.75">
      <c r="B571" s="68">
        <v>8</v>
      </c>
      <c r="C571" s="68">
        <v>8</v>
      </c>
      <c r="D571" s="68">
        <v>8</v>
      </c>
      <c r="E571" s="68">
        <v>8</v>
      </c>
    </row>
    <row r="572" spans="2:5" ht="15.75">
      <c r="B572" s="68">
        <v>6</v>
      </c>
      <c r="C572" s="68">
        <v>6</v>
      </c>
      <c r="D572" s="68">
        <v>6</v>
      </c>
      <c r="E572" s="68">
        <v>6</v>
      </c>
    </row>
    <row r="573" spans="2:5" ht="15.75">
      <c r="B573" s="68">
        <v>9</v>
      </c>
      <c r="C573" s="68">
        <v>9</v>
      </c>
      <c r="D573" s="68">
        <v>9</v>
      </c>
      <c r="E573" s="68">
        <v>9</v>
      </c>
    </row>
    <row r="574" spans="2:5" ht="15.75">
      <c r="B574" s="68">
        <v>2</v>
      </c>
      <c r="C574" s="68">
        <v>2</v>
      </c>
      <c r="D574" s="68">
        <v>2</v>
      </c>
      <c r="E574" s="68">
        <v>2</v>
      </c>
    </row>
    <row r="575" spans="2:5" ht="15.75">
      <c r="B575" s="68">
        <v>3</v>
      </c>
      <c r="C575" s="68">
        <v>3</v>
      </c>
      <c r="D575" s="68">
        <v>3</v>
      </c>
      <c r="E575" s="68">
        <v>3</v>
      </c>
    </row>
    <row r="576" spans="2:5" ht="15.75">
      <c r="B576" s="68">
        <v>3</v>
      </c>
      <c r="C576" s="68">
        <v>3</v>
      </c>
      <c r="D576" s="68">
        <v>3</v>
      </c>
      <c r="E576" s="68">
        <v>3</v>
      </c>
    </row>
    <row r="577" spans="2:5" ht="15.75">
      <c r="B577" s="68">
        <v>8</v>
      </c>
      <c r="C577" s="68">
        <v>8</v>
      </c>
      <c r="D577" s="68">
        <v>8</v>
      </c>
      <c r="E577" s="68">
        <v>8</v>
      </c>
    </row>
    <row r="578" spans="2:5" ht="15.75">
      <c r="B578" s="68">
        <v>2</v>
      </c>
      <c r="C578" s="68">
        <v>2</v>
      </c>
      <c r="D578" s="68">
        <v>2</v>
      </c>
      <c r="E578" s="68">
        <v>2</v>
      </c>
    </row>
    <row r="579" spans="2:5" ht="15.75">
      <c r="B579" s="68">
        <v>3</v>
      </c>
      <c r="C579" s="68">
        <v>3</v>
      </c>
      <c r="D579" s="68">
        <v>3</v>
      </c>
      <c r="E579" s="68">
        <v>3</v>
      </c>
    </row>
    <row r="580" spans="2:5" ht="15.75">
      <c r="B580" s="68">
        <v>4</v>
      </c>
      <c r="C580" s="68">
        <v>4</v>
      </c>
      <c r="D580" s="68">
        <v>4</v>
      </c>
      <c r="E580" s="68">
        <v>4</v>
      </c>
    </row>
    <row r="581" spans="2:5" ht="15.75">
      <c r="B581" s="68">
        <v>7</v>
      </c>
      <c r="C581" s="68">
        <v>7</v>
      </c>
      <c r="D581" s="68">
        <v>7</v>
      </c>
      <c r="E581" s="68">
        <v>7</v>
      </c>
    </row>
    <row r="582" spans="2:5" ht="15.75">
      <c r="B582" s="68">
        <v>10</v>
      </c>
      <c r="C582" s="68">
        <v>10</v>
      </c>
      <c r="D582" s="68">
        <v>10</v>
      </c>
      <c r="E582" s="68">
        <v>10</v>
      </c>
    </row>
    <row r="583" spans="2:5" ht="15.75">
      <c r="B583" s="68">
        <v>6</v>
      </c>
      <c r="C583" s="68">
        <v>6</v>
      </c>
      <c r="D583" s="68">
        <v>6</v>
      </c>
      <c r="E583" s="68">
        <v>6</v>
      </c>
    </row>
    <row r="584" spans="2:5" ht="15.75">
      <c r="B584" s="68">
        <v>1</v>
      </c>
      <c r="C584" s="68">
        <v>1</v>
      </c>
      <c r="D584" s="68">
        <v>1</v>
      </c>
      <c r="E584" s="68">
        <v>1</v>
      </c>
    </row>
    <row r="585" spans="2:5" ht="15.75">
      <c r="B585" s="68">
        <v>8</v>
      </c>
      <c r="C585" s="68">
        <v>8</v>
      </c>
      <c r="D585" s="68">
        <v>8</v>
      </c>
      <c r="E585" s="68">
        <v>8</v>
      </c>
    </row>
    <row r="586" spans="2:5" ht="15.75">
      <c r="B586" s="68">
        <v>8</v>
      </c>
      <c r="C586" s="68">
        <v>8</v>
      </c>
      <c r="D586" s="68">
        <v>8</v>
      </c>
      <c r="E586" s="68">
        <v>8</v>
      </c>
    </row>
    <row r="587" spans="2:5" ht="15.75">
      <c r="B587" s="68">
        <v>10</v>
      </c>
      <c r="C587" s="68">
        <v>10</v>
      </c>
      <c r="D587" s="68">
        <v>10</v>
      </c>
      <c r="E587" s="68">
        <v>10</v>
      </c>
    </row>
    <row r="588" spans="2:5" ht="15.75">
      <c r="B588" s="68">
        <v>10</v>
      </c>
      <c r="C588" s="68">
        <v>10</v>
      </c>
      <c r="D588" s="68">
        <v>10</v>
      </c>
      <c r="E588" s="68">
        <v>10</v>
      </c>
    </row>
    <row r="589" spans="2:5" ht="15.75">
      <c r="B589" s="68">
        <v>2</v>
      </c>
      <c r="C589" s="68">
        <v>2</v>
      </c>
      <c r="D589" s="68">
        <v>2</v>
      </c>
      <c r="E589" s="68">
        <v>2</v>
      </c>
    </row>
    <row r="590" spans="2:5" ht="15.75">
      <c r="B590" s="68">
        <v>7</v>
      </c>
      <c r="C590" s="68">
        <v>7</v>
      </c>
      <c r="D590" s="68">
        <v>7</v>
      </c>
      <c r="E590" s="68">
        <v>7</v>
      </c>
    </row>
    <row r="591" spans="2:5" ht="15.75">
      <c r="B591" s="68">
        <v>1</v>
      </c>
      <c r="C591" s="68">
        <v>1</v>
      </c>
      <c r="D591" s="68">
        <v>1</v>
      </c>
      <c r="E591" s="68">
        <v>1</v>
      </c>
    </row>
    <row r="592" spans="2:5" ht="15.75">
      <c r="B592" s="68">
        <v>10</v>
      </c>
      <c r="C592" s="68">
        <v>10</v>
      </c>
      <c r="D592" s="68">
        <v>10</v>
      </c>
      <c r="E592" s="68">
        <v>10</v>
      </c>
    </row>
    <row r="593" spans="2:5" ht="15.75">
      <c r="B593" s="68">
        <v>10</v>
      </c>
      <c r="C593" s="68">
        <v>10</v>
      </c>
      <c r="D593" s="68">
        <v>10</v>
      </c>
      <c r="E593" s="68">
        <v>10</v>
      </c>
    </row>
    <row r="594" spans="2:5" ht="15.75">
      <c r="B594" s="68">
        <v>5</v>
      </c>
      <c r="C594" s="68">
        <v>5</v>
      </c>
      <c r="D594" s="68">
        <v>5</v>
      </c>
      <c r="E594" s="68">
        <v>5</v>
      </c>
    </row>
    <row r="595" spans="2:5" ht="15.75">
      <c r="B595" s="68">
        <v>8</v>
      </c>
      <c r="C595" s="68">
        <v>8</v>
      </c>
      <c r="D595" s="68">
        <v>8</v>
      </c>
      <c r="E595" s="68">
        <v>8</v>
      </c>
    </row>
    <row r="596" spans="2:5" ht="15.75">
      <c r="B596" s="68">
        <v>5</v>
      </c>
      <c r="C596" s="68">
        <v>5</v>
      </c>
      <c r="D596" s="68">
        <v>5</v>
      </c>
      <c r="E596" s="68">
        <v>5</v>
      </c>
    </row>
    <row r="597" spans="2:5" ht="15.75">
      <c r="B597" s="68">
        <v>6</v>
      </c>
      <c r="C597" s="68">
        <v>6</v>
      </c>
      <c r="D597" s="68">
        <v>6</v>
      </c>
      <c r="E597" s="68">
        <v>6</v>
      </c>
    </row>
    <row r="598" spans="2:5" ht="15.75">
      <c r="B598" s="68">
        <v>8</v>
      </c>
      <c r="C598" s="68">
        <v>8</v>
      </c>
      <c r="D598" s="68">
        <v>8</v>
      </c>
      <c r="E598" s="68">
        <v>8</v>
      </c>
    </row>
    <row r="599" spans="2:5" ht="15.75">
      <c r="B599" s="68">
        <v>6</v>
      </c>
      <c r="C599" s="68">
        <v>6</v>
      </c>
      <c r="D599" s="68">
        <v>6</v>
      </c>
      <c r="E599" s="68">
        <v>6</v>
      </c>
    </row>
    <row r="600" spans="2:5" ht="15.75">
      <c r="B600" s="68">
        <v>7</v>
      </c>
      <c r="C600" s="68">
        <v>7</v>
      </c>
      <c r="D600" s="68">
        <v>7</v>
      </c>
      <c r="E600" s="68">
        <v>7</v>
      </c>
    </row>
    <row r="601" spans="2:5" ht="15.75">
      <c r="B601" s="68">
        <v>9</v>
      </c>
      <c r="C601" s="68">
        <v>9</v>
      </c>
      <c r="D601" s="68">
        <v>9</v>
      </c>
      <c r="E601" s="68">
        <v>9</v>
      </c>
    </row>
    <row r="602" spans="2:5" ht="15.75">
      <c r="B602" s="68">
        <v>9</v>
      </c>
      <c r="C602" s="68">
        <v>9</v>
      </c>
      <c r="D602" s="68">
        <v>9</v>
      </c>
      <c r="E602" s="68">
        <v>9</v>
      </c>
    </row>
    <row r="603" spans="2:5" ht="15.75">
      <c r="B603" s="68">
        <v>5</v>
      </c>
      <c r="C603" s="68">
        <v>5</v>
      </c>
      <c r="D603" s="68">
        <v>5</v>
      </c>
      <c r="E603" s="68">
        <v>5</v>
      </c>
    </row>
    <row r="604" spans="2:5" ht="15.75">
      <c r="B604" s="68">
        <v>7</v>
      </c>
      <c r="C604" s="68">
        <v>7</v>
      </c>
      <c r="D604" s="68">
        <v>7</v>
      </c>
      <c r="E604" s="68">
        <v>7</v>
      </c>
    </row>
    <row r="605" spans="2:5" ht="15.75">
      <c r="B605" s="68">
        <v>2</v>
      </c>
      <c r="C605" s="68">
        <v>2</v>
      </c>
      <c r="D605" s="68">
        <v>2</v>
      </c>
      <c r="E605" s="68">
        <v>2</v>
      </c>
    </row>
    <row r="606" spans="2:5" ht="15.75">
      <c r="B606" s="68">
        <v>10</v>
      </c>
      <c r="C606" s="68">
        <v>10</v>
      </c>
      <c r="D606" s="68">
        <v>10</v>
      </c>
      <c r="E606" s="68">
        <v>10</v>
      </c>
    </row>
    <row r="607" spans="2:5" ht="15.75">
      <c r="B607" s="68">
        <v>5</v>
      </c>
      <c r="C607" s="68">
        <v>5</v>
      </c>
      <c r="D607" s="68">
        <v>5</v>
      </c>
      <c r="E607" s="68">
        <v>5</v>
      </c>
    </row>
    <row r="608" spans="2:5" ht="15.75">
      <c r="B608" s="68">
        <v>2</v>
      </c>
      <c r="C608" s="68">
        <v>2</v>
      </c>
      <c r="D608" s="68">
        <v>2</v>
      </c>
      <c r="E608" s="68">
        <v>2</v>
      </c>
    </row>
    <row r="609" spans="2:5" ht="15.75">
      <c r="B609" s="68">
        <v>3</v>
      </c>
      <c r="C609" s="68">
        <v>3</v>
      </c>
      <c r="D609" s="68">
        <v>3</v>
      </c>
      <c r="E609" s="68">
        <v>3</v>
      </c>
    </row>
    <row r="610" spans="2:5" ht="15.75">
      <c r="B610" s="68">
        <v>4</v>
      </c>
      <c r="C610" s="68">
        <v>4</v>
      </c>
      <c r="D610" s="68">
        <v>4</v>
      </c>
      <c r="E610" s="68">
        <v>4</v>
      </c>
    </row>
    <row r="611" spans="2:5" ht="15.75">
      <c r="B611" s="68">
        <v>3</v>
      </c>
      <c r="C611" s="68">
        <v>3</v>
      </c>
      <c r="D611" s="68">
        <v>3</v>
      </c>
      <c r="E611" s="68">
        <v>3</v>
      </c>
    </row>
    <row r="612" spans="2:5" ht="15.75">
      <c r="B612" s="68">
        <v>6</v>
      </c>
      <c r="C612" s="68">
        <v>6</v>
      </c>
      <c r="D612" s="68">
        <v>6</v>
      </c>
      <c r="E612" s="68">
        <v>6</v>
      </c>
    </row>
    <row r="613" spans="2:5" ht="15.75">
      <c r="B613" s="68">
        <v>1</v>
      </c>
      <c r="C613" s="68">
        <v>1</v>
      </c>
      <c r="D613" s="68">
        <v>1</v>
      </c>
      <c r="E613" s="68">
        <v>1</v>
      </c>
    </row>
    <row r="614" spans="2:5" ht="15.75">
      <c r="B614" s="68">
        <v>3</v>
      </c>
      <c r="C614" s="68">
        <v>3</v>
      </c>
      <c r="D614" s="68">
        <v>3</v>
      </c>
      <c r="E614" s="68">
        <v>3</v>
      </c>
    </row>
    <row r="615" spans="2:5" ht="15.75">
      <c r="B615" s="68">
        <v>7</v>
      </c>
      <c r="C615" s="68">
        <v>7</v>
      </c>
      <c r="D615" s="68">
        <v>7</v>
      </c>
      <c r="E615" s="68">
        <v>7</v>
      </c>
    </row>
    <row r="616" spans="2:5" ht="15.75">
      <c r="B616" s="68">
        <v>6</v>
      </c>
      <c r="C616" s="68">
        <v>6</v>
      </c>
      <c r="D616" s="68">
        <v>6</v>
      </c>
      <c r="E616" s="68">
        <v>6</v>
      </c>
    </row>
    <row r="617" spans="2:5" ht="15.75">
      <c r="B617" s="68">
        <v>4</v>
      </c>
      <c r="C617" s="68">
        <v>4</v>
      </c>
      <c r="D617" s="68">
        <v>4</v>
      </c>
      <c r="E617" s="68">
        <v>4</v>
      </c>
    </row>
    <row r="618" spans="2:5" ht="15.75">
      <c r="B618" s="68">
        <v>1</v>
      </c>
      <c r="C618" s="68">
        <v>1</v>
      </c>
      <c r="D618" s="68">
        <v>1</v>
      </c>
      <c r="E618" s="68">
        <v>1</v>
      </c>
    </row>
    <row r="619" spans="2:5" ht="15.75">
      <c r="B619" s="68">
        <v>9</v>
      </c>
      <c r="C619" s="68">
        <v>9</v>
      </c>
      <c r="D619" s="68">
        <v>9</v>
      </c>
      <c r="E619" s="68">
        <v>9</v>
      </c>
    </row>
    <row r="620" spans="2:5" ht="15.75">
      <c r="B620" s="68">
        <v>9</v>
      </c>
      <c r="C620" s="68">
        <v>9</v>
      </c>
      <c r="D620" s="68">
        <v>9</v>
      </c>
      <c r="E620" s="68">
        <v>9</v>
      </c>
    </row>
    <row r="621" spans="2:5" ht="15.75">
      <c r="B621" s="68">
        <v>2</v>
      </c>
      <c r="C621" s="68">
        <v>2</v>
      </c>
      <c r="D621" s="68">
        <v>2</v>
      </c>
      <c r="E621" s="68">
        <v>2</v>
      </c>
    </row>
    <row r="622" spans="2:5" ht="15.75">
      <c r="B622" s="68">
        <v>10</v>
      </c>
      <c r="C622" s="68">
        <v>10</v>
      </c>
      <c r="D622" s="68">
        <v>10</v>
      </c>
      <c r="E622" s="68">
        <v>10</v>
      </c>
    </row>
    <row r="623" spans="2:5" ht="15.75">
      <c r="B623" s="68">
        <v>7</v>
      </c>
      <c r="C623" s="68">
        <v>7</v>
      </c>
      <c r="D623" s="68">
        <v>7</v>
      </c>
      <c r="E623" s="68">
        <v>7</v>
      </c>
    </row>
    <row r="624" spans="2:5" ht="15.75">
      <c r="B624" s="68">
        <v>7</v>
      </c>
      <c r="C624" s="68">
        <v>7</v>
      </c>
      <c r="D624" s="68">
        <v>7</v>
      </c>
      <c r="E624" s="68">
        <v>7</v>
      </c>
    </row>
    <row r="625" spans="2:5" ht="15.75">
      <c r="B625" s="68">
        <v>5</v>
      </c>
      <c r="C625" s="68">
        <v>5</v>
      </c>
      <c r="D625" s="68">
        <v>5</v>
      </c>
      <c r="E625" s="68">
        <v>5</v>
      </c>
    </row>
    <row r="626" spans="2:5" ht="15.75">
      <c r="B626" s="68">
        <v>3</v>
      </c>
      <c r="C626" s="68">
        <v>3</v>
      </c>
      <c r="D626" s="68">
        <v>3</v>
      </c>
      <c r="E626" s="68">
        <v>3</v>
      </c>
    </row>
    <row r="627" spans="2:5" ht="15.75">
      <c r="B627" s="68">
        <v>6</v>
      </c>
      <c r="C627" s="68">
        <v>6</v>
      </c>
      <c r="D627" s="68">
        <v>6</v>
      </c>
      <c r="E627" s="68">
        <v>6</v>
      </c>
    </row>
    <row r="628" spans="2:5" ht="15.75">
      <c r="B628" s="68">
        <v>4</v>
      </c>
      <c r="C628" s="68">
        <v>4</v>
      </c>
      <c r="D628" s="68">
        <v>4</v>
      </c>
      <c r="E628" s="68">
        <v>4</v>
      </c>
    </row>
    <row r="629" spans="2:5" ht="15.75">
      <c r="B629" s="68">
        <v>5</v>
      </c>
      <c r="C629" s="68">
        <v>5</v>
      </c>
      <c r="D629" s="68">
        <v>5</v>
      </c>
      <c r="E629" s="68">
        <v>5</v>
      </c>
    </row>
    <row r="630" spans="2:5" ht="15.75">
      <c r="B630" s="68">
        <v>7</v>
      </c>
      <c r="C630" s="68">
        <v>7</v>
      </c>
      <c r="D630" s="68">
        <v>7</v>
      </c>
      <c r="E630" s="68">
        <v>7</v>
      </c>
    </row>
    <row r="631" spans="2:5" ht="15.75">
      <c r="B631" s="68">
        <v>7</v>
      </c>
      <c r="C631" s="68">
        <v>7</v>
      </c>
      <c r="D631" s="68">
        <v>7</v>
      </c>
      <c r="E631" s="68">
        <v>7</v>
      </c>
    </row>
    <row r="632" spans="2:5" ht="15.75">
      <c r="B632" s="68">
        <v>2</v>
      </c>
      <c r="C632" s="68">
        <v>2</v>
      </c>
      <c r="D632" s="68">
        <v>2</v>
      </c>
      <c r="E632" s="68">
        <v>2</v>
      </c>
    </row>
    <row r="633" spans="2:5" ht="15.75">
      <c r="B633" s="68">
        <v>8</v>
      </c>
      <c r="C633" s="68">
        <v>8</v>
      </c>
      <c r="D633" s="68">
        <v>8</v>
      </c>
      <c r="E633" s="68">
        <v>8</v>
      </c>
    </row>
    <row r="634" spans="2:5" ht="15.75">
      <c r="B634" s="68">
        <v>3</v>
      </c>
      <c r="C634" s="68">
        <v>3</v>
      </c>
      <c r="D634" s="68">
        <v>3</v>
      </c>
      <c r="E634" s="68">
        <v>3</v>
      </c>
    </row>
    <row r="635" spans="2:5" ht="15.75">
      <c r="B635" s="68">
        <v>4</v>
      </c>
      <c r="C635" s="68">
        <v>4</v>
      </c>
      <c r="D635" s="68">
        <v>4</v>
      </c>
      <c r="E635" s="68">
        <v>4</v>
      </c>
    </row>
    <row r="636" spans="2:5" ht="15.75">
      <c r="B636" s="68">
        <v>4</v>
      </c>
      <c r="C636" s="68">
        <v>4</v>
      </c>
      <c r="D636" s="68">
        <v>4</v>
      </c>
      <c r="E636" s="68">
        <v>4</v>
      </c>
    </row>
    <row r="637" spans="2:5" ht="15.75">
      <c r="B637" s="68">
        <v>9</v>
      </c>
      <c r="C637" s="68">
        <v>9</v>
      </c>
      <c r="D637" s="68">
        <v>9</v>
      </c>
      <c r="E637" s="68">
        <v>9</v>
      </c>
    </row>
    <row r="638" spans="2:5" ht="15.75">
      <c r="B638" s="68">
        <v>6</v>
      </c>
      <c r="C638" s="68">
        <v>6</v>
      </c>
      <c r="D638" s="68">
        <v>6</v>
      </c>
      <c r="E638" s="68">
        <v>6</v>
      </c>
    </row>
    <row r="639" spans="2:5" ht="15.75">
      <c r="B639" s="68">
        <v>9</v>
      </c>
      <c r="C639" s="68">
        <v>9</v>
      </c>
      <c r="D639" s="68">
        <v>9</v>
      </c>
      <c r="E639" s="68">
        <v>9</v>
      </c>
    </row>
    <row r="640" spans="2:5" ht="15.75">
      <c r="B640" s="68">
        <v>2</v>
      </c>
      <c r="C640" s="68">
        <v>2</v>
      </c>
      <c r="D640" s="68">
        <v>2</v>
      </c>
      <c r="E640" s="68">
        <v>2</v>
      </c>
    </row>
    <row r="641" spans="2:5" ht="15.75">
      <c r="B641" s="68">
        <v>3</v>
      </c>
      <c r="C641" s="68">
        <v>3</v>
      </c>
      <c r="D641" s="68">
        <v>3</v>
      </c>
      <c r="E641" s="68">
        <v>3</v>
      </c>
    </row>
    <row r="642" spans="2:5" ht="15.75">
      <c r="B642" s="68">
        <v>2</v>
      </c>
      <c r="C642" s="68">
        <v>2</v>
      </c>
      <c r="D642" s="68">
        <v>2</v>
      </c>
      <c r="E642" s="68">
        <v>2</v>
      </c>
    </row>
    <row r="643" spans="2:5" ht="15.75">
      <c r="B643" s="68">
        <v>2</v>
      </c>
      <c r="C643" s="68">
        <v>2</v>
      </c>
      <c r="D643" s="68">
        <v>2</v>
      </c>
      <c r="E643" s="68">
        <v>2</v>
      </c>
    </row>
    <row r="644" spans="2:5" ht="15.75">
      <c r="B644" s="68">
        <v>3</v>
      </c>
      <c r="C644" s="68">
        <v>3</v>
      </c>
      <c r="D644" s="68">
        <v>3</v>
      </c>
      <c r="E644" s="68">
        <v>3</v>
      </c>
    </row>
    <row r="645" spans="2:5" ht="15.75">
      <c r="B645" s="68">
        <v>5</v>
      </c>
      <c r="C645" s="68">
        <v>5</v>
      </c>
      <c r="D645" s="68">
        <v>5</v>
      </c>
      <c r="E645" s="68">
        <v>5</v>
      </c>
    </row>
    <row r="646" spans="2:5" ht="15.75">
      <c r="B646" s="68">
        <v>10</v>
      </c>
      <c r="C646" s="68">
        <v>10</v>
      </c>
      <c r="D646" s="68">
        <v>10</v>
      </c>
      <c r="E646" s="68">
        <v>10</v>
      </c>
    </row>
    <row r="647" spans="2:5" ht="15.75">
      <c r="B647" s="68">
        <v>7</v>
      </c>
      <c r="C647" s="68">
        <v>7</v>
      </c>
      <c r="D647" s="68">
        <v>7</v>
      </c>
      <c r="E647" s="68">
        <v>7</v>
      </c>
    </row>
    <row r="648" spans="2:5" ht="15.75">
      <c r="B648" s="68">
        <v>4</v>
      </c>
      <c r="C648" s="68">
        <v>4</v>
      </c>
      <c r="D648" s="68">
        <v>4</v>
      </c>
      <c r="E648" s="68">
        <v>4</v>
      </c>
    </row>
    <row r="649" spans="2:5" ht="15.75">
      <c r="B649" s="68">
        <v>6</v>
      </c>
      <c r="C649" s="68">
        <v>6</v>
      </c>
      <c r="D649" s="68">
        <v>6</v>
      </c>
      <c r="E649" s="68">
        <v>6</v>
      </c>
    </row>
    <row r="650" spans="2:5" ht="15.75">
      <c r="B650" s="68">
        <v>1</v>
      </c>
      <c r="C650" s="68">
        <v>1</v>
      </c>
      <c r="D650" s="68">
        <v>1</v>
      </c>
      <c r="E650" s="68">
        <v>1</v>
      </c>
    </row>
    <row r="651" spans="2:5" ht="15.75">
      <c r="B651" s="68">
        <v>1</v>
      </c>
      <c r="C651" s="68">
        <v>1</v>
      </c>
      <c r="D651" s="68">
        <v>1</v>
      </c>
      <c r="E651" s="68">
        <v>1</v>
      </c>
    </row>
    <row r="652" spans="2:5" ht="15.75">
      <c r="B652" s="68">
        <v>4</v>
      </c>
      <c r="C652" s="68">
        <v>4</v>
      </c>
      <c r="D652" s="68">
        <v>4</v>
      </c>
      <c r="E652" s="68">
        <v>4</v>
      </c>
    </row>
    <row r="653" spans="2:5" ht="15.75">
      <c r="B653" s="68">
        <v>4</v>
      </c>
      <c r="C653" s="68">
        <v>4</v>
      </c>
      <c r="D653" s="68">
        <v>4</v>
      </c>
      <c r="E653" s="68">
        <v>4</v>
      </c>
    </row>
    <row r="654" spans="2:5" ht="15.75">
      <c r="B654" s="68">
        <v>9</v>
      </c>
      <c r="C654" s="68">
        <v>9</v>
      </c>
      <c r="D654" s="68">
        <v>9</v>
      </c>
      <c r="E654" s="68">
        <v>9</v>
      </c>
    </row>
    <row r="655" spans="2:5" ht="15.75">
      <c r="B655" s="68">
        <v>7</v>
      </c>
      <c r="C655" s="68">
        <v>7</v>
      </c>
      <c r="D655" s="68">
        <v>7</v>
      </c>
      <c r="E655" s="68">
        <v>7</v>
      </c>
    </row>
    <row r="656" spans="2:5" ht="15.75">
      <c r="B656" s="68">
        <v>7</v>
      </c>
      <c r="C656" s="68">
        <v>7</v>
      </c>
      <c r="D656" s="68">
        <v>7</v>
      </c>
      <c r="E656" s="68">
        <v>7</v>
      </c>
    </row>
    <row r="657" spans="2:5" ht="15.75">
      <c r="B657" s="68">
        <v>2</v>
      </c>
      <c r="C657" s="68">
        <v>2</v>
      </c>
      <c r="D657" s="68">
        <v>2</v>
      </c>
      <c r="E657" s="68">
        <v>2</v>
      </c>
    </row>
    <row r="658" spans="2:5" ht="15.75">
      <c r="B658" s="68">
        <v>8</v>
      </c>
      <c r="C658" s="68">
        <v>8</v>
      </c>
      <c r="D658" s="68">
        <v>8</v>
      </c>
      <c r="E658" s="68">
        <v>8</v>
      </c>
    </row>
    <row r="659" spans="2:5" ht="15.75">
      <c r="B659" s="68">
        <v>10</v>
      </c>
      <c r="C659" s="68">
        <v>10</v>
      </c>
      <c r="D659" s="68">
        <v>10</v>
      </c>
      <c r="E659" s="68">
        <v>10</v>
      </c>
    </row>
    <row r="660" spans="2:5" ht="15.75">
      <c r="B660" s="68">
        <v>8</v>
      </c>
      <c r="C660" s="68">
        <v>8</v>
      </c>
      <c r="D660" s="68">
        <v>8</v>
      </c>
      <c r="E660" s="68">
        <v>8</v>
      </c>
    </row>
    <row r="661" spans="2:5" ht="15.75">
      <c r="B661" s="68">
        <v>5</v>
      </c>
      <c r="C661" s="68">
        <v>5</v>
      </c>
      <c r="D661" s="68">
        <v>5</v>
      </c>
      <c r="E661" s="68">
        <v>5</v>
      </c>
    </row>
    <row r="662" spans="2:5" ht="15.75">
      <c r="B662" s="68">
        <v>10</v>
      </c>
      <c r="C662" s="68">
        <v>10</v>
      </c>
      <c r="D662" s="68">
        <v>10</v>
      </c>
      <c r="E662" s="68">
        <v>10</v>
      </c>
    </row>
    <row r="663" spans="2:5" ht="15.75">
      <c r="B663" s="68">
        <v>2</v>
      </c>
      <c r="C663" s="68">
        <v>2</v>
      </c>
      <c r="D663" s="68">
        <v>2</v>
      </c>
      <c r="E663" s="68">
        <v>2</v>
      </c>
    </row>
    <row r="664" spans="2:5" ht="15.75">
      <c r="B664" s="68">
        <v>1</v>
      </c>
      <c r="C664" s="68">
        <v>1</v>
      </c>
      <c r="D664" s="68">
        <v>1</v>
      </c>
      <c r="E664" s="68">
        <v>1</v>
      </c>
    </row>
    <row r="665" spans="2:5" ht="15.75">
      <c r="B665" s="68">
        <v>1</v>
      </c>
      <c r="C665" s="68">
        <v>1</v>
      </c>
      <c r="D665" s="68">
        <v>1</v>
      </c>
      <c r="E665" s="68">
        <v>1</v>
      </c>
    </row>
    <row r="666" spans="2:5" ht="15.75">
      <c r="B666" s="13">
        <v>1</v>
      </c>
      <c r="C666" s="13">
        <v>1</v>
      </c>
      <c r="D666" s="13">
        <v>1</v>
      </c>
      <c r="E666" s="13">
        <v>1</v>
      </c>
    </row>
  </sheetData>
  <mergeCells count="1">
    <mergeCell ref="B2:E2"/>
  </mergeCells>
  <conditionalFormatting sqref="B5:B666">
    <cfRule type="cellIs" dxfId="6" priority="15" operator="greaterThan">
      <formula>7</formula>
    </cfRule>
  </conditionalFormatting>
  <conditionalFormatting sqref="C5:C666">
    <cfRule type="cellIs" dxfId="5" priority="14" operator="lessThan">
      <formula>4</formula>
    </cfRule>
  </conditionalFormatting>
  <conditionalFormatting sqref="D5:D666">
    <cfRule type="cellIs" dxfId="4" priority="13" operator="between">
      <formula>5</formula>
      <formula>8</formula>
    </cfRule>
  </conditionalFormatting>
  <conditionalFormatting sqref="E5:E666">
    <cfRule type="cellIs" dxfId="3" priority="12" operator="equal">
      <formula>9</formula>
    </cfRule>
  </conditionalFormatting>
  <conditionalFormatting sqref="G5:G9">
    <cfRule type="containsText" dxfId="2" priority="9" operator="containsText" text="AR">
      <formula>NOT(ISERROR(SEARCH("AR",G5)))</formula>
    </cfRule>
    <cfRule type="cellIs" dxfId="1" priority="10" operator="equal">
      <formula>9</formula>
    </cfRule>
  </conditionalFormatting>
  <conditionalFormatting sqref="I4:I16">
    <cfRule type="dataBar" priority="8">
      <dataBar>
        <cfvo type="min"/>
        <cfvo type="max"/>
        <color theme="1" tint="4.9989318521683403E-2"/>
      </dataBar>
      <extLst>
        <ext xmlns:x14="http://schemas.microsoft.com/office/spreadsheetml/2009/9/main" uri="{B025F937-C7B1-47D3-B67F-A62EFF666E3E}">
          <x14:id>{77399831-66BE-4722-ACD7-FC06667AE931}</x14:id>
        </ext>
      </extLst>
    </cfRule>
  </conditionalFormatting>
  <conditionalFormatting sqref="J4:J16">
    <cfRule type="colorScale" priority="6">
      <colorScale>
        <cfvo type="min"/>
        <cfvo type="max"/>
        <color theme="7"/>
        <color theme="7" tint="0.79998168889431442"/>
      </colorScale>
    </cfRule>
    <cfRule type="colorScale" priority="7">
      <colorScale>
        <cfvo type="min"/>
        <cfvo type="max"/>
        <color theme="1" tint="0.14999847407452621"/>
        <color theme="2" tint="-9.9978637043366805E-2"/>
      </colorScale>
    </cfRule>
  </conditionalFormatting>
  <conditionalFormatting sqref="K4:K16">
    <cfRule type="iconSet" priority="5">
      <iconSet iconSet="5Rating">
        <cfvo type="percent" val="0"/>
        <cfvo type="percent" val="20"/>
        <cfvo type="percent" val="40"/>
        <cfvo type="percent" val="60"/>
        <cfvo type="percent" val="80"/>
      </iconSet>
    </cfRule>
  </conditionalFormatting>
  <conditionalFormatting sqref="M4:M12">
    <cfRule type="containsBlanks" dxfId="0" priority="1">
      <formula>LEN(TRIM(M4))=0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7399831-66BE-4722-ACD7-FC06667AE931}">
            <x14:dataBar minLength="0" maxLength="100">
              <x14:cfvo type="autoMin"/>
              <x14:cfvo type="autoMax"/>
              <x14:negativeFillColor rgb="FFFF0000"/>
              <x14:axisColor rgb="FF000000"/>
            </x14:dataBar>
          </x14:cfRule>
          <xm:sqref>I4:I16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6123-FD0A-409B-8559-5A6D369FDA8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12</vt:i4>
      </vt:variant>
    </vt:vector>
  </HeadingPairs>
  <TitlesOfParts>
    <vt:vector size="30" baseType="lpstr">
      <vt:lpstr>Data Cleaning</vt:lpstr>
      <vt:lpstr>Data Validation</vt:lpstr>
      <vt:lpstr>Dependent dropdown</vt:lpstr>
      <vt:lpstr>Custom Data Validation</vt:lpstr>
      <vt:lpstr>Matrices</vt:lpstr>
      <vt:lpstr>Simultaneous Equation</vt:lpstr>
      <vt:lpstr>Filters</vt:lpstr>
      <vt:lpstr>Q1</vt:lpstr>
      <vt:lpstr>Q2</vt:lpstr>
      <vt:lpstr>Q3</vt:lpstr>
      <vt:lpstr>Q4</vt:lpstr>
      <vt:lpstr>CATEGORIZATION</vt:lpstr>
      <vt:lpstr>Pivot Analyze</vt:lpstr>
      <vt:lpstr>A</vt:lpstr>
      <vt:lpstr>B</vt:lpstr>
      <vt:lpstr>C</vt:lpstr>
      <vt:lpstr>CONDITIONAL FORMATTING</vt:lpstr>
      <vt:lpstr>Sheet1</vt:lpstr>
      <vt:lpstr>Canada</vt:lpstr>
      <vt:lpstr>China</vt:lpstr>
      <vt:lpstr>India</vt:lpstr>
      <vt:lpstr>Malaysia</vt:lpstr>
      <vt:lpstr>Matrix_A</vt:lpstr>
      <vt:lpstr>Matrix_F</vt:lpstr>
      <vt:lpstr>Matrix_H</vt:lpstr>
      <vt:lpstr>Matrix_P</vt:lpstr>
      <vt:lpstr>Matrix_Q</vt:lpstr>
      <vt:lpstr>Matrix_S</vt:lpstr>
      <vt:lpstr>Matrix_X</vt:lpstr>
      <vt:lpstr>Matrix_Y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Rastogi</dc:creator>
  <cp:lastModifiedBy>Shivam Rastogi</cp:lastModifiedBy>
  <cp:lastPrinted>2026-04-07T15:13:53Z</cp:lastPrinted>
  <dcterms:created xsi:type="dcterms:W3CDTF">2026-04-06T13:47:12Z</dcterms:created>
  <dcterms:modified xsi:type="dcterms:W3CDTF">2026-04-18T13:21:55Z</dcterms:modified>
</cp:coreProperties>
</file>