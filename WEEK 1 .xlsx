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jjwa\OneDrive\Desktop\SHIVAM\NEW DATA\"/>
    </mc:Choice>
  </mc:AlternateContent>
  <xr:revisionPtr revIDLastSave="0" documentId="13_ncr:1_{CA08ACC1-F5E2-413C-BA84-6EB4C39F65EA}" xr6:coauthVersionLast="47" xr6:coauthVersionMax="47" xr10:uidLastSave="{00000000-0000-0000-0000-000000000000}"/>
  <bookViews>
    <workbookView xWindow="-120" yWindow="-120" windowWidth="20730" windowHeight="11040" firstSheet="1" activeTab="5" xr2:uid="{6F3BBCD2-6726-4D4A-A6D9-8EAD1A65586E}"/>
  </bookViews>
  <sheets>
    <sheet name="Basic Functions " sheetId="1" r:id="rId1"/>
    <sheet name="Date &amp; Time Functions" sheetId="3" r:id="rId2"/>
    <sheet name="Sort_Pin" sheetId="4" r:id="rId3"/>
    <sheet name="Adv. Functions" sheetId="5" r:id="rId4"/>
    <sheet name="Pick_out_data" sheetId="7" r:id="rId5"/>
    <sheet name="Text Functions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6" i="8" l="1"/>
  <c r="AA3" i="8"/>
  <c r="X4" i="8"/>
  <c r="X3" i="8"/>
  <c r="T10" i="8"/>
  <c r="T9" i="8"/>
  <c r="T8" i="8"/>
  <c r="T7" i="8"/>
  <c r="P9" i="8"/>
  <c r="P8" i="8"/>
  <c r="G5" i="8"/>
  <c r="G6" i="8"/>
  <c r="G7" i="8"/>
  <c r="G4" i="8"/>
  <c r="C10" i="8"/>
  <c r="C9" i="8"/>
  <c r="C8" i="8"/>
  <c r="C7" i="8"/>
  <c r="C6" i="8"/>
  <c r="C5" i="8"/>
  <c r="C4" i="8"/>
  <c r="C3" i="8"/>
  <c r="B6" i="7"/>
  <c r="B5" i="7"/>
  <c r="B4" i="7"/>
  <c r="B3" i="7"/>
  <c r="I8" i="5"/>
  <c r="I7" i="5"/>
  <c r="I6" i="5"/>
  <c r="X12" i="5"/>
  <c r="X11" i="5"/>
  <c r="X10" i="5"/>
  <c r="X9" i="5"/>
  <c r="X8" i="5"/>
  <c r="X7" i="5"/>
  <c r="X6" i="5"/>
  <c r="X5" i="5"/>
  <c r="X4" i="5"/>
  <c r="X3" i="5"/>
  <c r="I5" i="5"/>
  <c r="I4" i="5"/>
  <c r="I3" i="5"/>
  <c r="F5" i="4"/>
  <c r="F6" i="4"/>
  <c r="F7" i="4"/>
  <c r="F4" i="4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3" i="1"/>
  <c r="L22" i="1"/>
  <c r="L21" i="1"/>
  <c r="L20" i="1"/>
  <c r="L19" i="1"/>
  <c r="L18" i="1"/>
  <c r="L17" i="1"/>
  <c r="L16" i="1"/>
  <c r="L14" i="1"/>
  <c r="L13" i="1"/>
  <c r="L12" i="1"/>
  <c r="L11" i="1"/>
  <c r="L10" i="1"/>
  <c r="L9" i="1"/>
  <c r="L8" i="1"/>
  <c r="L7" i="1"/>
  <c r="L6" i="1"/>
  <c r="L5" i="1"/>
  <c r="L4" i="1"/>
  <c r="L3" i="1"/>
  <c r="D21" i="1"/>
  <c r="E21" i="1"/>
  <c r="D20" i="1"/>
  <c r="E20" i="1"/>
  <c r="C21" i="1"/>
  <c r="C20" i="1"/>
  <c r="D19" i="1"/>
  <c r="E19" i="1"/>
  <c r="C19" i="1"/>
  <c r="D18" i="1"/>
  <c r="E18" i="1"/>
  <c r="C18" i="1"/>
  <c r="D17" i="1"/>
  <c r="E17" i="1"/>
  <c r="C17" i="1"/>
  <c r="D16" i="1"/>
  <c r="E16" i="1"/>
  <c r="C16" i="1"/>
  <c r="D15" i="1"/>
  <c r="E15" i="1"/>
  <c r="C15" i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3" i="1"/>
  <c r="L15" i="1" s="1"/>
  <c r="G3" i="1" l="1"/>
  <c r="F21" i="1"/>
  <c r="F20" i="1"/>
  <c r="F19" i="1"/>
  <c r="G17" i="1"/>
  <c r="G18" i="1"/>
  <c r="G16" i="1"/>
  <c r="G15" i="1"/>
  <c r="F18" i="1"/>
  <c r="F15" i="1"/>
  <c r="F17" i="1"/>
  <c r="F16" i="1"/>
  <c r="G20" i="1" l="1"/>
  <c r="G21" i="1"/>
</calcChain>
</file>

<file path=xl/sharedStrings.xml><?xml version="1.0" encoding="utf-8"?>
<sst xmlns="http://schemas.openxmlformats.org/spreadsheetml/2006/main" count="293" uniqueCount="221">
  <si>
    <t>NAME</t>
  </si>
  <si>
    <t>AGE</t>
  </si>
  <si>
    <t>INCOME</t>
  </si>
  <si>
    <t>Aarav</t>
  </si>
  <si>
    <t>Vivaan</t>
  </si>
  <si>
    <t>Aditya</t>
  </si>
  <si>
    <t>Arjun</t>
  </si>
  <si>
    <t>Kabir</t>
  </si>
  <si>
    <t>Rohan</t>
  </si>
  <si>
    <t>Kunal</t>
  </si>
  <si>
    <t>Rahul</t>
  </si>
  <si>
    <t>Aman</t>
  </si>
  <si>
    <t>Shivam</t>
  </si>
  <si>
    <t>MAX</t>
  </si>
  <si>
    <t>MIN</t>
  </si>
  <si>
    <t>AVERAGE</t>
  </si>
  <si>
    <t>SUM</t>
  </si>
  <si>
    <t>COUNT</t>
  </si>
  <si>
    <t>EXPENSES</t>
  </si>
  <si>
    <t>SAVINGS</t>
  </si>
  <si>
    <t>SAVINGS %</t>
  </si>
  <si>
    <t>COUNT A</t>
  </si>
  <si>
    <t>COUNT BLANK</t>
  </si>
  <si>
    <t>FUNCTIONS  :</t>
  </si>
  <si>
    <t xml:space="preserve">PRACTICE QUES: </t>
  </si>
  <si>
    <t xml:space="preserve">ANSWERS : </t>
  </si>
  <si>
    <t>Count how many people are aged 21</t>
  </si>
  <si>
    <t>Count how many people are from Delhi</t>
  </si>
  <si>
    <t>Count how many people have income greater than 30,000</t>
  </si>
  <si>
    <t>Count people from Delhi with age greater than 21</t>
  </si>
  <si>
    <t>Count people from Mumbai with income greater than 30,000</t>
  </si>
  <si>
    <t>Count people with age between 20 and 23</t>
  </si>
  <si>
    <t>Find total income of people from Delhi</t>
  </si>
  <si>
    <t>Find total expenses of people from Pune</t>
  </si>
  <si>
    <t>Find total income of people aged 22</t>
  </si>
  <si>
    <t>Find average income of people from Mumbai</t>
  </si>
  <si>
    <t>Find average expenses of people from Delhi</t>
  </si>
  <si>
    <t>Find average income of people aged above 21</t>
  </si>
  <si>
    <t>Check if savings are positive or negative (Profit/Loss)</t>
  </si>
  <si>
    <t>If income &gt; 30,000 → “High”, else “Low”</t>
  </si>
  <si>
    <t>If age ≥ 21 → “Adult”, else “Teen”</t>
  </si>
  <si>
    <t>Check if income &gt; 30,000 AND expenses &gt; 20,000</t>
  </si>
  <si>
    <t>Check if age &gt; 21 AND city is Delhi</t>
  </si>
  <si>
    <t>Count people from Delhi OR Mumbai</t>
  </si>
  <si>
    <t>Count people with income &gt; 40,000 OR age &lt; 21</t>
  </si>
  <si>
    <t>Find total income of people from Delhi with income &gt; 30,000</t>
  </si>
  <si>
    <t>Find average income of people from Mumbai with age &lt; 23</t>
  </si>
  <si>
    <t>City</t>
  </si>
  <si>
    <t>Delhi</t>
  </si>
  <si>
    <t>Mumbai</t>
  </si>
  <si>
    <t>Bangalore</t>
  </si>
  <si>
    <t>Pune</t>
  </si>
  <si>
    <t>DOB</t>
  </si>
  <si>
    <t>Join date</t>
  </si>
  <si>
    <t>Last_Login</t>
  </si>
  <si>
    <t>Time_In</t>
  </si>
  <si>
    <t>Time_Out</t>
  </si>
  <si>
    <t>Find the current date</t>
  </si>
  <si>
    <t>Find the current date and time</t>
  </si>
  <si>
    <t>Extract year from DOB</t>
  </si>
  <si>
    <t>Extract month from Join_Date</t>
  </si>
  <si>
    <t>Extract day from DOB</t>
  </si>
  <si>
    <t>Calculate age (in years) from DOB</t>
  </si>
  <si>
    <t>Calculate age in years, months, and days</t>
  </si>
  <si>
    <t>Calculate total days worked (Join_Date to today)</t>
  </si>
  <si>
    <t>Find days since last login</t>
  </si>
  <si>
    <t>Calculate total working hours (Time_Out - Time_In)</t>
  </si>
  <si>
    <t>Extract hour from Time_In</t>
  </si>
  <si>
    <t>Extract minutes from Time_In</t>
  </si>
  <si>
    <t>Extract seconds (if any time value)</t>
  </si>
  <si>
    <t>Add 1 month to Join_Date</t>
  </si>
  <si>
    <t>Find end of month for Join_Date</t>
  </si>
  <si>
    <t>Add 10 working days to Join_Date</t>
  </si>
  <si>
    <t>Calculate total working days between Join_Date and today</t>
  </si>
  <si>
    <t>Find day number of Join_Date (1–7)</t>
  </si>
  <si>
    <t>Find week number of Join_Date</t>
  </si>
  <si>
    <t>Convert Join_Date into text format (e.g., 01-Apr-2026)</t>
  </si>
  <si>
    <t>Who joined most recently?</t>
  </si>
  <si>
    <t>Who has worked the longest?</t>
  </si>
  <si>
    <t>Which person logged in today?</t>
  </si>
  <si>
    <t xml:space="preserve">Answers : </t>
  </si>
  <si>
    <t>TODAY</t>
  </si>
  <si>
    <t>NOW</t>
  </si>
  <si>
    <t>DATE</t>
  </si>
  <si>
    <t>YEAR</t>
  </si>
  <si>
    <t>MONTH</t>
  </si>
  <si>
    <t>DAY</t>
  </si>
  <si>
    <t>TIME</t>
  </si>
  <si>
    <t>HOUR</t>
  </si>
  <si>
    <t>MINUTE</t>
  </si>
  <si>
    <t>SECOND</t>
  </si>
  <si>
    <t>DATEDIF</t>
  </si>
  <si>
    <t>EDATE</t>
  </si>
  <si>
    <t>EOMONTH</t>
  </si>
  <si>
    <t>WORKDAY</t>
  </si>
  <si>
    <t>NETWORKDAYS</t>
  </si>
  <si>
    <t>WEEKDAY</t>
  </si>
  <si>
    <t>WEEKNUM</t>
  </si>
  <si>
    <t>TEXT</t>
  </si>
  <si>
    <t>S.No.</t>
  </si>
  <si>
    <t>SIZE</t>
  </si>
  <si>
    <t>A</t>
  </si>
  <si>
    <t>S</t>
  </si>
  <si>
    <t>B</t>
  </si>
  <si>
    <t>C</t>
  </si>
  <si>
    <t>M</t>
  </si>
  <si>
    <t>F</t>
  </si>
  <si>
    <t>E</t>
  </si>
  <si>
    <t>L</t>
  </si>
  <si>
    <t>D</t>
  </si>
  <si>
    <t>XL</t>
  </si>
  <si>
    <t>G</t>
  </si>
  <si>
    <t>XXL</t>
  </si>
  <si>
    <t>CUSTOM SORT</t>
  </si>
  <si>
    <t>CELL PINNING</t>
  </si>
  <si>
    <t>DATA</t>
  </si>
  <si>
    <t>ADD 5 ONLY TO THOSE WHO ARE GREATER THAN 15</t>
  </si>
  <si>
    <t>PIN</t>
  </si>
  <si>
    <t>VLOOKUP</t>
  </si>
  <si>
    <t>HLOOKUP</t>
  </si>
  <si>
    <t>XLOOKUP</t>
  </si>
  <si>
    <t>S1</t>
  </si>
  <si>
    <t>S2</t>
  </si>
  <si>
    <t>S3</t>
  </si>
  <si>
    <t>H</t>
  </si>
  <si>
    <t>What is the marks of A in S1?</t>
  </si>
  <si>
    <t>What is the marks of G in S2?</t>
  </si>
  <si>
    <t>What is S3 OF H ?</t>
  </si>
  <si>
    <t>PRACTICE QUES: HLOOKUP / MATCH / INDEX</t>
  </si>
  <si>
    <t>S3 of E</t>
  </si>
  <si>
    <t>What is marks in S2 of the person who got max in S1</t>
  </si>
  <si>
    <t>What is marks in S3 of a person who got highest in S2</t>
  </si>
  <si>
    <t>Position of C IN NAME</t>
  </si>
  <si>
    <t>Position of 44 is S1</t>
  </si>
  <si>
    <t xml:space="preserve">Position of MAX in S3 COLUMN </t>
  </si>
  <si>
    <t xml:space="preserve">Position of MIN in S3 COLUMN </t>
  </si>
  <si>
    <t xml:space="preserve">3,3 (1st row then column) </t>
  </si>
  <si>
    <t>1,7</t>
  </si>
  <si>
    <t>2,4</t>
  </si>
  <si>
    <t>Who got Max in S3</t>
  </si>
  <si>
    <t>Who got Max in S2</t>
  </si>
  <si>
    <t>PRACTICE QUES: VLOOKUP / INDEX + MATCH</t>
  </si>
  <si>
    <t xml:space="preserve">Score of A in S2 </t>
  </si>
  <si>
    <t>Picking out data from another Sheet</t>
  </si>
  <si>
    <t>LEN</t>
  </si>
  <si>
    <t>LEFT</t>
  </si>
  <si>
    <t>RIGHT</t>
  </si>
  <si>
    <t>MID</t>
  </si>
  <si>
    <t>UPPER</t>
  </si>
  <si>
    <t>LOWER</t>
  </si>
  <si>
    <t>PROPER</t>
  </si>
  <si>
    <t>TRIM</t>
  </si>
  <si>
    <t>TEXT FUNCTIONS :</t>
  </si>
  <si>
    <t>adam   Smith</t>
  </si>
  <si>
    <t>CONCATENATE :</t>
  </si>
  <si>
    <t>Rastogi</t>
  </si>
  <si>
    <t>Rakesh</t>
  </si>
  <si>
    <t>Tyagi</t>
  </si>
  <si>
    <t>Rani</t>
  </si>
  <si>
    <t>Mukherjee</t>
  </si>
  <si>
    <t>Adam</t>
  </si>
  <si>
    <t>Smith</t>
  </si>
  <si>
    <t>Name</t>
  </si>
  <si>
    <t>Sirname</t>
  </si>
  <si>
    <t>Full Name</t>
  </si>
  <si>
    <t>hip</t>
  </si>
  <si>
    <t>Finish</t>
  </si>
  <si>
    <t xml:space="preserve">Select Delimited </t>
  </si>
  <si>
    <t xml:space="preserve">Go to data section </t>
  </si>
  <si>
    <t xml:space="preserve">Text to columns </t>
  </si>
  <si>
    <t xml:space="preserve">Select comma / space anything </t>
  </si>
  <si>
    <t>Destination : Adjacent Column</t>
  </si>
  <si>
    <t xml:space="preserve">EXAMPLE : </t>
  </si>
  <si>
    <t>CSV FORMAT :  Steps</t>
  </si>
  <si>
    <t>Grace,26,Germany</t>
  </si>
  <si>
    <t>Ash,18,Japan</t>
  </si>
  <si>
    <t>Ansh,28,India</t>
  </si>
  <si>
    <t>William,30,America</t>
  </si>
  <si>
    <t>Adam,25,Greece</t>
  </si>
  <si>
    <t>Ohlin,46,Australia</t>
  </si>
  <si>
    <t>Age</t>
  </si>
  <si>
    <t>Country</t>
  </si>
  <si>
    <t>Greece</t>
  </si>
  <si>
    <t>William</t>
  </si>
  <si>
    <t>America</t>
  </si>
  <si>
    <t>Grace</t>
  </si>
  <si>
    <t>Germany</t>
  </si>
  <si>
    <t>Ash</t>
  </si>
  <si>
    <t>Japan</t>
  </si>
  <si>
    <t>Ansh</t>
  </si>
  <si>
    <t>India</t>
  </si>
  <si>
    <t>Ohlin</t>
  </si>
  <si>
    <t>Australia</t>
  </si>
  <si>
    <t>Find &amp; Search</t>
  </si>
  <si>
    <t xml:space="preserve">FIND IS CASE SENSITIVE </t>
  </si>
  <si>
    <t>SEARCH IS CASE INSENSITIVE</t>
  </si>
  <si>
    <t>My name is Adam Smith</t>
  </si>
  <si>
    <t>Find :</t>
  </si>
  <si>
    <t xml:space="preserve">Search : </t>
  </si>
  <si>
    <t>Answer:</t>
  </si>
  <si>
    <t xml:space="preserve">Wildcards </t>
  </si>
  <si>
    <t>*</t>
  </si>
  <si>
    <t>?</t>
  </si>
  <si>
    <t>When we don’t know the no. of characters</t>
  </si>
  <si>
    <t>When we know the no. of characters</t>
  </si>
  <si>
    <t>SEEMA KHANNA</t>
  </si>
  <si>
    <t xml:space="preserve">QUES : </t>
  </si>
  <si>
    <t>Count how many names start with “SEEMA”</t>
  </si>
  <si>
    <t>Count names where SEEMA is followed by only one word</t>
  </si>
  <si>
    <t>Count names that end with “G”</t>
  </si>
  <si>
    <t>Wildcard used</t>
  </si>
  <si>
    <t>SEEMA P</t>
  </si>
  <si>
    <t>SEEMA RAO</t>
  </si>
  <si>
    <t>BHARAT G</t>
  </si>
  <si>
    <t>Find position of names starting with “SEEMA”</t>
  </si>
  <si>
    <t>I love Excel and I don’t do Excel</t>
  </si>
  <si>
    <t>SUBSTITUTE 1st</t>
  </si>
  <si>
    <t>SUBSTITUTE 2nd</t>
  </si>
  <si>
    <t xml:space="preserve">REPLACE </t>
  </si>
  <si>
    <t>SUBSTITUE MANY TIMES</t>
  </si>
  <si>
    <t>FRANCE and 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</si>
</sst>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b/>
      <sz val="12"/>
      <color theme="2"/>
      <name val="Times New Roman"/>
      <family val="1"/>
    </font>
    <font>
      <sz val="12"/>
      <name val="Times New Roman"/>
      <family val="1"/>
    </font>
    <font>
      <sz val="12"/>
      <color theme="0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/>
      <diagonal/>
    </border>
    <border>
      <left/>
      <right style="thin">
        <color theme="2" tint="-9.9948118533890809E-2"/>
      </right>
      <top/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theme="1" tint="0.499984740745262"/>
      </top>
      <bottom/>
      <diagonal/>
    </border>
    <border>
      <left style="thin">
        <color theme="1" tint="0.499984740745262"/>
      </left>
      <right/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indexed="64"/>
      </right>
      <top style="medium">
        <color theme="1" tint="0.499984740745262"/>
      </top>
      <bottom/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/>
      <diagonal/>
    </border>
    <border>
      <left style="thin">
        <color indexed="64"/>
      </left>
      <right/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4" fillId="0" borderId="0" xfId="0" applyFont="1"/>
    <xf numFmtId="0" fontId="3" fillId="2" borderId="1" xfId="0" applyFont="1" applyFill="1" applyBorder="1" applyAlignment="1">
      <alignment horizontal="left"/>
    </xf>
    <xf numFmtId="0" fontId="4" fillId="3" borderId="7" xfId="0" applyFont="1" applyFill="1" applyBorder="1"/>
    <xf numFmtId="0" fontId="4" fillId="3" borderId="8" xfId="0" applyFont="1" applyFill="1" applyBorder="1"/>
    <xf numFmtId="164" fontId="4" fillId="3" borderId="3" xfId="0" applyNumberFormat="1" applyFont="1" applyFill="1" applyBorder="1"/>
    <xf numFmtId="0" fontId="4" fillId="3" borderId="3" xfId="0" applyFont="1" applyFill="1" applyBorder="1"/>
    <xf numFmtId="0" fontId="4" fillId="3" borderId="2" xfId="0" applyFont="1" applyFill="1" applyBorder="1"/>
    <xf numFmtId="0" fontId="5" fillId="2" borderId="2" xfId="0" applyFont="1" applyFill="1" applyBorder="1"/>
    <xf numFmtId="1" fontId="4" fillId="3" borderId="3" xfId="0" applyNumberFormat="1" applyFont="1" applyFill="1" applyBorder="1"/>
    <xf numFmtId="14" fontId="0" fillId="0" borderId="0" xfId="0" applyNumberFormat="1"/>
    <xf numFmtId="0" fontId="3" fillId="2" borderId="9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14" fontId="6" fillId="3" borderId="8" xfId="0" applyNumberFormat="1" applyFont="1" applyFill="1" applyBorder="1"/>
    <xf numFmtId="20" fontId="4" fillId="3" borderId="8" xfId="0" applyNumberFormat="1" applyFont="1" applyFill="1" applyBorder="1"/>
    <xf numFmtId="14" fontId="6" fillId="3" borderId="3" xfId="0" applyNumberFormat="1" applyFont="1" applyFill="1" applyBorder="1"/>
    <xf numFmtId="20" fontId="4" fillId="3" borderId="3" xfId="0" applyNumberFormat="1" applyFont="1" applyFill="1" applyBorder="1"/>
    <xf numFmtId="14" fontId="4" fillId="3" borderId="8" xfId="0" applyNumberFormat="1" applyFont="1" applyFill="1" applyBorder="1"/>
    <xf numFmtId="22" fontId="4" fillId="3" borderId="3" xfId="0" applyNumberFormat="1" applyFont="1" applyFill="1" applyBorder="1"/>
    <xf numFmtId="14" fontId="4" fillId="3" borderId="3" xfId="0" applyNumberFormat="1" applyFont="1" applyFill="1" applyBorder="1"/>
    <xf numFmtId="0" fontId="3" fillId="2" borderId="0" xfId="0" applyFont="1" applyFill="1" applyAlignment="1">
      <alignment horizontal="left"/>
    </xf>
    <xf numFmtId="0" fontId="7" fillId="2" borderId="7" xfId="0" applyFont="1" applyFill="1" applyBorder="1"/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0" fontId="3" fillId="2" borderId="17" xfId="0" applyFont="1" applyFill="1" applyBorder="1" applyAlignment="1">
      <alignment horizontal="left"/>
    </xf>
    <xf numFmtId="0" fontId="4" fillId="3" borderId="18" xfId="0" applyFont="1" applyFill="1" applyBorder="1"/>
    <xf numFmtId="0" fontId="4" fillId="3" borderId="19" xfId="0" applyFont="1" applyFill="1" applyBorder="1"/>
    <xf numFmtId="0" fontId="4" fillId="3" borderId="20" xfId="0" applyFont="1" applyFill="1" applyBorder="1"/>
    <xf numFmtId="0" fontId="4" fillId="3" borderId="21" xfId="0" applyFont="1" applyFill="1" applyBorder="1"/>
    <xf numFmtId="0" fontId="4" fillId="3" borderId="6" xfId="0" applyFont="1" applyFill="1" applyBorder="1"/>
    <xf numFmtId="0" fontId="4" fillId="3" borderId="22" xfId="0" applyFont="1" applyFill="1" applyBorder="1"/>
    <xf numFmtId="0" fontId="4" fillId="3" borderId="23" xfId="0" applyFont="1" applyFill="1" applyBorder="1"/>
    <xf numFmtId="0" fontId="4" fillId="3" borderId="24" xfId="0" applyFont="1" applyFill="1" applyBorder="1"/>
    <xf numFmtId="0" fontId="4" fillId="3" borderId="15" xfId="0" applyFont="1" applyFill="1" applyBorder="1"/>
    <xf numFmtId="0" fontId="4" fillId="4" borderId="21" xfId="0" applyFont="1" applyFill="1" applyBorder="1"/>
    <xf numFmtId="0" fontId="4" fillId="3" borderId="0" xfId="0" applyFont="1" applyFill="1"/>
    <xf numFmtId="9" fontId="0" fillId="0" borderId="0" xfId="1" applyFont="1"/>
    <xf numFmtId="0" fontId="4" fillId="3" borderId="6" xfId="1" applyNumberFormat="1" applyFont="1" applyFill="1" applyBorder="1"/>
    <xf numFmtId="0" fontId="3" fillId="2" borderId="16" xfId="1" applyNumberFormat="1" applyFont="1" applyFill="1" applyBorder="1" applyAlignment="1">
      <alignment horizontal="left"/>
    </xf>
    <xf numFmtId="0" fontId="3" fillId="2" borderId="1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4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0B91-B46F-4559-99D9-4E5C26F438B4}">
  <dimension ref="B1:L36"/>
  <sheetViews>
    <sheetView zoomScale="90" workbookViewId="0">
      <selection activeCell="Q9" sqref="Q9"/>
    </sheetView>
  </sheetViews>
  <sheetFormatPr defaultRowHeight="15" x14ac:dyDescent="0.25"/>
  <cols>
    <col min="1" max="1" width="1.7109375" style="1" customWidth="1"/>
    <col min="2" max="2" width="20.7109375" style="1" customWidth="1"/>
    <col min="3" max="3" width="5.7109375" style="1" customWidth="1"/>
    <col min="4" max="4" width="10.7109375" style="1" customWidth="1"/>
    <col min="5" max="5" width="15.7109375" style="1" customWidth="1"/>
    <col min="6" max="6" width="10.7109375" style="1" customWidth="1"/>
    <col min="7" max="7" width="15.7109375" style="1" customWidth="1"/>
    <col min="8" max="8" width="10.7109375" style="1" customWidth="1"/>
    <col min="9" max="9" width="10.7109375" customWidth="1"/>
    <col min="10" max="10" width="9.140625" style="1"/>
    <col min="11" max="11" width="60.7109375" style="1" customWidth="1"/>
    <col min="12" max="12" width="15.7109375" style="1" customWidth="1"/>
    <col min="13" max="16384" width="9.140625" style="1"/>
  </cols>
  <sheetData>
    <row r="1" spans="2:12" ht="9.9499999999999993" customHeight="1" x14ac:dyDescent="0.25"/>
    <row r="2" spans="2:12" ht="45" customHeight="1" thickBot="1" x14ac:dyDescent="0.3">
      <c r="B2" s="2" t="s">
        <v>0</v>
      </c>
      <c r="C2" s="3" t="s">
        <v>1</v>
      </c>
      <c r="D2" s="3" t="s">
        <v>2</v>
      </c>
      <c r="E2" s="3" t="s">
        <v>18</v>
      </c>
      <c r="F2" s="3" t="s">
        <v>19</v>
      </c>
      <c r="G2" s="4" t="s">
        <v>20</v>
      </c>
      <c r="H2" s="4" t="s">
        <v>47</v>
      </c>
      <c r="J2" s="26" t="s">
        <v>99</v>
      </c>
      <c r="K2" s="26" t="s">
        <v>24</v>
      </c>
      <c r="L2" s="26" t="s">
        <v>25</v>
      </c>
    </row>
    <row r="3" spans="2:12" ht="15" customHeight="1" x14ac:dyDescent="0.25">
      <c r="B3" s="7" t="s">
        <v>3</v>
      </c>
      <c r="C3" s="8">
        <v>21</v>
      </c>
      <c r="D3" s="8">
        <v>25000</v>
      </c>
      <c r="E3" s="8">
        <v>15000</v>
      </c>
      <c r="F3" s="8">
        <f>D3-E3</f>
        <v>10000</v>
      </c>
      <c r="G3" s="9">
        <f>F3/D3</f>
        <v>0.4</v>
      </c>
      <c r="H3" s="9" t="s">
        <v>48</v>
      </c>
      <c r="J3" s="8">
        <v>1</v>
      </c>
      <c r="K3" s="10" t="s">
        <v>26</v>
      </c>
      <c r="L3" s="10">
        <f>COUNTIF(C3:C12,"21")</f>
        <v>3</v>
      </c>
    </row>
    <row r="4" spans="2:12" ht="15" customHeight="1" x14ac:dyDescent="0.25">
      <c r="B4" s="11" t="s">
        <v>4</v>
      </c>
      <c r="C4" s="10">
        <v>22</v>
      </c>
      <c r="D4" s="10">
        <v>30000</v>
      </c>
      <c r="E4" s="10">
        <v>18000</v>
      </c>
      <c r="F4" s="10">
        <f t="shared" ref="F4:F12" si="0">D4-E4</f>
        <v>12000</v>
      </c>
      <c r="G4" s="9">
        <f t="shared" ref="G4:G12" si="1">F4/D4</f>
        <v>0.4</v>
      </c>
      <c r="H4" s="9" t="s">
        <v>49</v>
      </c>
      <c r="J4" s="10">
        <v>2</v>
      </c>
      <c r="K4" s="10" t="s">
        <v>27</v>
      </c>
      <c r="L4" s="10">
        <f>COUNTIF(H3:H12,"Delhi")</f>
        <v>4</v>
      </c>
    </row>
    <row r="5" spans="2:12" ht="15" customHeight="1" x14ac:dyDescent="0.25">
      <c r="B5" s="11" t="s">
        <v>5</v>
      </c>
      <c r="C5" s="10">
        <v>20</v>
      </c>
      <c r="D5" s="10">
        <v>22000</v>
      </c>
      <c r="E5" s="10">
        <v>12000</v>
      </c>
      <c r="F5" s="10">
        <f t="shared" si="0"/>
        <v>10000</v>
      </c>
      <c r="G5" s="9">
        <f t="shared" si="1"/>
        <v>0.45454545454545453</v>
      </c>
      <c r="H5" s="9" t="s">
        <v>48</v>
      </c>
      <c r="J5" s="10">
        <v>3</v>
      </c>
      <c r="K5" s="10" t="s">
        <v>28</v>
      </c>
      <c r="L5" s="10">
        <f>COUNTIF(D3:D12,"&gt;30000")</f>
        <v>4</v>
      </c>
    </row>
    <row r="6" spans="2:12" ht="15" customHeight="1" x14ac:dyDescent="0.25">
      <c r="B6" s="11" t="s">
        <v>6</v>
      </c>
      <c r="C6" s="10">
        <v>23</v>
      </c>
      <c r="D6" s="10">
        <v>40000</v>
      </c>
      <c r="E6" s="10">
        <v>25000</v>
      </c>
      <c r="F6" s="10">
        <f t="shared" si="0"/>
        <v>15000</v>
      </c>
      <c r="G6" s="9">
        <f t="shared" si="1"/>
        <v>0.375</v>
      </c>
      <c r="H6" s="9" t="s">
        <v>50</v>
      </c>
      <c r="J6" s="10">
        <v>4</v>
      </c>
      <c r="K6" s="10" t="s">
        <v>29</v>
      </c>
      <c r="L6" s="10">
        <f>COUNTIFS(H3:H12,"Delhi",C3:C12,"&gt;21")</f>
        <v>1</v>
      </c>
    </row>
    <row r="7" spans="2:12" ht="15" customHeight="1" x14ac:dyDescent="0.25">
      <c r="B7" s="11" t="s">
        <v>7</v>
      </c>
      <c r="C7" s="10">
        <v>24</v>
      </c>
      <c r="D7" s="10">
        <v>45000</v>
      </c>
      <c r="E7" s="10">
        <v>30000</v>
      </c>
      <c r="F7" s="10">
        <f t="shared" si="0"/>
        <v>15000</v>
      </c>
      <c r="G7" s="9">
        <f t="shared" si="1"/>
        <v>0.33333333333333331</v>
      </c>
      <c r="H7" s="9" t="s">
        <v>49</v>
      </c>
      <c r="J7" s="10">
        <v>5</v>
      </c>
      <c r="K7" s="10" t="s">
        <v>30</v>
      </c>
      <c r="L7" s="10">
        <f>COUNTIFS(H3:H12,"Mumbai",D3:D12,"&gt;30000")</f>
        <v>1</v>
      </c>
    </row>
    <row r="8" spans="2:12" ht="15" customHeight="1" x14ac:dyDescent="0.25">
      <c r="B8" s="11" t="s">
        <v>8</v>
      </c>
      <c r="C8" s="10">
        <v>22</v>
      </c>
      <c r="D8" s="10">
        <v>32000</v>
      </c>
      <c r="E8" s="10">
        <v>20000</v>
      </c>
      <c r="F8" s="10">
        <f t="shared" si="0"/>
        <v>12000</v>
      </c>
      <c r="G8" s="9">
        <f t="shared" si="1"/>
        <v>0.375</v>
      </c>
      <c r="H8" s="9" t="s">
        <v>48</v>
      </c>
      <c r="J8" s="10">
        <v>6</v>
      </c>
      <c r="K8" s="10" t="s">
        <v>31</v>
      </c>
      <c r="L8" s="10">
        <f>COUNTIFS(C3:C12,"&gt;=20",C3:C12,"&lt;=23")</f>
        <v>8</v>
      </c>
    </row>
    <row r="9" spans="2:12" ht="15" customHeight="1" x14ac:dyDescent="0.25">
      <c r="B9" s="11" t="s">
        <v>9</v>
      </c>
      <c r="C9" s="10">
        <v>21</v>
      </c>
      <c r="D9" s="10">
        <v>28000</v>
      </c>
      <c r="E9" s="10">
        <v>17000</v>
      </c>
      <c r="F9" s="10">
        <f t="shared" si="0"/>
        <v>11000</v>
      </c>
      <c r="G9" s="9">
        <f t="shared" si="1"/>
        <v>0.39285714285714285</v>
      </c>
      <c r="H9" s="9" t="s">
        <v>51</v>
      </c>
      <c r="J9" s="10">
        <v>7</v>
      </c>
      <c r="K9" s="10" t="s">
        <v>32</v>
      </c>
      <c r="L9" s="10">
        <f>SUMIF(H3:H12,"Delhi",D3:D12)</f>
        <v>106000</v>
      </c>
    </row>
    <row r="10" spans="2:12" ht="15" customHeight="1" x14ac:dyDescent="0.25">
      <c r="B10" s="11" t="s">
        <v>10</v>
      </c>
      <c r="C10" s="10">
        <v>25</v>
      </c>
      <c r="D10" s="10">
        <v>50000</v>
      </c>
      <c r="E10" s="10">
        <v>35000</v>
      </c>
      <c r="F10" s="10">
        <f t="shared" si="0"/>
        <v>15000</v>
      </c>
      <c r="G10" s="9">
        <f t="shared" si="1"/>
        <v>0.3</v>
      </c>
      <c r="H10" s="9" t="s">
        <v>50</v>
      </c>
      <c r="J10" s="10">
        <v>8</v>
      </c>
      <c r="K10" s="10" t="s">
        <v>33</v>
      </c>
      <c r="L10" s="10">
        <f>SUMIF(H3:H12,"Pune",E3:E12)</f>
        <v>27000</v>
      </c>
    </row>
    <row r="11" spans="2:12" ht="15" customHeight="1" x14ac:dyDescent="0.25">
      <c r="B11" s="11" t="s">
        <v>11</v>
      </c>
      <c r="C11" s="10">
        <v>20</v>
      </c>
      <c r="D11" s="10">
        <v>20000</v>
      </c>
      <c r="E11" s="10">
        <v>10000</v>
      </c>
      <c r="F11" s="10">
        <f t="shared" si="0"/>
        <v>10000</v>
      </c>
      <c r="G11" s="9">
        <f t="shared" si="1"/>
        <v>0.5</v>
      </c>
      <c r="H11" s="9" t="s">
        <v>51</v>
      </c>
      <c r="J11" s="10">
        <v>9</v>
      </c>
      <c r="K11" s="10" t="s">
        <v>34</v>
      </c>
      <c r="L11" s="10">
        <f>SUMIF(C3:C12,"22",D3:D12)</f>
        <v>62000</v>
      </c>
    </row>
    <row r="12" spans="2:12" ht="15" customHeight="1" x14ac:dyDescent="0.25">
      <c r="B12" s="11" t="s">
        <v>12</v>
      </c>
      <c r="C12" s="10">
        <v>21</v>
      </c>
      <c r="D12" s="10">
        <v>27000</v>
      </c>
      <c r="E12" s="10">
        <v>16000</v>
      </c>
      <c r="F12" s="10">
        <f t="shared" si="0"/>
        <v>11000</v>
      </c>
      <c r="G12" s="9">
        <f t="shared" si="1"/>
        <v>0.40740740740740738</v>
      </c>
      <c r="H12" s="9" t="s">
        <v>48</v>
      </c>
      <c r="J12" s="10">
        <v>10</v>
      </c>
      <c r="K12" s="10" t="s">
        <v>35</v>
      </c>
      <c r="L12" s="10">
        <f>AVERAGEIF(H3:H12,"Mumbai",D3:D12)</f>
        <v>37500</v>
      </c>
    </row>
    <row r="13" spans="2:12" ht="15" customHeight="1" x14ac:dyDescent="0.25">
      <c r="B13" s="5"/>
      <c r="C13" s="5"/>
      <c r="D13" s="5"/>
      <c r="E13" s="5"/>
      <c r="F13" s="5"/>
      <c r="G13" s="5"/>
      <c r="H13" s="5"/>
      <c r="J13" s="10">
        <v>11</v>
      </c>
      <c r="K13" s="10" t="s">
        <v>36</v>
      </c>
      <c r="L13" s="10">
        <f>AVERAGEIF(H3:H12,"Delhi",E3:E12)</f>
        <v>15750</v>
      </c>
    </row>
    <row r="14" spans="2:12" ht="15" customHeight="1" x14ac:dyDescent="0.25">
      <c r="B14" s="6" t="s">
        <v>23</v>
      </c>
      <c r="C14" s="5"/>
      <c r="D14" s="5"/>
      <c r="E14" s="5"/>
      <c r="F14" s="5"/>
      <c r="G14" s="5"/>
      <c r="H14" s="5"/>
      <c r="J14" s="10">
        <v>12</v>
      </c>
      <c r="K14" s="10" t="s">
        <v>37</v>
      </c>
      <c r="L14" s="10">
        <f>AVERAGEIF(C3:C12,"&gt;21",D3:D12)</f>
        <v>39400</v>
      </c>
    </row>
    <row r="15" spans="2:12" ht="15" customHeight="1" x14ac:dyDescent="0.25">
      <c r="B15" s="12" t="s">
        <v>13</v>
      </c>
      <c r="C15" s="10">
        <f>MAX(C3:C12)</f>
        <v>25</v>
      </c>
      <c r="D15" s="10">
        <f>MAX(D3:D12)</f>
        <v>50000</v>
      </c>
      <c r="E15" s="10">
        <f>MAX(E3:E12)</f>
        <v>35000</v>
      </c>
      <c r="F15" s="10">
        <f>MAX(F3:F12)</f>
        <v>15000</v>
      </c>
      <c r="G15" s="9">
        <f>MAX(G3:G12)</f>
        <v>0.5</v>
      </c>
      <c r="H15" s="5"/>
      <c r="J15" s="10">
        <v>13</v>
      </c>
      <c r="K15" s="10" t="s">
        <v>38</v>
      </c>
      <c r="L15" s="10" t="str">
        <f>IF(F3&gt;0,"Profit","Loss")</f>
        <v>Profit</v>
      </c>
    </row>
    <row r="16" spans="2:12" ht="15" customHeight="1" x14ac:dyDescent="0.25">
      <c r="B16" s="12" t="s">
        <v>14</v>
      </c>
      <c r="C16" s="10">
        <f>MIN(C3:C12)</f>
        <v>20</v>
      </c>
      <c r="D16" s="10">
        <f>MIN(D3:D12)</f>
        <v>20000</v>
      </c>
      <c r="E16" s="10">
        <f>MIN(E3:E12)</f>
        <v>10000</v>
      </c>
      <c r="F16" s="10">
        <f>MIN(F3:F12)</f>
        <v>10000</v>
      </c>
      <c r="G16" s="9">
        <f>MIN(G3:G12)</f>
        <v>0.3</v>
      </c>
      <c r="H16" s="5"/>
      <c r="J16" s="10">
        <v>14</v>
      </c>
      <c r="K16" s="10" t="s">
        <v>39</v>
      </c>
      <c r="L16" s="10" t="str">
        <f>IF(D3&gt;30000,"High","Loss")</f>
        <v>Loss</v>
      </c>
    </row>
    <row r="17" spans="2:12" ht="15" customHeight="1" x14ac:dyDescent="0.25">
      <c r="B17" s="12" t="s">
        <v>15</v>
      </c>
      <c r="C17" s="10">
        <f>AVERAGE(C3:C12)</f>
        <v>21.9</v>
      </c>
      <c r="D17" s="10">
        <f>AVERAGE(D3:D12)</f>
        <v>31900</v>
      </c>
      <c r="E17" s="10">
        <f>AVERAGE(E3:E12)</f>
        <v>19800</v>
      </c>
      <c r="F17" s="10">
        <f>AVERAGE(F3:F12)</f>
        <v>12100</v>
      </c>
      <c r="G17" s="9">
        <f>AVERAGE(G3:G12)</f>
        <v>0.39381433381433378</v>
      </c>
      <c r="H17" s="5"/>
      <c r="J17" s="10">
        <v>15</v>
      </c>
      <c r="K17" s="10" t="s">
        <v>40</v>
      </c>
      <c r="L17" s="10" t="str">
        <f>IF(C3&gt;=21,"Adult","Teen")</f>
        <v>Adult</v>
      </c>
    </row>
    <row r="18" spans="2:12" ht="15" customHeight="1" x14ac:dyDescent="0.25">
      <c r="B18" s="12" t="s">
        <v>16</v>
      </c>
      <c r="C18" s="10">
        <f>SUM(C3:C12)</f>
        <v>219</v>
      </c>
      <c r="D18" s="10">
        <f>SUM(D3:D12)</f>
        <v>319000</v>
      </c>
      <c r="E18" s="10">
        <f>SUM(E3:E12)</f>
        <v>198000</v>
      </c>
      <c r="F18" s="13">
        <f>SUM(F3:F12)</f>
        <v>121000</v>
      </c>
      <c r="G18" s="9">
        <f>SUM(G3:G12)</f>
        <v>3.9381433381433379</v>
      </c>
      <c r="H18" s="5"/>
      <c r="J18" s="10">
        <v>16</v>
      </c>
      <c r="K18" s="10" t="s">
        <v>41</v>
      </c>
      <c r="L18" s="10" t="str">
        <f>IF(AND(D3&gt;30000,E3&gt;20000),"Yes","No")</f>
        <v>No</v>
      </c>
    </row>
    <row r="19" spans="2:12" ht="15" customHeight="1" x14ac:dyDescent="0.25">
      <c r="B19" s="12" t="s">
        <v>17</v>
      </c>
      <c r="C19" s="10">
        <f>COUNT(C3:C12)</f>
        <v>10</v>
      </c>
      <c r="D19" s="10">
        <f>COUNT(D3:D12)</f>
        <v>10</v>
      </c>
      <c r="E19" s="10">
        <f>COUNT(E3:E12)</f>
        <v>10</v>
      </c>
      <c r="F19" s="10">
        <f>COUNT(F3:F12)</f>
        <v>10</v>
      </c>
      <c r="G19" s="13">
        <v>10</v>
      </c>
      <c r="H19" s="5"/>
      <c r="J19" s="10">
        <v>17</v>
      </c>
      <c r="K19" s="10" t="s">
        <v>42</v>
      </c>
      <c r="L19" s="10" t="str">
        <f>IF(AND(C3&gt;=21,H3 = "Delhi"),"Yes","No")</f>
        <v>Yes</v>
      </c>
    </row>
    <row r="20" spans="2:12" ht="15" customHeight="1" x14ac:dyDescent="0.25">
      <c r="B20" s="12" t="s">
        <v>21</v>
      </c>
      <c r="C20" s="10">
        <f>COUNTA(C3:C12)</f>
        <v>10</v>
      </c>
      <c r="D20" s="10">
        <f>COUNTA(D3:D12)</f>
        <v>10</v>
      </c>
      <c r="E20" s="10">
        <f>COUNTA(E3:E12)</f>
        <v>10</v>
      </c>
      <c r="F20" s="10">
        <f>COUNTA(F3:F12)</f>
        <v>10</v>
      </c>
      <c r="G20" s="13">
        <f>COUNTA(G3:G12)</f>
        <v>10</v>
      </c>
      <c r="H20" s="5"/>
      <c r="J20" s="10">
        <v>18</v>
      </c>
      <c r="K20" s="10" t="s">
        <v>43</v>
      </c>
      <c r="L20" s="13">
        <f>COUNTIF(H3:H12,"Delhi") + COUNTIF(H3:H12,"Mumbai")</f>
        <v>6</v>
      </c>
    </row>
    <row r="21" spans="2:12" ht="15" customHeight="1" x14ac:dyDescent="0.25">
      <c r="B21" s="12" t="s">
        <v>22</v>
      </c>
      <c r="C21" s="10">
        <f>COUNTBLANK(C3:C12)</f>
        <v>0</v>
      </c>
      <c r="D21" s="10">
        <f>COUNTBLANK(D3:D12)</f>
        <v>0</v>
      </c>
      <c r="E21" s="10">
        <f>COUNTBLANK(E3:E12)</f>
        <v>0</v>
      </c>
      <c r="F21" s="10">
        <f>COUNTBLANK(F3:F12)</f>
        <v>0</v>
      </c>
      <c r="G21" s="9">
        <f>COUNTBLANK(G3:G12)</f>
        <v>0</v>
      </c>
      <c r="H21" s="5"/>
      <c r="J21" s="10">
        <v>19</v>
      </c>
      <c r="K21" s="10" t="s">
        <v>44</v>
      </c>
      <c r="L21" s="10">
        <f>COUNTIFS(D3:D12,"&gt;40000")+ COUNTIFS(C3:C13,"&lt;21")</f>
        <v>4</v>
      </c>
    </row>
    <row r="22" spans="2:12" ht="15" customHeight="1" x14ac:dyDescent="0.25">
      <c r="B22" s="5"/>
      <c r="C22" s="5"/>
      <c r="D22" s="5"/>
      <c r="E22" s="5"/>
      <c r="F22" s="5"/>
      <c r="G22" s="5"/>
      <c r="H22" s="5"/>
      <c r="J22" s="10">
        <v>20</v>
      </c>
      <c r="K22" s="10" t="s">
        <v>45</v>
      </c>
      <c r="L22" s="10">
        <f>SUMIFS(D3:D12,H3:H12,"Delhi",D3:D12,"&gt;30000")</f>
        <v>32000</v>
      </c>
    </row>
    <row r="23" spans="2:12" ht="15" customHeight="1" x14ac:dyDescent="0.25">
      <c r="B23" s="5"/>
      <c r="C23" s="5"/>
      <c r="D23" s="5"/>
      <c r="E23" s="5"/>
      <c r="F23" s="5"/>
      <c r="G23" s="5"/>
      <c r="H23" s="5"/>
      <c r="J23" s="10">
        <v>21</v>
      </c>
      <c r="K23" s="10" t="s">
        <v>46</v>
      </c>
      <c r="L23" s="10">
        <f>AVERAGEIFS(D3:D12,H3:H12,"Mumbai",C3:C12,"&lt;23")</f>
        <v>30000</v>
      </c>
    </row>
    <row r="24" spans="2:12" ht="15" customHeight="1" x14ac:dyDescent="0.25"/>
    <row r="25" spans="2:12" ht="15" customHeight="1" x14ac:dyDescent="0.25"/>
    <row r="26" spans="2:12" ht="15" customHeight="1" x14ac:dyDescent="0.25"/>
    <row r="27" spans="2:12" ht="15" customHeight="1" x14ac:dyDescent="0.25"/>
    <row r="28" spans="2:12" ht="15" customHeight="1" x14ac:dyDescent="0.25"/>
    <row r="29" spans="2:12" ht="15" customHeight="1" x14ac:dyDescent="0.25"/>
    <row r="30" spans="2:12" ht="15" customHeight="1" x14ac:dyDescent="0.25"/>
    <row r="31" spans="2:12" ht="15" customHeight="1" x14ac:dyDescent="0.25"/>
    <row r="32" spans="2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D75F-EE8C-495D-B152-BD2471A2FCE1}">
  <dimension ref="B1:L32"/>
  <sheetViews>
    <sheetView topLeftCell="A2" zoomScale="68" workbookViewId="0">
      <selection activeCell="L9" sqref="L9"/>
    </sheetView>
  </sheetViews>
  <sheetFormatPr defaultRowHeight="15" x14ac:dyDescent="0.25"/>
  <cols>
    <col min="1" max="1" width="1.7109375" customWidth="1"/>
    <col min="2" max="2" width="20.7109375" customWidth="1"/>
    <col min="3" max="5" width="15.7109375" customWidth="1"/>
    <col min="6" max="8" width="10.7109375" customWidth="1"/>
    <col min="11" max="11" width="55.28515625" bestFit="1" customWidth="1"/>
    <col min="12" max="12" width="30.7109375" customWidth="1"/>
  </cols>
  <sheetData>
    <row r="1" spans="2:12" ht="9.9499999999999993" customHeight="1" x14ac:dyDescent="0.25"/>
    <row r="2" spans="2:12" ht="45" customHeight="1" thickBot="1" x14ac:dyDescent="0.3">
      <c r="B2" s="15" t="s">
        <v>0</v>
      </c>
      <c r="C2" s="15" t="s">
        <v>52</v>
      </c>
      <c r="D2" s="15" t="s">
        <v>53</v>
      </c>
      <c r="E2" s="15" t="s">
        <v>54</v>
      </c>
      <c r="F2" s="16" t="s">
        <v>55</v>
      </c>
      <c r="G2" s="16" t="s">
        <v>56</v>
      </c>
      <c r="H2" s="16" t="s">
        <v>47</v>
      </c>
      <c r="J2" s="26" t="s">
        <v>99</v>
      </c>
      <c r="K2" s="26" t="s">
        <v>24</v>
      </c>
      <c r="L2" s="26" t="s">
        <v>80</v>
      </c>
    </row>
    <row r="3" spans="2:12" ht="15.75" x14ac:dyDescent="0.25">
      <c r="B3" s="8" t="s">
        <v>3</v>
      </c>
      <c r="C3" s="17">
        <v>37753</v>
      </c>
      <c r="D3" s="17">
        <v>44941</v>
      </c>
      <c r="E3" s="17">
        <v>46113</v>
      </c>
      <c r="F3" s="18">
        <v>0.38541666666666669</v>
      </c>
      <c r="G3" s="18">
        <v>0.77083333333333337</v>
      </c>
      <c r="H3" s="8" t="s">
        <v>48</v>
      </c>
      <c r="J3" s="8">
        <v>1</v>
      </c>
      <c r="K3" s="8" t="s">
        <v>57</v>
      </c>
      <c r="L3" s="21">
        <f ca="1">TODAY()</f>
        <v>46120</v>
      </c>
    </row>
    <row r="4" spans="2:12" ht="15.75" x14ac:dyDescent="0.25">
      <c r="B4" s="10" t="s">
        <v>4</v>
      </c>
      <c r="C4" s="19">
        <v>37488</v>
      </c>
      <c r="D4" s="19">
        <v>44875</v>
      </c>
      <c r="E4" s="19">
        <v>46111</v>
      </c>
      <c r="F4" s="20">
        <v>0.41666666666666669</v>
      </c>
      <c r="G4" s="20">
        <v>0.79166666666666663</v>
      </c>
      <c r="H4" s="10" t="s">
        <v>49</v>
      </c>
      <c r="J4" s="10">
        <v>2</v>
      </c>
      <c r="K4" s="10" t="s">
        <v>58</v>
      </c>
      <c r="L4" s="22">
        <f ca="1">NOW()</f>
        <v>46120.846646412036</v>
      </c>
    </row>
    <row r="5" spans="2:12" ht="15.75" x14ac:dyDescent="0.25">
      <c r="B5" s="10" t="s">
        <v>5</v>
      </c>
      <c r="C5" s="19">
        <v>38022</v>
      </c>
      <c r="D5" s="19">
        <v>45078</v>
      </c>
      <c r="E5" s="19">
        <v>46110</v>
      </c>
      <c r="F5" s="20">
        <v>0.40625</v>
      </c>
      <c r="G5" s="20">
        <v>0.75</v>
      </c>
      <c r="H5" s="10" t="s">
        <v>48</v>
      </c>
      <c r="J5" s="10">
        <v>3</v>
      </c>
      <c r="K5" s="10" t="s">
        <v>59</v>
      </c>
      <c r="L5" s="10">
        <f>YEAR(C3)</f>
        <v>2003</v>
      </c>
    </row>
    <row r="6" spans="2:12" ht="15.75" x14ac:dyDescent="0.25">
      <c r="B6" s="10" t="s">
        <v>6</v>
      </c>
      <c r="C6" s="19">
        <v>37250</v>
      </c>
      <c r="D6" s="19">
        <v>44459</v>
      </c>
      <c r="E6" s="19">
        <v>46109</v>
      </c>
      <c r="F6" s="20">
        <v>0.36805555555555558</v>
      </c>
      <c r="G6" s="20">
        <v>0.72916666666666663</v>
      </c>
      <c r="H6" s="10" t="s">
        <v>50</v>
      </c>
      <c r="J6" s="10">
        <v>4</v>
      </c>
      <c r="K6" s="10" t="s">
        <v>60</v>
      </c>
      <c r="L6" s="10">
        <f>MONTH(D3)</f>
        <v>1</v>
      </c>
    </row>
    <row r="7" spans="2:12" ht="15.75" x14ac:dyDescent="0.25">
      <c r="B7" s="10" t="s">
        <v>7</v>
      </c>
      <c r="C7" s="19">
        <v>36721</v>
      </c>
      <c r="D7" s="19">
        <v>43956</v>
      </c>
      <c r="E7" s="19">
        <v>46108</v>
      </c>
      <c r="F7" s="20">
        <v>0.45833333333333331</v>
      </c>
      <c r="G7" s="20">
        <v>0.83333333333333337</v>
      </c>
      <c r="H7" s="10" t="s">
        <v>49</v>
      </c>
      <c r="J7" s="10">
        <v>5</v>
      </c>
      <c r="K7" s="10" t="s">
        <v>61</v>
      </c>
      <c r="L7" s="10">
        <f>DAY(C3)</f>
        <v>12</v>
      </c>
    </row>
    <row r="8" spans="2:12" ht="15.75" x14ac:dyDescent="0.25">
      <c r="B8" s="10" t="s">
        <v>8</v>
      </c>
      <c r="C8" s="19">
        <v>37333</v>
      </c>
      <c r="D8" s="19">
        <v>44785</v>
      </c>
      <c r="E8" s="19">
        <v>46107</v>
      </c>
      <c r="F8" s="20">
        <v>0.39583333333333331</v>
      </c>
      <c r="G8" s="20">
        <v>0.76041666666666663</v>
      </c>
      <c r="H8" s="10" t="s">
        <v>48</v>
      </c>
      <c r="J8" s="10">
        <v>6</v>
      </c>
      <c r="K8" s="10" t="s">
        <v>62</v>
      </c>
      <c r="L8" s="10">
        <f ca="1">DATEDIF(C3,TODAY(),"Y")</f>
        <v>22</v>
      </c>
    </row>
    <row r="9" spans="2:12" ht="15.75" x14ac:dyDescent="0.25">
      <c r="B9" s="10" t="s">
        <v>9</v>
      </c>
      <c r="C9" s="19">
        <v>37934</v>
      </c>
      <c r="D9" s="19">
        <v>44958</v>
      </c>
      <c r="E9" s="19">
        <v>46106</v>
      </c>
      <c r="F9" s="20">
        <v>0.42708333333333331</v>
      </c>
      <c r="G9" s="20">
        <v>0.79861111111111116</v>
      </c>
      <c r="H9" s="10" t="s">
        <v>51</v>
      </c>
      <c r="J9" s="10">
        <v>7</v>
      </c>
      <c r="K9" s="10" t="s">
        <v>63</v>
      </c>
      <c r="L9" s="10" t="str">
        <f ca="1">DATEDIF(C3,TODAY(),"Y")&amp; " Years " &amp; DATEDIF(C3,TODAY(),"YM")&amp; " Months " &amp; DATEDIF(C3,TODAY(),"MD") &amp; " Days "</f>
        <v xml:space="preserve">22 Years 10 Months 27 Days </v>
      </c>
    </row>
    <row r="10" spans="2:12" ht="15.75" x14ac:dyDescent="0.25">
      <c r="B10" s="10" t="s">
        <v>10</v>
      </c>
      <c r="C10" s="19">
        <v>36190</v>
      </c>
      <c r="D10" s="19">
        <v>43800</v>
      </c>
      <c r="E10" s="19">
        <v>46105</v>
      </c>
      <c r="F10" s="20">
        <v>0.35416666666666669</v>
      </c>
      <c r="G10" s="20">
        <v>0.70833333333333337</v>
      </c>
      <c r="H10" s="10" t="s">
        <v>50</v>
      </c>
      <c r="J10" s="10">
        <v>8</v>
      </c>
      <c r="K10" s="10" t="s">
        <v>64</v>
      </c>
      <c r="L10" s="23">
        <f ca="1">TODAY()-D3</f>
        <v>1179</v>
      </c>
    </row>
    <row r="11" spans="2:12" ht="15.75" x14ac:dyDescent="0.25">
      <c r="B11" s="10" t="s">
        <v>11</v>
      </c>
      <c r="C11" s="19">
        <v>38252</v>
      </c>
      <c r="D11" s="19">
        <v>45117</v>
      </c>
      <c r="E11" s="19">
        <v>46104</v>
      </c>
      <c r="F11" s="20">
        <v>0.375</v>
      </c>
      <c r="G11" s="20">
        <v>0.75</v>
      </c>
      <c r="H11" s="10" t="s">
        <v>51</v>
      </c>
      <c r="J11" s="10">
        <v>9</v>
      </c>
      <c r="K11" s="10" t="s">
        <v>65</v>
      </c>
      <c r="L11" s="10">
        <f ca="1">TODAY()-E3</f>
        <v>7</v>
      </c>
    </row>
    <row r="12" spans="2:12" ht="15.75" x14ac:dyDescent="0.25">
      <c r="B12" s="10" t="s">
        <v>12</v>
      </c>
      <c r="C12" s="19">
        <v>37712</v>
      </c>
      <c r="D12" s="19">
        <v>45000</v>
      </c>
      <c r="E12" s="19">
        <v>46113</v>
      </c>
      <c r="F12" s="20">
        <v>0.3888888888888889</v>
      </c>
      <c r="G12" s="20">
        <v>0.77777777777777779</v>
      </c>
      <c r="H12" s="10" t="s">
        <v>48</v>
      </c>
      <c r="J12" s="10">
        <v>10</v>
      </c>
      <c r="K12" s="10" t="s">
        <v>66</v>
      </c>
      <c r="L12" s="10">
        <f>(G3-F3)*24</f>
        <v>9.25</v>
      </c>
    </row>
    <row r="13" spans="2:12" ht="15.75" x14ac:dyDescent="0.25">
      <c r="J13" s="10">
        <v>11</v>
      </c>
      <c r="K13" s="10" t="s">
        <v>67</v>
      </c>
      <c r="L13" s="10">
        <f>HOUR(F3)</f>
        <v>9</v>
      </c>
    </row>
    <row r="14" spans="2:12" ht="15.75" x14ac:dyDescent="0.25">
      <c r="B14" s="6" t="s">
        <v>23</v>
      </c>
      <c r="J14" s="10">
        <v>12</v>
      </c>
      <c r="K14" s="10" t="s">
        <v>68</v>
      </c>
      <c r="L14" s="10">
        <f>MINUTE(F3)</f>
        <v>15</v>
      </c>
    </row>
    <row r="15" spans="2:12" ht="15.75" x14ac:dyDescent="0.25">
      <c r="B15" s="12" t="s">
        <v>81</v>
      </c>
      <c r="J15" s="10">
        <v>13</v>
      </c>
      <c r="K15" s="10" t="s">
        <v>69</v>
      </c>
      <c r="L15" s="10">
        <f>SECOND(F3)</f>
        <v>0</v>
      </c>
    </row>
    <row r="16" spans="2:12" ht="15.75" x14ac:dyDescent="0.25">
      <c r="B16" s="12" t="s">
        <v>82</v>
      </c>
      <c r="J16" s="10">
        <v>14</v>
      </c>
      <c r="K16" s="10" t="s">
        <v>70</v>
      </c>
      <c r="L16" s="23">
        <f>EDATE(D3,1)</f>
        <v>44972</v>
      </c>
    </row>
    <row r="17" spans="2:12" ht="15.75" x14ac:dyDescent="0.25">
      <c r="B17" s="12" t="s">
        <v>83</v>
      </c>
      <c r="C17" s="14"/>
      <c r="J17" s="10">
        <v>15</v>
      </c>
      <c r="K17" s="10" t="s">
        <v>71</v>
      </c>
      <c r="L17" s="23">
        <f>EOMONTH(D3,0)</f>
        <v>44957</v>
      </c>
    </row>
    <row r="18" spans="2:12" ht="15.75" x14ac:dyDescent="0.25">
      <c r="B18" s="12" t="s">
        <v>84</v>
      </c>
      <c r="J18" s="10">
        <v>16</v>
      </c>
      <c r="K18" s="10" t="s">
        <v>72</v>
      </c>
      <c r="L18" s="23">
        <f>WORKDAY(D3,10)</f>
        <v>44953</v>
      </c>
    </row>
    <row r="19" spans="2:12" ht="15.75" x14ac:dyDescent="0.25">
      <c r="B19" s="12" t="s">
        <v>85</v>
      </c>
      <c r="J19" s="10">
        <v>17</v>
      </c>
      <c r="K19" s="10" t="s">
        <v>73</v>
      </c>
      <c r="L19" s="10">
        <f ca="1">NETWORKDAYS(D3,TODAY())</f>
        <v>843</v>
      </c>
    </row>
    <row r="20" spans="2:12" ht="15.75" x14ac:dyDescent="0.25">
      <c r="B20" s="12" t="s">
        <v>86</v>
      </c>
      <c r="J20" s="10">
        <v>18</v>
      </c>
      <c r="K20" s="10" t="s">
        <v>74</v>
      </c>
      <c r="L20" s="10">
        <f>WEEKDAY(D3)</f>
        <v>1</v>
      </c>
    </row>
    <row r="21" spans="2:12" ht="15.75" x14ac:dyDescent="0.25">
      <c r="B21" s="12" t="s">
        <v>87</v>
      </c>
      <c r="J21" s="10">
        <v>19</v>
      </c>
      <c r="K21" s="10" t="s">
        <v>75</v>
      </c>
      <c r="L21" s="10">
        <f>WEEKNUM(D3)</f>
        <v>3</v>
      </c>
    </row>
    <row r="22" spans="2:12" ht="15.75" x14ac:dyDescent="0.25">
      <c r="B22" s="12" t="s">
        <v>88</v>
      </c>
      <c r="J22" s="10">
        <v>20</v>
      </c>
      <c r="K22" s="10" t="s">
        <v>76</v>
      </c>
      <c r="L22" s="10" t="str">
        <f>TEXT(D3,"DD-MM-YYYYY")</f>
        <v>15-01-2023</v>
      </c>
    </row>
    <row r="23" spans="2:12" ht="15.75" x14ac:dyDescent="0.25">
      <c r="B23" s="12" t="s">
        <v>89</v>
      </c>
      <c r="J23" s="10">
        <v>21</v>
      </c>
      <c r="K23" s="10" t="s">
        <v>77</v>
      </c>
      <c r="L23" s="23">
        <f>MAX(D3:D12)</f>
        <v>45117</v>
      </c>
    </row>
    <row r="24" spans="2:12" ht="15.75" x14ac:dyDescent="0.25">
      <c r="B24" s="12" t="s">
        <v>90</v>
      </c>
      <c r="J24" s="10">
        <v>22</v>
      </c>
      <c r="K24" s="10" t="s">
        <v>78</v>
      </c>
      <c r="L24" s="23">
        <f>MIN(D3:D12)</f>
        <v>43800</v>
      </c>
    </row>
    <row r="25" spans="2:12" ht="15.75" x14ac:dyDescent="0.25">
      <c r="B25" s="12" t="s">
        <v>91</v>
      </c>
      <c r="J25" s="10">
        <v>23</v>
      </c>
      <c r="K25" s="10" t="s">
        <v>79</v>
      </c>
      <c r="L25" s="10" t="str">
        <f ca="1">IF(E3=TODAY(),"Yes","No")</f>
        <v>No</v>
      </c>
    </row>
    <row r="26" spans="2:12" ht="15.75" x14ac:dyDescent="0.25">
      <c r="B26" s="12" t="s">
        <v>92</v>
      </c>
    </row>
    <row r="27" spans="2:12" ht="15.75" x14ac:dyDescent="0.25">
      <c r="B27" s="12" t="s">
        <v>93</v>
      </c>
    </row>
    <row r="28" spans="2:12" ht="15.75" x14ac:dyDescent="0.25">
      <c r="B28" s="12" t="s">
        <v>94</v>
      </c>
    </row>
    <row r="29" spans="2:12" ht="15.75" x14ac:dyDescent="0.25">
      <c r="B29" s="12" t="s">
        <v>95</v>
      </c>
    </row>
    <row r="30" spans="2:12" ht="15.75" x14ac:dyDescent="0.25">
      <c r="B30" s="12" t="s">
        <v>96</v>
      </c>
    </row>
    <row r="31" spans="2:12" ht="15.75" x14ac:dyDescent="0.25">
      <c r="B31" s="12" t="s">
        <v>97</v>
      </c>
    </row>
    <row r="32" spans="2:12" ht="15.75" x14ac:dyDescent="0.25">
      <c r="B32" s="12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2FF9-A7FB-4F99-A8DC-B6A9B7C0BAE5}">
  <dimension ref="B1:G10"/>
  <sheetViews>
    <sheetView workbookViewId="0">
      <selection activeCell="F21" sqref="F21"/>
    </sheetView>
  </sheetViews>
  <sheetFormatPr defaultRowHeight="15" x14ac:dyDescent="0.25"/>
  <cols>
    <col min="1" max="1" width="1.7109375" customWidth="1"/>
    <col min="2" max="3" width="10.7109375" customWidth="1"/>
    <col min="6" max="6" width="61" bestFit="1" customWidth="1"/>
  </cols>
  <sheetData>
    <row r="1" spans="2:7" ht="9.9499999999999993" customHeight="1" x14ac:dyDescent="0.25"/>
    <row r="2" spans="2:7" ht="15.75" x14ac:dyDescent="0.25">
      <c r="B2" s="44" t="s">
        <v>113</v>
      </c>
      <c r="C2" s="44"/>
      <c r="E2" s="44" t="s">
        <v>114</v>
      </c>
      <c r="F2" s="44"/>
    </row>
    <row r="3" spans="2:7" ht="45" customHeight="1" thickBot="1" x14ac:dyDescent="0.3">
      <c r="B3" s="2" t="s">
        <v>0</v>
      </c>
      <c r="C3" s="2" t="s">
        <v>100</v>
      </c>
      <c r="E3" s="2" t="s">
        <v>115</v>
      </c>
      <c r="F3" s="2" t="s">
        <v>116</v>
      </c>
      <c r="G3" s="24" t="s">
        <v>117</v>
      </c>
    </row>
    <row r="4" spans="2:7" ht="15.75" x14ac:dyDescent="0.25">
      <c r="B4" s="7" t="s">
        <v>101</v>
      </c>
      <c r="C4" s="7" t="s">
        <v>102</v>
      </c>
      <c r="E4" s="7">
        <v>12</v>
      </c>
      <c r="F4" s="7">
        <f>IF(E4&gt;15,E4 + $G$4,E4)</f>
        <v>12</v>
      </c>
      <c r="G4" s="25">
        <v>5</v>
      </c>
    </row>
    <row r="5" spans="2:7" ht="15.75" x14ac:dyDescent="0.25">
      <c r="B5" s="11" t="s">
        <v>103</v>
      </c>
      <c r="C5" s="11" t="s">
        <v>102</v>
      </c>
      <c r="E5" s="11">
        <v>34</v>
      </c>
      <c r="F5" s="11">
        <f t="shared" ref="F5:F7" si="0">IF(E5&gt;15,E5 + $G$4,E5)</f>
        <v>39</v>
      </c>
    </row>
    <row r="6" spans="2:7" ht="15.75" x14ac:dyDescent="0.25">
      <c r="B6" s="11" t="s">
        <v>106</v>
      </c>
      <c r="C6" s="11" t="s">
        <v>105</v>
      </c>
      <c r="E6" s="11">
        <v>10</v>
      </c>
      <c r="F6" s="11">
        <f t="shared" si="0"/>
        <v>10</v>
      </c>
    </row>
    <row r="7" spans="2:7" ht="15.75" x14ac:dyDescent="0.25">
      <c r="B7" s="11" t="s">
        <v>104</v>
      </c>
      <c r="C7" s="11" t="s">
        <v>108</v>
      </c>
      <c r="E7" s="11">
        <v>45</v>
      </c>
      <c r="F7" s="11">
        <f t="shared" si="0"/>
        <v>50</v>
      </c>
    </row>
    <row r="8" spans="2:7" ht="15.75" x14ac:dyDescent="0.25">
      <c r="B8" s="11" t="s">
        <v>107</v>
      </c>
      <c r="C8" s="11" t="s">
        <v>108</v>
      </c>
    </row>
    <row r="9" spans="2:7" ht="15.75" x14ac:dyDescent="0.25">
      <c r="B9" s="11" t="s">
        <v>109</v>
      </c>
      <c r="C9" s="11" t="s">
        <v>110</v>
      </c>
    </row>
    <row r="10" spans="2:7" ht="15.75" x14ac:dyDescent="0.25">
      <c r="B10" s="11" t="s">
        <v>111</v>
      </c>
      <c r="C10" s="11" t="s">
        <v>112</v>
      </c>
    </row>
  </sheetData>
  <sortState xmlns:xlrd2="http://schemas.microsoft.com/office/spreadsheetml/2017/richdata2" ref="B4:C10">
    <sortCondition ref="C4:C10" customList="S,M,L,XL,XXL"/>
  </sortState>
  <mergeCells count="2">
    <mergeCell ref="B2:C2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543FC-60B8-48A1-BFD8-7124715C301D}">
  <dimension ref="B1:X17"/>
  <sheetViews>
    <sheetView topLeftCell="J1" zoomScale="87" workbookViewId="0">
      <selection activeCell="H24" sqref="H24"/>
    </sheetView>
  </sheetViews>
  <sheetFormatPr defaultRowHeight="15" x14ac:dyDescent="0.25"/>
  <cols>
    <col min="1" max="1" width="1.7109375" customWidth="1"/>
    <col min="2" max="2" width="15.7109375" customWidth="1"/>
    <col min="3" max="3" width="10.7109375" customWidth="1"/>
    <col min="4" max="4" width="15.7109375" customWidth="1"/>
    <col min="5" max="5" width="10.7109375" customWidth="1"/>
    <col min="7" max="7" width="6.28515625" bestFit="1" customWidth="1"/>
    <col min="8" max="8" width="55.7109375" customWidth="1"/>
    <col min="9" max="9" width="17.7109375" bestFit="1" customWidth="1"/>
    <col min="12" max="12" width="10.7109375" customWidth="1"/>
    <col min="13" max="20" width="5.7109375" customWidth="1"/>
    <col min="22" max="22" width="6.42578125" bestFit="1" customWidth="1"/>
    <col min="23" max="23" width="56.140625" bestFit="1" customWidth="1"/>
    <col min="24" max="24" width="11.85546875" bestFit="1" customWidth="1"/>
  </cols>
  <sheetData>
    <row r="1" spans="2:24" ht="9.9499999999999993" customHeight="1" x14ac:dyDescent="0.25"/>
    <row r="2" spans="2:24" ht="45" customHeight="1" thickBot="1" x14ac:dyDescent="0.3">
      <c r="B2" s="27" t="s">
        <v>0</v>
      </c>
      <c r="C2" s="28" t="s">
        <v>121</v>
      </c>
      <c r="D2" s="28" t="s">
        <v>122</v>
      </c>
      <c r="E2" s="29" t="s">
        <v>123</v>
      </c>
      <c r="G2" s="26" t="s">
        <v>99</v>
      </c>
      <c r="H2" s="26" t="s">
        <v>141</v>
      </c>
      <c r="I2" s="26" t="s">
        <v>80</v>
      </c>
      <c r="L2" s="26" t="s">
        <v>0</v>
      </c>
      <c r="M2" s="26" t="s">
        <v>101</v>
      </c>
      <c r="N2" s="26" t="s">
        <v>103</v>
      </c>
      <c r="O2" s="26" t="s">
        <v>104</v>
      </c>
      <c r="P2" s="26" t="s">
        <v>109</v>
      </c>
      <c r="Q2" s="26" t="s">
        <v>107</v>
      </c>
      <c r="R2" s="26" t="s">
        <v>106</v>
      </c>
      <c r="S2" s="26" t="s">
        <v>111</v>
      </c>
      <c r="T2" s="26" t="s">
        <v>124</v>
      </c>
      <c r="V2" s="26" t="s">
        <v>99</v>
      </c>
      <c r="W2" s="26" t="s">
        <v>128</v>
      </c>
      <c r="X2" s="26" t="s">
        <v>80</v>
      </c>
    </row>
    <row r="3" spans="2:24" ht="15.75" x14ac:dyDescent="0.25">
      <c r="B3" s="30" t="s">
        <v>101</v>
      </c>
      <c r="C3" s="31">
        <v>35</v>
      </c>
      <c r="D3" s="31">
        <v>41</v>
      </c>
      <c r="E3" s="32">
        <v>34</v>
      </c>
      <c r="G3" s="8">
        <v>1</v>
      </c>
      <c r="H3" s="8" t="s">
        <v>125</v>
      </c>
      <c r="I3" s="8">
        <f>VLOOKUP("A",B3:C10,2,FALSE)</f>
        <v>35</v>
      </c>
      <c r="L3" s="8" t="s">
        <v>121</v>
      </c>
      <c r="M3" s="8">
        <v>35</v>
      </c>
      <c r="N3" s="8">
        <v>12</v>
      </c>
      <c r="O3" s="8">
        <v>44</v>
      </c>
      <c r="P3" s="8">
        <v>37</v>
      </c>
      <c r="Q3" s="8">
        <v>18</v>
      </c>
      <c r="R3" s="8">
        <v>9</v>
      </c>
      <c r="S3" s="8">
        <v>35</v>
      </c>
      <c r="T3" s="8">
        <v>25</v>
      </c>
      <c r="V3" s="8">
        <v>1</v>
      </c>
      <c r="W3" s="8" t="s">
        <v>129</v>
      </c>
      <c r="X3" s="8">
        <f>HLOOKUP("E",M2:T5,4,FALSE)</f>
        <v>27</v>
      </c>
    </row>
    <row r="4" spans="2:24" ht="15.75" x14ac:dyDescent="0.25">
      <c r="B4" s="33" t="s">
        <v>103</v>
      </c>
      <c r="C4" s="34">
        <v>12</v>
      </c>
      <c r="D4" s="34">
        <v>18</v>
      </c>
      <c r="E4" s="35">
        <v>23</v>
      </c>
      <c r="G4" s="10">
        <v>2</v>
      </c>
      <c r="H4" s="10" t="s">
        <v>126</v>
      </c>
      <c r="I4" s="10">
        <f>VLOOKUP("G",B3:D10,3,FALSE)</f>
        <v>26</v>
      </c>
      <c r="L4" s="10" t="s">
        <v>122</v>
      </c>
      <c r="M4" s="10">
        <v>41</v>
      </c>
      <c r="N4" s="10">
        <v>18</v>
      </c>
      <c r="O4" s="10">
        <v>47</v>
      </c>
      <c r="P4" s="10">
        <v>32</v>
      </c>
      <c r="Q4" s="10">
        <v>16</v>
      </c>
      <c r="R4" s="10">
        <v>16</v>
      </c>
      <c r="S4" s="10">
        <v>26</v>
      </c>
      <c r="T4" s="10">
        <v>29</v>
      </c>
      <c r="V4" s="10">
        <v>2</v>
      </c>
      <c r="W4" s="10" t="s">
        <v>130</v>
      </c>
      <c r="X4" s="10">
        <f>HLOOKUP("C",L2:T5,3,FALSE)</f>
        <v>47</v>
      </c>
    </row>
    <row r="5" spans="2:24" ht="15.75" x14ac:dyDescent="0.25">
      <c r="B5" s="33" t="s">
        <v>104</v>
      </c>
      <c r="C5" s="34">
        <v>44</v>
      </c>
      <c r="D5" s="34">
        <v>47</v>
      </c>
      <c r="E5" s="35">
        <v>49</v>
      </c>
      <c r="G5" s="10">
        <v>3</v>
      </c>
      <c r="H5" s="10" t="s">
        <v>127</v>
      </c>
      <c r="I5" s="10">
        <f>VLOOKUP("H",B3:E10,4,FALSE)</f>
        <v>37</v>
      </c>
      <c r="L5" s="10" t="s">
        <v>123</v>
      </c>
      <c r="M5" s="10">
        <v>34</v>
      </c>
      <c r="N5" s="10">
        <v>23</v>
      </c>
      <c r="O5" s="10">
        <v>49</v>
      </c>
      <c r="P5" s="10">
        <v>41</v>
      </c>
      <c r="Q5" s="10">
        <v>27</v>
      </c>
      <c r="R5" s="10">
        <v>15</v>
      </c>
      <c r="S5" s="10">
        <v>41</v>
      </c>
      <c r="T5" s="10">
        <v>37</v>
      </c>
      <c r="V5" s="10">
        <v>3</v>
      </c>
      <c r="W5" s="10" t="s">
        <v>131</v>
      </c>
      <c r="X5" s="10">
        <f>HLOOKUP("C",L2:T5,4,FALSE)</f>
        <v>49</v>
      </c>
    </row>
    <row r="6" spans="2:24" ht="15.75" x14ac:dyDescent="0.25">
      <c r="B6" s="33" t="s">
        <v>109</v>
      </c>
      <c r="C6" s="34">
        <v>37</v>
      </c>
      <c r="D6" s="34">
        <v>32</v>
      </c>
      <c r="E6" s="35">
        <v>41</v>
      </c>
      <c r="G6" s="10">
        <v>4</v>
      </c>
      <c r="H6" s="10" t="s">
        <v>139</v>
      </c>
      <c r="I6" s="10" t="str">
        <f>INDEX(B3:B10, MATCH(MAX(E3:E10), E3:E10, 0))</f>
        <v>C</v>
      </c>
      <c r="V6" s="10">
        <v>4</v>
      </c>
      <c r="W6" s="10" t="s">
        <v>136</v>
      </c>
      <c r="X6" s="10">
        <f>INDEX(M3:T5,3,3)</f>
        <v>49</v>
      </c>
    </row>
    <row r="7" spans="2:24" ht="15.75" x14ac:dyDescent="0.25">
      <c r="B7" s="33" t="s">
        <v>107</v>
      </c>
      <c r="C7" s="34">
        <v>18</v>
      </c>
      <c r="D7" s="34">
        <v>16</v>
      </c>
      <c r="E7" s="35">
        <v>27</v>
      </c>
      <c r="G7" s="10">
        <v>5</v>
      </c>
      <c r="H7" s="10" t="s">
        <v>140</v>
      </c>
      <c r="I7" s="10" t="str">
        <f>INDEX(B2:B10,MATCH(MAX(E3:E10),E3:E10,0))</f>
        <v>B</v>
      </c>
      <c r="V7" s="10">
        <v>5</v>
      </c>
      <c r="W7" s="10" t="s">
        <v>137</v>
      </c>
      <c r="X7" s="10">
        <f>INDEX(M3:T5,1,7)</f>
        <v>35</v>
      </c>
    </row>
    <row r="8" spans="2:24" ht="15.75" x14ac:dyDescent="0.25">
      <c r="B8" s="33" t="s">
        <v>106</v>
      </c>
      <c r="C8" s="34">
        <v>9</v>
      </c>
      <c r="D8" s="34">
        <v>16</v>
      </c>
      <c r="E8" s="35">
        <v>15</v>
      </c>
      <c r="G8" s="10">
        <v>6</v>
      </c>
      <c r="H8" s="10" t="s">
        <v>142</v>
      </c>
      <c r="I8" s="10">
        <f>INDEX(D3:D10,MATCH("A",B3:B10,0))</f>
        <v>41</v>
      </c>
      <c r="V8" s="10">
        <v>6</v>
      </c>
      <c r="W8" s="10" t="s">
        <v>138</v>
      </c>
      <c r="X8" s="10">
        <f>INDEX(M3:T5,2,4)</f>
        <v>32</v>
      </c>
    </row>
    <row r="9" spans="2:24" ht="15.75" x14ac:dyDescent="0.25">
      <c r="B9" s="33" t="s">
        <v>111</v>
      </c>
      <c r="C9" s="34">
        <v>35</v>
      </c>
      <c r="D9" s="34">
        <v>26</v>
      </c>
      <c r="E9" s="35">
        <v>41</v>
      </c>
      <c r="V9" s="10">
        <v>7</v>
      </c>
      <c r="W9" s="10" t="s">
        <v>133</v>
      </c>
      <c r="X9" s="10">
        <f>MATCH(44,M3:T3,0)</f>
        <v>3</v>
      </c>
    </row>
    <row r="10" spans="2:24" ht="15.75" x14ac:dyDescent="0.25">
      <c r="B10" s="36" t="s">
        <v>124</v>
      </c>
      <c r="C10" s="37">
        <v>25</v>
      </c>
      <c r="D10" s="37">
        <v>29</v>
      </c>
      <c r="E10" s="38">
        <v>37</v>
      </c>
      <c r="V10" s="10">
        <v>8</v>
      </c>
      <c r="W10" s="10" t="s">
        <v>132</v>
      </c>
      <c r="X10" s="10">
        <f>MATCH("C",M2:T2,0)</f>
        <v>3</v>
      </c>
    </row>
    <row r="11" spans="2:24" ht="15.75" x14ac:dyDescent="0.25">
      <c r="V11" s="10">
        <v>9</v>
      </c>
      <c r="W11" s="10" t="s">
        <v>134</v>
      </c>
      <c r="X11" s="10">
        <f>MATCH(MAX(M5:T5),M5:T5,0)</f>
        <v>3</v>
      </c>
    </row>
    <row r="12" spans="2:24" ht="15.75" x14ac:dyDescent="0.25">
      <c r="B12" s="6" t="s">
        <v>23</v>
      </c>
      <c r="V12" s="10">
        <v>10</v>
      </c>
      <c r="W12" s="10" t="s">
        <v>135</v>
      </c>
      <c r="X12" s="10">
        <f>MATCH(MIN(M5:T5),M5:T5,0)</f>
        <v>6</v>
      </c>
    </row>
    <row r="13" spans="2:24" ht="15.75" x14ac:dyDescent="0.25">
      <c r="B13" s="6" t="s">
        <v>118</v>
      </c>
    </row>
    <row r="14" spans="2:24" ht="15.75" x14ac:dyDescent="0.25">
      <c r="B14" s="6" t="s">
        <v>119</v>
      </c>
    </row>
    <row r="15" spans="2:24" ht="15.75" x14ac:dyDescent="0.25">
      <c r="B15" s="6" t="s">
        <v>120</v>
      </c>
    </row>
    <row r="16" spans="2:24" ht="15.75" x14ac:dyDescent="0.25">
      <c r="B16" s="6" t="s">
        <v>118</v>
      </c>
    </row>
    <row r="17" spans="2:2" ht="15.75" x14ac:dyDescent="0.25">
      <c r="B17" s="6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6720D-F866-4FC7-A93C-63054C15E7C1}">
  <dimension ref="B1:E6"/>
  <sheetViews>
    <sheetView workbookViewId="0">
      <selection activeCell="B7" sqref="B7"/>
    </sheetView>
  </sheetViews>
  <sheetFormatPr defaultRowHeight="15" x14ac:dyDescent="0.25"/>
  <cols>
    <col min="1" max="1" width="1.7109375" customWidth="1"/>
  </cols>
  <sheetData>
    <row r="1" spans="2:5" ht="9.9499999999999993" customHeight="1" x14ac:dyDescent="0.25"/>
    <row r="2" spans="2:5" ht="15.75" x14ac:dyDescent="0.25">
      <c r="B2" s="45" t="s">
        <v>143</v>
      </c>
      <c r="C2" s="45"/>
      <c r="D2" s="45"/>
      <c r="E2" s="45"/>
    </row>
    <row r="3" spans="2:5" x14ac:dyDescent="0.25">
      <c r="B3">
        <f>VLOOKUP("A",'Adv. Functions'!$B$2:$C$10,2,FALSE)</f>
        <v>35</v>
      </c>
    </row>
    <row r="4" spans="2:5" x14ac:dyDescent="0.25">
      <c r="B4">
        <f>VLOOKUP("C",'Adv. Functions'!$B$2:$C$10,2,FALSE)</f>
        <v>44</v>
      </c>
    </row>
    <row r="5" spans="2:5" x14ac:dyDescent="0.25">
      <c r="B5">
        <f>VLOOKUP("D",'Adv. Functions'!B3:E10,3,FALSE)</f>
        <v>32</v>
      </c>
    </row>
    <row r="6" spans="2:5" x14ac:dyDescent="0.25">
      <c r="B6">
        <f>VLOOKUP("G",'Adv. Functions'!B3:E10,4,FALSE)</f>
        <v>41</v>
      </c>
    </row>
  </sheetData>
  <mergeCells count="1"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6E17-8A63-404C-B3E1-B743C5A3391D}">
  <dimension ref="B1:AA10"/>
  <sheetViews>
    <sheetView tabSelected="1" zoomScale="36" workbookViewId="0">
      <selection activeCell="X12" sqref="X12"/>
    </sheetView>
  </sheetViews>
  <sheetFormatPr defaultRowHeight="15" x14ac:dyDescent="0.25"/>
  <cols>
    <col min="1" max="1" width="1.7109375" customWidth="1"/>
    <col min="2" max="2" width="25.7109375" customWidth="1"/>
    <col min="3" max="3" width="15.7109375" customWidth="1"/>
    <col min="5" max="6" width="10.7109375" customWidth="1"/>
    <col min="7" max="7" width="15.7109375" customWidth="1"/>
    <col min="9" max="9" width="28.5703125" bestFit="1" customWidth="1"/>
    <col min="10" max="10" width="28.5703125" customWidth="1"/>
    <col min="11" max="11" width="18.42578125" bestFit="1" customWidth="1"/>
    <col min="12" max="12" width="6.7109375" bestFit="1" customWidth="1"/>
    <col min="13" max="14" width="9" bestFit="1" customWidth="1"/>
    <col min="15" max="15" width="35.7109375" customWidth="1"/>
    <col min="16" max="16" width="10.7109375" customWidth="1"/>
    <col min="18" max="18" width="20.7109375" customWidth="1"/>
    <col min="19" max="19" width="60.7109375" customWidth="1"/>
    <col min="20" max="20" width="10.7109375" customWidth="1"/>
    <col min="21" max="21" width="15.7109375" customWidth="1"/>
    <col min="23" max="23" width="30.7109375" customWidth="1"/>
    <col min="24" max="24" width="35.7109375" customWidth="1"/>
    <col min="26" max="26" width="25.7109375" customWidth="1"/>
    <col min="27" max="27" width="15.7109375" style="41" customWidth="1"/>
  </cols>
  <sheetData>
    <row r="1" spans="2:27" ht="9.9499999999999993" customHeight="1" x14ac:dyDescent="0.25"/>
    <row r="2" spans="2:27" ht="45" customHeight="1" x14ac:dyDescent="0.25">
      <c r="B2" s="27" t="s">
        <v>152</v>
      </c>
      <c r="C2" s="28" t="s">
        <v>153</v>
      </c>
      <c r="E2" s="46" t="s">
        <v>154</v>
      </c>
      <c r="F2" s="47"/>
      <c r="G2" s="47"/>
      <c r="I2" s="27" t="s">
        <v>173</v>
      </c>
      <c r="J2" s="28" t="s">
        <v>172</v>
      </c>
      <c r="K2" s="26" t="s">
        <v>162</v>
      </c>
      <c r="L2" s="24" t="s">
        <v>180</v>
      </c>
      <c r="M2" s="24" t="s">
        <v>181</v>
      </c>
      <c r="O2" s="27" t="s">
        <v>193</v>
      </c>
      <c r="R2" s="27" t="s">
        <v>200</v>
      </c>
      <c r="W2" s="27" t="s">
        <v>152</v>
      </c>
      <c r="X2" s="28" t="s">
        <v>215</v>
      </c>
      <c r="Z2" s="27" t="s">
        <v>152</v>
      </c>
      <c r="AA2" s="43">
        <v>1234567890</v>
      </c>
    </row>
    <row r="3" spans="2:27" ht="15.75" x14ac:dyDescent="0.25">
      <c r="B3" s="33" t="s">
        <v>144</v>
      </c>
      <c r="C3" s="34">
        <f>LEN(C2)</f>
        <v>12</v>
      </c>
      <c r="E3" s="28" t="s">
        <v>165</v>
      </c>
      <c r="F3" s="28" t="s">
        <v>163</v>
      </c>
      <c r="G3" s="28" t="s">
        <v>164</v>
      </c>
      <c r="I3" s="39" t="s">
        <v>168</v>
      </c>
      <c r="J3" s="34" t="s">
        <v>178</v>
      </c>
      <c r="K3" s="34" t="s">
        <v>160</v>
      </c>
      <c r="L3" s="34">
        <v>25</v>
      </c>
      <c r="M3" s="34" t="s">
        <v>182</v>
      </c>
      <c r="O3" s="39" t="s">
        <v>194</v>
      </c>
      <c r="R3" s="39" t="s">
        <v>201</v>
      </c>
      <c r="S3" s="39" t="s">
        <v>203</v>
      </c>
      <c r="W3" s="33" t="s">
        <v>216</v>
      </c>
      <c r="X3" s="34" t="str">
        <f>SUBSTITUTE(X2,"Excel","Python")</f>
        <v>I love Python and I don’t do Python</v>
      </c>
      <c r="Z3" s="33" t="s">
        <v>218</v>
      </c>
      <c r="AA3" s="42" t="str">
        <f>REPLACE(AA2,4,5,"@#$*")</f>
        <v>123@#$*90</v>
      </c>
    </row>
    <row r="4" spans="2:27" ht="15.75" x14ac:dyDescent="0.25">
      <c r="B4" s="33" t="s">
        <v>145</v>
      </c>
      <c r="C4" s="34" t="str">
        <f>LEFT( C2,5)</f>
        <v xml:space="preserve">adam </v>
      </c>
      <c r="E4" s="33" t="s">
        <v>12</v>
      </c>
      <c r="F4" s="34" t="s">
        <v>155</v>
      </c>
      <c r="G4" s="33" t="str">
        <f>CONCATENATE(E4," ",F4)</f>
        <v>Shivam Rastogi</v>
      </c>
      <c r="I4" s="39" t="s">
        <v>169</v>
      </c>
      <c r="J4" s="34" t="s">
        <v>177</v>
      </c>
      <c r="K4" s="34" t="s">
        <v>183</v>
      </c>
      <c r="L4" s="34">
        <v>30</v>
      </c>
      <c r="M4" s="34" t="s">
        <v>184</v>
      </c>
      <c r="O4" s="39" t="s">
        <v>195</v>
      </c>
      <c r="R4" s="39" t="s">
        <v>202</v>
      </c>
      <c r="S4" s="39" t="s">
        <v>204</v>
      </c>
      <c r="W4" s="33" t="s">
        <v>217</v>
      </c>
      <c r="X4" s="34" t="str">
        <f>SUBSTITUTE(X2,"Excel","Python",2)</f>
        <v>I love Excel and I don’t do Python</v>
      </c>
    </row>
    <row r="5" spans="2:27" ht="15.75" x14ac:dyDescent="0.25">
      <c r="B5" s="33" t="s">
        <v>146</v>
      </c>
      <c r="C5" s="34" t="str">
        <f>RIGHT(C2,5)</f>
        <v>Smith</v>
      </c>
      <c r="E5" s="33" t="s">
        <v>156</v>
      </c>
      <c r="F5" s="34" t="s">
        <v>157</v>
      </c>
      <c r="G5" s="33" t="str">
        <f t="shared" ref="G5:G7" si="0">CONCATENATE(E5," ",F5)</f>
        <v>Rakesh Tyagi</v>
      </c>
      <c r="I5" s="39" t="s">
        <v>167</v>
      </c>
      <c r="J5" s="34" t="s">
        <v>174</v>
      </c>
      <c r="K5" s="34" t="s">
        <v>185</v>
      </c>
      <c r="L5" s="34">
        <v>26</v>
      </c>
      <c r="M5" s="34" t="s">
        <v>186</v>
      </c>
      <c r="W5" s="33" t="s">
        <v>219</v>
      </c>
      <c r="X5" s="34"/>
    </row>
    <row r="6" spans="2:27" ht="15.75" x14ac:dyDescent="0.25">
      <c r="B6" s="33" t="s">
        <v>147</v>
      </c>
      <c r="C6" s="34" t="str">
        <f>MID(C2,6,2)</f>
        <v xml:space="preserve">  </v>
      </c>
      <c r="E6" s="33" t="s">
        <v>158</v>
      </c>
      <c r="F6" s="34" t="s">
        <v>159</v>
      </c>
      <c r="G6" s="33" t="str">
        <f t="shared" si="0"/>
        <v>Rani Mukherjee</v>
      </c>
      <c r="I6" s="39" t="s">
        <v>170</v>
      </c>
      <c r="J6" s="34" t="s">
        <v>175</v>
      </c>
      <c r="K6" s="34" t="s">
        <v>187</v>
      </c>
      <c r="L6" s="34">
        <v>18</v>
      </c>
      <c r="M6" s="34" t="s">
        <v>188</v>
      </c>
      <c r="O6" s="34" t="s">
        <v>172</v>
      </c>
      <c r="P6" s="34" t="s">
        <v>199</v>
      </c>
      <c r="R6" s="34" t="s">
        <v>172</v>
      </c>
      <c r="S6" s="40" t="s">
        <v>206</v>
      </c>
      <c r="T6" s="40" t="s">
        <v>199</v>
      </c>
      <c r="U6" s="40" t="s">
        <v>210</v>
      </c>
      <c r="W6" s="33" t="s">
        <v>220</v>
      </c>
      <c r="X6" s="34" t="str">
        <f>SUBSTITUTE(SUBSTITUTE(W6,"FRANCE","FR"),"NEW YORK","NYK")</f>
        <v>FR and NYK</v>
      </c>
    </row>
    <row r="7" spans="2:27" ht="15.75" x14ac:dyDescent="0.25">
      <c r="B7" s="33" t="s">
        <v>148</v>
      </c>
      <c r="C7" s="34" t="str">
        <f>UPPER(C2)</f>
        <v>ADAM   SMITH</v>
      </c>
      <c r="E7" s="33" t="s">
        <v>160</v>
      </c>
      <c r="F7" s="34" t="s">
        <v>161</v>
      </c>
      <c r="G7" s="33" t="str">
        <f t="shared" si="0"/>
        <v>Adam Smith</v>
      </c>
      <c r="I7" s="39" t="s">
        <v>171</v>
      </c>
      <c r="J7" s="34" t="s">
        <v>176</v>
      </c>
      <c r="K7" s="34" t="s">
        <v>189</v>
      </c>
      <c r="L7" s="34">
        <v>28</v>
      </c>
      <c r="M7" s="34" t="s">
        <v>190</v>
      </c>
      <c r="O7" s="34" t="s">
        <v>196</v>
      </c>
      <c r="P7" s="34"/>
      <c r="R7" s="34" t="s">
        <v>205</v>
      </c>
      <c r="S7" s="34" t="s">
        <v>207</v>
      </c>
      <c r="T7" s="34">
        <f>COUNTIF(R7:R10,"SEEMA*")</f>
        <v>3</v>
      </c>
      <c r="U7" s="34" t="s">
        <v>201</v>
      </c>
    </row>
    <row r="8" spans="2:27" ht="15.75" x14ac:dyDescent="0.25">
      <c r="B8" s="33" t="s">
        <v>149</v>
      </c>
      <c r="C8" s="34" t="str">
        <f>LOWER(C2)</f>
        <v>adam   smith</v>
      </c>
      <c r="I8" s="39" t="s">
        <v>166</v>
      </c>
      <c r="J8" s="34" t="s">
        <v>179</v>
      </c>
      <c r="K8" s="34" t="s">
        <v>191</v>
      </c>
      <c r="L8" s="34">
        <v>46</v>
      </c>
      <c r="M8" s="34" t="s">
        <v>192</v>
      </c>
      <c r="O8" s="34" t="s">
        <v>197</v>
      </c>
      <c r="P8" s="34">
        <f>FIND("name",O7)</f>
        <v>4</v>
      </c>
      <c r="R8" s="34" t="s">
        <v>211</v>
      </c>
      <c r="S8" s="34" t="s">
        <v>208</v>
      </c>
      <c r="T8" s="34">
        <f>COUNTIF(R7:R10,"SEEMA ?")</f>
        <v>1</v>
      </c>
      <c r="U8" s="34" t="s">
        <v>202</v>
      </c>
    </row>
    <row r="9" spans="2:27" ht="15.75" x14ac:dyDescent="0.25">
      <c r="B9" s="33" t="s">
        <v>150</v>
      </c>
      <c r="C9" s="34" t="str">
        <f>PROPER(C2)</f>
        <v>Adam   Smith</v>
      </c>
      <c r="O9" s="34" t="s">
        <v>198</v>
      </c>
      <c r="P9" s="34">
        <f>SEARCH("NAME",O7)</f>
        <v>4</v>
      </c>
      <c r="R9" s="34" t="s">
        <v>212</v>
      </c>
      <c r="S9" s="34" t="s">
        <v>209</v>
      </c>
      <c r="T9" s="34">
        <f>COUNTIF(R7:R10,"*G")</f>
        <v>1</v>
      </c>
      <c r="U9" s="34" t="s">
        <v>201</v>
      </c>
    </row>
    <row r="10" spans="2:27" ht="15.75" x14ac:dyDescent="0.25">
      <c r="B10" s="33" t="s">
        <v>151</v>
      </c>
      <c r="C10" s="34" t="str">
        <f>TRIM(C2)</f>
        <v>adam Smith</v>
      </c>
      <c r="R10" s="34" t="s">
        <v>213</v>
      </c>
      <c r="S10" s="34" t="s">
        <v>214</v>
      </c>
      <c r="T10" s="34">
        <f>SEARCH("SEEMA*",R7)</f>
        <v>1</v>
      </c>
      <c r="U10" s="34" t="s">
        <v>201</v>
      </c>
    </row>
  </sheetData>
  <mergeCells count="1"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 Functions </vt:lpstr>
      <vt:lpstr>Date &amp; Time Functions</vt:lpstr>
      <vt:lpstr>Sort_Pin</vt:lpstr>
      <vt:lpstr>Adv. Functions</vt:lpstr>
      <vt:lpstr>Pick_out_data</vt:lpstr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Rastogi</dc:creator>
  <cp:lastModifiedBy>Shivam Rastogi</cp:lastModifiedBy>
  <dcterms:created xsi:type="dcterms:W3CDTF">2026-03-31T11:11:36Z</dcterms:created>
  <dcterms:modified xsi:type="dcterms:W3CDTF">2026-04-08T14:51:24Z</dcterms:modified>
</cp:coreProperties>
</file>